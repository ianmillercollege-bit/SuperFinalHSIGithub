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ompanies" sheetId="1" state="visible" r:id="rId1"/>
    <sheet name="Product Details" sheetId="2" state="visible" r:id="rId2"/>
    <sheet name="Summary" sheetId="3" state="visible" r:id="rId3"/>
    <sheet name="Login Credentials" sheetId="4" state="visible" r:id="rId4"/>
  </sheets>
  <definedNames>
    <definedName name="_xlnm._FilterDatabase" localSheetId="0" hidden="1">'Companies'!$A$13:$AE$163</definedName>
    <definedName name="_xlnm._FilterDatabase" localSheetId="1" hidden="1">'Product Details'!$A$12:$S$1512</definedName>
    <definedName name="_xlnm._FilterDatabase" localSheetId="3" hidden="1">'Login Credentials'!$A$4:$I$154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\$#,##0.00"/>
  </numFmts>
  <fonts count="10">
    <font>
      <name val="Calibri"/>
      <color theme="1"/>
      <sz val="11"/>
      <scheme val="minor"/>
    </font>
    <font>
      <name val="Arial"/>
      <b val="1"/>
      <color theme="1"/>
      <sz val="16"/>
    </font>
    <font>
      <name val="Arial"/>
      <b val="1"/>
      <color rgb="FFFFFFFF"/>
      <sz val="11"/>
    </font>
    <font>
      <name val="Arial"/>
      <i val="1"/>
      <color rgb="FF595959"/>
      <sz val="11"/>
    </font>
    <font>
      <name val="Arial"/>
      <color theme="1"/>
      <sz val="11"/>
    </font>
    <font>
      <name val="Arial"/>
      <b val="1"/>
      <color theme="1"/>
      <sz val="12"/>
    </font>
    <font>
      <name val="Arial"/>
      <i val="1"/>
      <color rgb="FFC00000"/>
      <sz val="11"/>
    </font>
    <font>
      <name val="Calibri"/>
      <color theme="1"/>
      <sz val="11"/>
    </font>
    <font>
      <name val="Arial"/>
      <b val="1"/>
      <color theme="1"/>
      <sz val="11"/>
    </font>
    <font>
      <name val="Consolas"/>
      <color theme="1"/>
      <sz val="10"/>
    </font>
  </fonts>
  <fills count="7">
    <fill>
      <patternFill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E4DFEC"/>
        <bgColor rgb="FFE4DFEC"/>
      </patternFill>
    </fill>
    <fill>
      <patternFill patternType="solid">
        <fgColor rgb="FFDDEBF7"/>
        <bgColor rgb="FFDDEBF7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5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bottom"/>
    </xf>
    <xf numFmtId="0" fontId="4" fillId="3" borderId="1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2" fillId="2" borderId="1" applyAlignment="1" pivotButton="0" quotePrefix="0" xfId="0">
      <alignment vertical="bottom"/>
    </xf>
    <xf numFmtId="0" fontId="7" fillId="3" borderId="1" applyAlignment="1" pivotButton="0" quotePrefix="0" xfId="0">
      <alignment vertical="bottom"/>
    </xf>
    <xf numFmtId="0" fontId="4" fillId="0" borderId="1" applyAlignment="1" pivotButton="0" quotePrefix="0" xfId="0">
      <alignment vertical="bottom"/>
    </xf>
    <xf numFmtId="0" fontId="8" fillId="3" borderId="1" applyAlignment="1" pivotButton="0" quotePrefix="0" xfId="0">
      <alignment vertical="bottom"/>
    </xf>
    <xf numFmtId="0" fontId="9" fillId="3" borderId="1" applyAlignment="1" pivotButton="0" quotePrefix="0" xfId="0">
      <alignment vertical="bottom"/>
    </xf>
    <xf numFmtId="0" fontId="4" fillId="0" borderId="1" applyAlignment="1" pivotButton="0" quotePrefix="0" xfId="0">
      <alignment horizontal="center" vertical="bottom"/>
    </xf>
    <xf numFmtId="0" fontId="7" fillId="4" borderId="1" applyAlignment="1" pivotButton="0" quotePrefix="0" xfId="0">
      <alignment vertical="bottom"/>
    </xf>
    <xf numFmtId="0" fontId="7" fillId="5" borderId="1" applyAlignment="1" pivotButton="0" quotePrefix="0" xfId="0">
      <alignment vertical="bottom"/>
    </xf>
    <xf numFmtId="164" fontId="4" fillId="3" borderId="1" applyAlignment="1" pivotButton="0" quotePrefix="0" xfId="0">
      <alignment vertical="bottom"/>
    </xf>
    <xf numFmtId="0" fontId="7" fillId="6" borderId="1" applyAlignment="1" pivotButton="0" quotePrefix="0" xfId="0">
      <alignment vertical="bottom"/>
    </xf>
    <xf numFmtId="0" fontId="8" fillId="0" borderId="0" applyAlignment="1" pivotButton="0" quotePrefix="0" xfId="0">
      <alignment vertical="bottom"/>
    </xf>
    <xf numFmtId="0" fontId="8" fillId="0" borderId="0" applyAlignment="1" pivotButton="0" quotePrefix="0" xfId="0">
      <alignment horizontal="center" vertical="bottom"/>
    </xf>
    <xf numFmtId="0" fontId="4" fillId="4" borderId="1" applyAlignment="1" pivotButton="0" quotePrefix="0" xfId="0">
      <alignment vertical="bottom"/>
    </xf>
    <xf numFmtId="0" fontId="4" fillId="3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164" fontId="4" fillId="4" borderId="1" applyAlignment="1" pivotButton="0" quotePrefix="0" xfId="0">
      <alignment vertical="bottom"/>
    </xf>
    <xf numFmtId="164" fontId="4" fillId="3" borderId="1" applyAlignment="1" pivotButton="0" quotePrefix="0" xfId="0">
      <alignment vertical="top" wrapText="1"/>
    </xf>
    <xf numFmtId="3" fontId="4" fillId="3" borderId="1" applyAlignment="1" pivotButton="0" quotePrefix="0" xfId="0">
      <alignment vertical="top" wrapText="1"/>
    </xf>
    <xf numFmtId="0" fontId="8" fillId="4" borderId="1" applyAlignment="1" pivotButton="0" quotePrefix="0" xfId="0">
      <alignment vertical="bottom"/>
    </xf>
    <xf numFmtId="0" fontId="4" fillId="5" borderId="1" applyAlignment="1" pivotButton="0" quotePrefix="0" xfId="0">
      <alignment vertical="bottom"/>
    </xf>
    <xf numFmtId="0" fontId="9" fillId="4" borderId="1" applyAlignment="1" pivotButton="0" quotePrefix="0" xfId="0">
      <alignment vertical="bottom"/>
    </xf>
    <xf numFmtId="164" fontId="4" fillId="5" borderId="1" applyAlignment="1" pivotButton="0" quotePrefix="0" xfId="0">
      <alignment vertical="bottom"/>
    </xf>
    <xf numFmtId="164" fontId="8" fillId="3" borderId="1" applyAlignment="1" pivotButton="0" quotePrefix="0" xfId="0">
      <alignment vertical="bottom"/>
    </xf>
    <xf numFmtId="0" fontId="4" fillId="6" borderId="1" applyAlignment="1" pivotButton="0" quotePrefix="0" xfId="0">
      <alignment vertical="bottom"/>
    </xf>
    <xf numFmtId="164" fontId="4" fillId="6" borderId="1" applyAlignment="1" pivotButton="0" quotePrefix="0" xfId="0">
      <alignment vertical="bottom"/>
    </xf>
    <xf numFmtId="0" fontId="8" fillId="5" borderId="1" applyAlignment="1" pivotButton="0" quotePrefix="0" xfId="0">
      <alignment vertical="bottom"/>
    </xf>
    <xf numFmtId="0" fontId="9" fillId="5" borderId="1" applyAlignment="1" pivotButton="0" quotePrefix="0" xfId="0">
      <alignment vertical="bottom"/>
    </xf>
    <xf numFmtId="0" fontId="8" fillId="6" borderId="1" applyAlignment="1" pivotButton="0" quotePrefix="0" xfId="0">
      <alignment vertical="bottom"/>
    </xf>
    <xf numFmtId="0" fontId="9" fillId="6" borderId="1" applyAlignment="1" pivotButton="0" quotePrefix="0" xfId="0">
      <alignment vertical="bottom"/>
    </xf>
    <xf numFmtId="164" fontId="8" fillId="4" borderId="1" applyAlignment="1" pivotButton="0" quotePrefix="0" xfId="0">
      <alignment vertical="bottom"/>
    </xf>
    <xf numFmtId="164" fontId="8" fillId="5" borderId="1" applyAlignment="1" pivotButton="0" quotePrefix="0" xfId="0">
      <alignment vertical="bottom"/>
    </xf>
    <xf numFmtId="0" fontId="4" fillId="4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164" fontId="4" fillId="4" borderId="1" applyAlignment="1" pivotButton="0" quotePrefix="0" xfId="0">
      <alignment vertical="top" wrapText="1"/>
    </xf>
    <xf numFmtId="3" fontId="4" fillId="4" borderId="1" applyAlignment="1" pivotButton="0" quotePrefix="0" xfId="0">
      <alignment vertical="top" wrapText="1"/>
    </xf>
    <xf numFmtId="164" fontId="8" fillId="6" borderId="1" applyAlignment="1" pivotButton="0" quotePrefix="0" xfId="0">
      <alignment vertical="bottom"/>
    </xf>
    <xf numFmtId="0" fontId="4" fillId="5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164" fontId="4" fillId="5" borderId="1" applyAlignment="1" pivotButton="0" quotePrefix="0" xfId="0">
      <alignment vertical="top" wrapText="1"/>
    </xf>
    <xf numFmtId="3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164" fontId="4" fillId="6" borderId="1" applyAlignment="1" pivotButton="0" quotePrefix="0" xfId="0">
      <alignment vertical="top" wrapText="1"/>
    </xf>
    <xf numFmtId="3" fontId="4" fillId="6" borderId="1" applyAlignment="1" pivotButton="0" quotePrefix="0" xfId="0">
      <alignment vertical="top" wrapText="1"/>
    </xf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63"/>
  <sheetViews>
    <sheetView workbookViewId="0">
      <pane xSplit="2" ySplit="13" topLeftCell="C14" activePane="bottomRight" state="frozen"/>
      <selection pane="topRight" activeCell="C1" sqref="C1"/>
      <selection pane="bottomLeft" activeCell="A14" sqref="A14"/>
      <selection pane="bottomRight" activeCell="C14" sqref="C14"/>
    </sheetView>
  </sheetViews>
  <sheetFormatPr baseColWidth="8" defaultColWidth="14.43" defaultRowHeight="15" customHeight="1"/>
  <cols>
    <col width="5" customWidth="1" style="51" min="1" max="1"/>
    <col width="14" customWidth="1" style="51" min="2" max="2"/>
    <col width="22" customWidth="1" style="51" min="3" max="3"/>
    <col width="44" customWidth="1" style="51" min="4" max="4"/>
    <col width="18" customWidth="1" style="51" min="5" max="5"/>
    <col width="40" customWidth="1" style="51" min="6" max="6"/>
    <col width="44" customWidth="1" style="51" min="7" max="7"/>
    <col width="36" customWidth="1" style="51" min="8" max="8"/>
    <col width="44" customWidth="1" style="51" min="9" max="9"/>
    <col width="12" customWidth="1" style="51" min="10" max="10"/>
    <col width="44" customWidth="1" style="51" min="11" max="11"/>
    <col width="12" customWidth="1" style="51" min="12" max="12"/>
    <col width="44" customWidth="1" style="51" min="13" max="13"/>
    <col width="12" customWidth="1" style="51" min="14" max="14"/>
    <col width="44" customWidth="1" style="51" min="15" max="15"/>
    <col width="12" customWidth="1" style="51" min="16" max="16"/>
    <col width="44" customWidth="1" style="51" min="17" max="17"/>
    <col width="12" customWidth="1" style="51" min="18" max="18"/>
    <col width="44" customWidth="1" style="51" min="19" max="19"/>
    <col width="12" customWidth="1" style="51" min="20" max="20"/>
    <col width="44" customWidth="1" style="51" min="21" max="21"/>
    <col width="12" customWidth="1" style="51" min="22" max="22"/>
    <col width="44" customWidth="1" style="51" min="23" max="23"/>
    <col width="12" customWidth="1" style="51" min="24" max="24"/>
    <col width="44" customWidth="1" style="51" min="25" max="25"/>
    <col width="12" customWidth="1" style="51" min="26" max="26"/>
    <col width="44" customWidth="1" style="51" min="27" max="27"/>
    <col width="12" customWidth="1" style="51" min="28" max="28"/>
    <col width="14" customWidth="1" style="51" min="29" max="31"/>
    <col width="34" customWidth="1" style="51" min="32" max="32"/>
  </cols>
  <sheetData>
    <row r="1">
      <c r="A1" s="1" t="inlineStr">
        <is>
          <t>Greek Pantheon Tech Directory</t>
        </is>
      </c>
    </row>
    <row r="2">
      <c r="A2" s="3" t="inlineStr">
        <is>
          <t>150 fictional tech companies, 10 products each. All company, product and specification data is fictional sample data.</t>
        </is>
      </c>
    </row>
    <row r="4">
      <c r="B4" s="5" t="inlineStr">
        <is>
          <t>LEGEND</t>
        </is>
      </c>
    </row>
    <row r="5">
      <c r="B5" s="7" t="inlineStr">
        <is>
          <t>Color</t>
        </is>
      </c>
      <c r="C5" s="7" t="inlineStr">
        <is>
          <t>Company Type</t>
        </is>
      </c>
      <c r="D5" s="7" t="inlineStr">
        <is>
          <t>Count</t>
        </is>
      </c>
    </row>
    <row r="6">
      <c r="B6" s="8" t="n"/>
      <c r="C6" s="9" t="inlineStr">
        <is>
          <t>Headphones &amp; Earbuds</t>
        </is>
      </c>
      <c r="D6" s="12">
        <f>COUNTIF($C$14:$C$163,C6)</f>
        <v/>
      </c>
    </row>
    <row r="7">
      <c r="B7" s="13" t="n"/>
      <c r="C7" s="9" t="inlineStr">
        <is>
          <t>Laptops</t>
        </is>
      </c>
      <c r="D7" s="12">
        <f>COUNTIF($C$14:$C$163,C7)</f>
        <v/>
      </c>
    </row>
    <row r="8">
      <c r="B8" s="14" t="n"/>
      <c r="C8" s="9" t="inlineStr">
        <is>
          <t>Smartphones &amp; Tablets</t>
        </is>
      </c>
      <c r="D8" s="12">
        <f>COUNTIF($C$14:$C$163,C8)</f>
        <v/>
      </c>
    </row>
    <row r="9">
      <c r="B9" s="16" t="n"/>
      <c r="C9" s="9" t="inlineStr">
        <is>
          <t>Computer Hardware</t>
        </is>
      </c>
      <c r="D9" s="12">
        <f>COUNTIF($C$14:$C$163,C9)</f>
        <v/>
      </c>
    </row>
    <row r="10">
      <c r="C10" s="17" t="inlineStr">
        <is>
          <t>Total</t>
        </is>
      </c>
      <c r="D10" s="18">
        <f>SUM(D6:D9)</f>
        <v/>
      </c>
    </row>
    <row r="13" ht="31.5" customHeight="1" s="51">
      <c r="A13" s="2" t="inlineStr">
        <is>
          <t>#</t>
        </is>
      </c>
      <c r="B13" s="2" t="inlineStr">
        <is>
          <t>Company</t>
        </is>
      </c>
      <c r="C13" s="2" t="inlineStr">
        <is>
          <t>Category</t>
        </is>
      </c>
      <c r="D13" s="2" t="inlineStr">
        <is>
          <t>Other Names (short names, misspellings)</t>
        </is>
      </c>
      <c r="E13" s="2" t="inlineStr">
        <is>
          <t>Standard Warranty</t>
        </is>
      </c>
      <c r="F13" s="2" t="inlineStr">
        <is>
          <t>Company Certifications</t>
        </is>
      </c>
      <c r="G13" s="2" t="inlineStr">
        <is>
          <t>Use-Case Focus</t>
        </is>
      </c>
      <c r="H13" s="2" t="inlineStr">
        <is>
          <t>Product Categories</t>
        </is>
      </c>
      <c r="I13" s="2" t="inlineStr">
        <is>
          <t>Product 1</t>
        </is>
      </c>
      <c r="J13" s="2" t="inlineStr">
        <is>
          <t>Price 1</t>
        </is>
      </c>
      <c r="K13" s="2" t="inlineStr">
        <is>
          <t>Product 2</t>
        </is>
      </c>
      <c r="L13" s="2" t="inlineStr">
        <is>
          <t>Price 2</t>
        </is>
      </c>
      <c r="M13" s="2" t="inlineStr">
        <is>
          <t>Product 3</t>
        </is>
      </c>
      <c r="N13" s="2" t="inlineStr">
        <is>
          <t>Price 3</t>
        </is>
      </c>
      <c r="O13" s="2" t="inlineStr">
        <is>
          <t>Product 4</t>
        </is>
      </c>
      <c r="P13" s="2" t="inlineStr">
        <is>
          <t>Price 4</t>
        </is>
      </c>
      <c r="Q13" s="2" t="inlineStr">
        <is>
          <t>Product 5</t>
        </is>
      </c>
      <c r="R13" s="2" t="inlineStr">
        <is>
          <t>Price 5</t>
        </is>
      </c>
      <c r="S13" s="2" t="inlineStr">
        <is>
          <t>Product 6</t>
        </is>
      </c>
      <c r="T13" s="2" t="inlineStr">
        <is>
          <t>Price 6</t>
        </is>
      </c>
      <c r="U13" s="2" t="inlineStr">
        <is>
          <t>Product 7</t>
        </is>
      </c>
      <c r="V13" s="2" t="inlineStr">
        <is>
          <t>Price 7</t>
        </is>
      </c>
      <c r="W13" s="2" t="inlineStr">
        <is>
          <t>Product 8</t>
        </is>
      </c>
      <c r="X13" s="2" t="inlineStr">
        <is>
          <t>Price 8</t>
        </is>
      </c>
      <c r="Y13" s="2" t="inlineStr">
        <is>
          <t>Product 9</t>
        </is>
      </c>
      <c r="Z13" s="2" t="inlineStr">
        <is>
          <t>Price 9</t>
        </is>
      </c>
      <c r="AA13" s="2" t="inlineStr">
        <is>
          <t>Product 10</t>
        </is>
      </c>
      <c r="AB13" s="2" t="inlineStr">
        <is>
          <t>Price 10</t>
        </is>
      </c>
      <c r="AC13" s="2" t="inlineStr">
        <is>
          <t>Lowest Price</t>
        </is>
      </c>
      <c r="AD13" s="2" t="inlineStr">
        <is>
          <t>Highest Price</t>
        </is>
      </c>
      <c r="AE13" s="2" t="inlineStr">
        <is>
          <t>Average Price</t>
        </is>
      </c>
      <c r="AF13" s="2" t="inlineStr">
        <is>
          <t>Return Policy (days) (generated)</t>
        </is>
      </c>
    </row>
    <row r="14">
      <c r="A14" s="4" t="n">
        <v>1</v>
      </c>
      <c r="B14" s="10" t="inlineStr">
        <is>
          <t>Morpheus</t>
        </is>
      </c>
      <c r="C14" s="4" t="inlineStr">
        <is>
          <t>Headphones &amp; Earbuds</t>
        </is>
      </c>
      <c r="D14" s="4" t="inlineStr">
        <is>
          <t>Morpheus Audio; MORPHEUS; Morpheuss; Morppheus</t>
        </is>
      </c>
      <c r="E14" s="4" t="inlineStr">
        <is>
          <t>1 year limited</t>
        </is>
      </c>
      <c r="F14" s="4" t="inlineStr">
        <is>
          <t>ISO 9001, ISO 14001, ISO 45001</t>
        </is>
      </c>
      <c r="G14" s="4" t="inlineStr">
        <is>
          <t>travel, running, audiophile, outdoor</t>
        </is>
      </c>
      <c r="H14" s="4" t="inlineStr">
        <is>
          <t>Earbuds, Headphones, Headset</t>
        </is>
      </c>
      <c r="I14" s="4" t="inlineStr">
        <is>
          <t>Morpheus Onyx Air Kids Headphones</t>
        </is>
      </c>
      <c r="J14" s="15" t="n">
        <v>22.99</v>
      </c>
      <c r="K14" s="4" t="inlineStr">
        <is>
          <t>Morpheus Nova Ultra Wired In-Ear Monitors</t>
        </is>
      </c>
      <c r="L14" s="15" t="n">
        <v>54.99</v>
      </c>
      <c r="M14" s="4" t="inlineStr">
        <is>
          <t>Morpheus Spark Sport Earbuds</t>
        </is>
      </c>
      <c r="N14" s="15" t="n">
        <v>120.99</v>
      </c>
      <c r="O14" s="4" t="inlineStr">
        <is>
          <t>Morpheus Arc Open-Ear Earbuds</t>
        </is>
      </c>
      <c r="P14" s="15" t="n">
        <v>156.99</v>
      </c>
      <c r="Q14" s="4" t="inlineStr">
        <is>
          <t>Morpheus Quanta X Gaming Headset</t>
        </is>
      </c>
      <c r="R14" s="15" t="n">
        <v>171.99</v>
      </c>
      <c r="S14" s="4" t="inlineStr">
        <is>
          <t>Morpheus Pulse X Bone Conduction Headphones</t>
        </is>
      </c>
      <c r="T14" s="15" t="n">
        <v>195.99</v>
      </c>
      <c r="U14" s="4" t="inlineStr">
        <is>
          <t>Morpheus Rift Plus ANC Over-Ear Headphones</t>
        </is>
      </c>
      <c r="V14" s="15" t="n">
        <v>205.99</v>
      </c>
      <c r="W14" s="4" t="inlineStr">
        <is>
          <t>Morpheus Vibe Lite True Wireless Earbuds</t>
        </is>
      </c>
      <c r="X14" s="15" t="n">
        <v>244.99</v>
      </c>
      <c r="Y14" s="4" t="inlineStr">
        <is>
          <t>Morpheus Onyx Air Studio Monitor Headphones</t>
        </is>
      </c>
      <c r="Z14" s="15" t="n">
        <v>374.99</v>
      </c>
      <c r="AA14" s="4" t="inlineStr">
        <is>
          <t>Morpheus Onyx Lite Audiophile Planar Headphones</t>
        </is>
      </c>
      <c r="AB14" s="15" t="n">
        <v>1063.99</v>
      </c>
      <c r="AC14" s="29">
        <f>MIN(J14,L14,N14,P14,R14,T14,V14,X14,Z14,AB14)</f>
        <v/>
      </c>
      <c r="AD14" s="29">
        <f>MAX(J14,L14,N14,P14,R14,T14,V14,X14,Z14,AB14)</f>
        <v/>
      </c>
      <c r="AE14" s="29">
        <f>AVERAGE(J14,L14,N14,P14,R14,T14,V14,X14,Z14,AB14)</f>
        <v/>
      </c>
      <c r="AF14" s="0" t="n">
        <v>60</v>
      </c>
    </row>
    <row r="15">
      <c r="A15" s="4" t="n">
        <v>2</v>
      </c>
      <c r="B15" s="10" t="inlineStr">
        <is>
          <t>Carpo</t>
        </is>
      </c>
      <c r="C15" s="4" t="inlineStr">
        <is>
          <t>Headphones &amp; Earbuds</t>
        </is>
      </c>
      <c r="D15" s="4" t="inlineStr">
        <is>
          <t>Carpo Audio; CARPO; Carpoo; Crapo</t>
        </is>
      </c>
      <c r="E15" s="4" t="inlineStr">
        <is>
          <t>1 year limited</t>
        </is>
      </c>
      <c r="F15" s="4" t="inlineStr">
        <is>
          <t>ISO 9001, WEEE Registered, ISO/IEC 27001</t>
        </is>
      </c>
      <c r="G15" s="4" t="inlineStr">
        <is>
          <t>travel, running, school, commute</t>
        </is>
      </c>
      <c r="H15" s="4" t="inlineStr">
        <is>
          <t>Earbuds, Headphones</t>
        </is>
      </c>
      <c r="I15" s="4" t="inlineStr">
        <is>
          <t>Carpo Apex Plus Kids Headphones</t>
        </is>
      </c>
      <c r="J15" s="15" t="n">
        <v>43.99</v>
      </c>
      <c r="K15" s="4" t="inlineStr">
        <is>
          <t>Carpo Nova On-Ear Headphones</t>
        </is>
      </c>
      <c r="L15" s="15" t="n">
        <v>59.99</v>
      </c>
      <c r="M15" s="4" t="inlineStr">
        <is>
          <t>Carpo Quanta Air Bone Conduction Headphones</t>
        </is>
      </c>
      <c r="N15" s="15" t="n">
        <v>134.99</v>
      </c>
      <c r="O15" s="4" t="inlineStr">
        <is>
          <t>Carpo Lumen Pro Open-Ear Earbuds</t>
        </is>
      </c>
      <c r="P15" s="15" t="n">
        <v>136.99</v>
      </c>
      <c r="Q15" s="4" t="inlineStr">
        <is>
          <t>Carpo Flux Pro Sport Earbuds</t>
        </is>
      </c>
      <c r="R15" s="15" t="n">
        <v>153.99</v>
      </c>
      <c r="S15" s="4" t="inlineStr">
        <is>
          <t>Carpo Nova Air Wired In-Ear Monitors</t>
        </is>
      </c>
      <c r="T15" s="15" t="n">
        <v>183.99</v>
      </c>
      <c r="U15" s="4" t="inlineStr">
        <is>
          <t>Carpo Nova Plus Studio Monitor Headphones</t>
        </is>
      </c>
      <c r="V15" s="15" t="n">
        <v>213.99</v>
      </c>
      <c r="W15" s="4" t="inlineStr">
        <is>
          <t>Carpo Nova ANC Over-Ear Headphones</t>
        </is>
      </c>
      <c r="X15" s="15" t="n">
        <v>265.99</v>
      </c>
      <c r="Y15" s="4" t="inlineStr">
        <is>
          <t>Carpo Halo Max Sleep Earbuds</t>
        </is>
      </c>
      <c r="Z15" s="15" t="n">
        <v>274.99</v>
      </c>
      <c r="AA15" s="4" t="inlineStr">
        <is>
          <t>Carpo Lumen Air Audiophile Planar Headphones</t>
        </is>
      </c>
      <c r="AB15" s="15" t="n">
        <v>341.99</v>
      </c>
      <c r="AC15" s="29">
        <f>MIN(J15,L15,N15,P15,R15,T15,V15,X15,Z15,AB15)</f>
        <v/>
      </c>
      <c r="AD15" s="29">
        <f>MAX(J15,L15,N15,P15,R15,T15,V15,X15,Z15,AB15)</f>
        <v/>
      </c>
      <c r="AE15" s="29">
        <f>AVERAGE(J15,L15,N15,P15,R15,T15,V15,X15,Z15,AB15)</f>
        <v/>
      </c>
      <c r="AF15" s="0" t="n">
        <v>30</v>
      </c>
    </row>
    <row r="16">
      <c r="A16" s="4" t="n">
        <v>3</v>
      </c>
      <c r="B16" s="10" t="inlineStr">
        <is>
          <t>Himeros</t>
        </is>
      </c>
      <c r="C16" s="4" t="inlineStr">
        <is>
          <t>Headphones &amp; Earbuds</t>
        </is>
      </c>
      <c r="D16" s="4" t="inlineStr">
        <is>
          <t>Himeros Audio; HIMEROS; Himeroos; Himeeros</t>
        </is>
      </c>
      <c r="E16" s="4" t="inlineStr">
        <is>
          <t>1 year limited</t>
        </is>
      </c>
      <c r="F16" s="4" t="inlineStr">
        <is>
          <t>ISO 9001, ISO 45001, ISO/IEC 27001</t>
        </is>
      </c>
      <c r="G16" s="4" t="inlineStr">
        <is>
          <t>travel, running, school, outdoor</t>
        </is>
      </c>
      <c r="H16" s="4" t="inlineStr">
        <is>
          <t>Earbuds, Headphones, Headset</t>
        </is>
      </c>
      <c r="I16" s="4" t="inlineStr">
        <is>
          <t>Himeros Volt SE Kids Headphones</t>
        </is>
      </c>
      <c r="J16" s="15" t="n">
        <v>45.99</v>
      </c>
      <c r="K16" s="4" t="inlineStr">
        <is>
          <t>Himeros Echo SE Sport Earbuds</t>
        </is>
      </c>
      <c r="L16" s="15" t="n">
        <v>63.99</v>
      </c>
      <c r="M16" s="4" t="inlineStr">
        <is>
          <t>Himeros Wave Max Bone Conduction Headphones</t>
        </is>
      </c>
      <c r="N16" s="15" t="n">
        <v>132.99</v>
      </c>
      <c r="O16" s="4" t="inlineStr">
        <is>
          <t>Himeros Halo Pro Sleep Earbuds</t>
        </is>
      </c>
      <c r="P16" s="15" t="n">
        <v>161.99</v>
      </c>
      <c r="Q16" s="4" t="inlineStr">
        <is>
          <t>Himeros Arc True Wireless Earbuds</t>
        </is>
      </c>
      <c r="R16" s="15" t="n">
        <v>166.99</v>
      </c>
      <c r="S16" s="4" t="inlineStr">
        <is>
          <t>Himeros Sable SE On-Ear Headphones</t>
        </is>
      </c>
      <c r="T16" s="15" t="n">
        <v>179.99</v>
      </c>
      <c r="U16" s="4" t="inlineStr">
        <is>
          <t>Himeros Flux Studio Monitor Headphones</t>
        </is>
      </c>
      <c r="V16" s="15" t="n">
        <v>195.99</v>
      </c>
      <c r="W16" s="4" t="inlineStr">
        <is>
          <t>Himeros Aeon Lite Open-Ear Earbuds</t>
        </is>
      </c>
      <c r="X16" s="15" t="n">
        <v>215.99</v>
      </c>
      <c r="Y16" s="4" t="inlineStr">
        <is>
          <t>Himeros Sable Gaming Headset</t>
        </is>
      </c>
      <c r="Z16" s="15" t="n">
        <v>221.99</v>
      </c>
      <c r="AA16" s="4" t="inlineStr">
        <is>
          <t>Himeros Aeon Audiophile Planar Headphones</t>
        </is>
      </c>
      <c r="AB16" s="15" t="n">
        <v>1139.99</v>
      </c>
      <c r="AC16" s="29">
        <f>MIN(J16,L16,N16,P16,R16,T16,V16,X16,Z16,AB16)</f>
        <v/>
      </c>
      <c r="AD16" s="29">
        <f>MAX(J16,L16,N16,P16,R16,T16,V16,X16,Z16,AB16)</f>
        <v/>
      </c>
      <c r="AE16" s="29">
        <f>AVERAGE(J16,L16,N16,P16,R16,T16,V16,X16,Z16,AB16)</f>
        <v/>
      </c>
      <c r="AF16" s="0" t="n">
        <v>30</v>
      </c>
    </row>
    <row r="17">
      <c r="A17" s="4" t="n">
        <v>4</v>
      </c>
      <c r="B17" s="10" t="inlineStr">
        <is>
          <t>Doris</t>
        </is>
      </c>
      <c r="C17" s="4" t="inlineStr">
        <is>
          <t>Headphones &amp; Earbuds</t>
        </is>
      </c>
      <c r="D17" s="4" t="inlineStr">
        <is>
          <t>Doris Audio; DORIS; Dooris; Doirs</t>
        </is>
      </c>
      <c r="E17" s="4" t="inlineStr">
        <is>
          <t>1 year limited</t>
        </is>
      </c>
      <c r="F17" s="4" t="inlineStr">
        <is>
          <t>ISO 9001, WEEE Registered, ISO 14001</t>
        </is>
      </c>
      <c r="G17" s="4" t="inlineStr">
        <is>
          <t>travel, commute, school, everyday</t>
        </is>
      </c>
      <c r="H17" s="4" t="inlineStr">
        <is>
          <t>Earbuds, Headphones, Headset</t>
        </is>
      </c>
      <c r="I17" s="4" t="inlineStr">
        <is>
          <t>Doris Halo SE Kids Headphones</t>
        </is>
      </c>
      <c r="J17" s="15" t="n">
        <v>48.99</v>
      </c>
      <c r="K17" s="4" t="inlineStr">
        <is>
          <t>Doris Echo X On-Ear Headphones</t>
        </is>
      </c>
      <c r="L17" s="15" t="n">
        <v>72.98999999999999</v>
      </c>
      <c r="M17" s="4" t="inlineStr">
        <is>
          <t>Doris Rift Ultra True Wireless Earbuds</t>
        </is>
      </c>
      <c r="N17" s="15" t="n">
        <v>115.99</v>
      </c>
      <c r="O17" s="4" t="inlineStr">
        <is>
          <t>Doris Halo Wired In-Ear Monitors</t>
        </is>
      </c>
      <c r="P17" s="15" t="n">
        <v>165.99</v>
      </c>
      <c r="Q17" s="4" t="inlineStr">
        <is>
          <t>Doris Vertex Air Sleep Earbuds</t>
        </is>
      </c>
      <c r="R17" s="15" t="n">
        <v>171.99</v>
      </c>
      <c r="S17" s="4" t="inlineStr">
        <is>
          <t>Doris Echo Lite Bone Conduction Headphones</t>
        </is>
      </c>
      <c r="T17" s="15" t="n">
        <v>193.99</v>
      </c>
      <c r="U17" s="4" t="inlineStr">
        <is>
          <t>Doris Echo Plus Gaming Headset</t>
        </is>
      </c>
      <c r="V17" s="15" t="n">
        <v>325.99</v>
      </c>
      <c r="W17" s="4" t="inlineStr">
        <is>
          <t>Doris Pulse SE ANC Over-Ear Headphones</t>
        </is>
      </c>
      <c r="X17" s="15" t="n">
        <v>342.99</v>
      </c>
      <c r="Y17" s="4" t="inlineStr">
        <is>
          <t>Doris Rift Air Studio Monitor Headphones</t>
        </is>
      </c>
      <c r="Z17" s="15" t="n">
        <v>355.99</v>
      </c>
      <c r="AA17" s="4" t="inlineStr">
        <is>
          <t>Doris Vibe Pro Audiophile Planar Headphones</t>
        </is>
      </c>
      <c r="AB17" s="15" t="n">
        <v>1294.99</v>
      </c>
      <c r="AC17" s="29">
        <f>MIN(J17,L17,N17,P17,R17,T17,V17,X17,Z17,AB17)</f>
        <v/>
      </c>
      <c r="AD17" s="29">
        <f>MAX(J17,L17,N17,P17,R17,T17,V17,X17,Z17,AB17)</f>
        <v/>
      </c>
      <c r="AE17" s="29">
        <f>AVERAGE(J17,L17,N17,P17,R17,T17,V17,X17,Z17,AB17)</f>
        <v/>
      </c>
      <c r="AF17" s="0" t="n">
        <v>60</v>
      </c>
    </row>
    <row r="18">
      <c r="A18" s="4" t="n">
        <v>5</v>
      </c>
      <c r="B18" s="10" t="inlineStr">
        <is>
          <t>Deimos</t>
        </is>
      </c>
      <c r="C18" s="4" t="inlineStr">
        <is>
          <t>Headphones &amp; Earbuds</t>
        </is>
      </c>
      <c r="D18" s="4" t="inlineStr">
        <is>
          <t>Deimos Audio; DEIMOS; Deimmos; Diemos</t>
        </is>
      </c>
      <c r="E18" s="4" t="inlineStr">
        <is>
          <t>1 year limited</t>
        </is>
      </c>
      <c r="F18" s="4" t="inlineStr">
        <is>
          <t>ISO 9001, RoHS Compliant, ISO 45001</t>
        </is>
      </c>
      <c r="G18" s="4" t="inlineStr">
        <is>
          <t>commute, running, travel, everyday</t>
        </is>
      </c>
      <c r="H18" s="4" t="inlineStr">
        <is>
          <t>Earbuds, Headphones</t>
        </is>
      </c>
      <c r="I18" s="4" t="inlineStr">
        <is>
          <t>Deimos Aeon X On-Ear Headphones</t>
        </is>
      </c>
      <c r="J18" s="15" t="n">
        <v>60.99</v>
      </c>
      <c r="K18" s="4" t="inlineStr">
        <is>
          <t>Deimos Quanta X Sport Earbuds</t>
        </is>
      </c>
      <c r="L18" s="15" t="n">
        <v>68.98999999999999</v>
      </c>
      <c r="M18" s="4" t="inlineStr">
        <is>
          <t>Deimos Crest Bone Conduction Headphones</t>
        </is>
      </c>
      <c r="N18" s="15" t="n">
        <v>83.98999999999999</v>
      </c>
      <c r="O18" s="4" t="inlineStr">
        <is>
          <t>Deimos Lumen X True Wireless Earbuds</t>
        </is>
      </c>
      <c r="P18" s="15" t="n">
        <v>111.99</v>
      </c>
      <c r="Q18" s="4" t="inlineStr">
        <is>
          <t>Deimos Aeon Plus Open-Ear Earbuds</t>
        </is>
      </c>
      <c r="R18" s="15" t="n">
        <v>154.99</v>
      </c>
      <c r="S18" s="4" t="inlineStr">
        <is>
          <t>Deimos Halo Plus Sleep Earbuds</t>
        </is>
      </c>
      <c r="T18" s="15" t="n">
        <v>164.99</v>
      </c>
      <c r="U18" s="4" t="inlineStr">
        <is>
          <t>Deimos Core SE Studio Monitor Headphones</t>
        </is>
      </c>
      <c r="V18" s="15" t="n">
        <v>220.99</v>
      </c>
      <c r="W18" s="4" t="inlineStr">
        <is>
          <t>Deimos Apex X ANC Over-Ear Headphones</t>
        </is>
      </c>
      <c r="X18" s="15" t="n">
        <v>362.99</v>
      </c>
      <c r="Y18" s="4" t="inlineStr">
        <is>
          <t>Deimos Rift Wired In-Ear Monitors</t>
        </is>
      </c>
      <c r="Z18" s="15" t="n">
        <v>398.99</v>
      </c>
      <c r="AA18" s="4" t="inlineStr">
        <is>
          <t>Deimos Orbit Plus Audiophile Planar Headphones</t>
        </is>
      </c>
      <c r="AB18" s="15" t="n">
        <v>1455.99</v>
      </c>
      <c r="AC18" s="29">
        <f>MIN(J18,L18,N18,P18,R18,T18,V18,X18,Z18,AB18)</f>
        <v/>
      </c>
      <c r="AD18" s="29">
        <f>MAX(J18,L18,N18,P18,R18,T18,V18,X18,Z18,AB18)</f>
        <v/>
      </c>
      <c r="AE18" s="29">
        <f>AVERAGE(J18,L18,N18,P18,R18,T18,V18,X18,Z18,AB18)</f>
        <v/>
      </c>
      <c r="AF18" s="0" t="n">
        <v>15</v>
      </c>
    </row>
    <row r="19">
      <c r="A19" s="4" t="n">
        <v>6</v>
      </c>
      <c r="B19" s="10" t="inlineStr">
        <is>
          <t>Asteria</t>
        </is>
      </c>
      <c r="C19" s="4" t="inlineStr">
        <is>
          <t>Headphones &amp; Earbuds</t>
        </is>
      </c>
      <c r="D19" s="4" t="inlineStr">
        <is>
          <t>Asteria Audio; ASTERIA; Asteri; Atseria</t>
        </is>
      </c>
      <c r="E19" s="4" t="inlineStr">
        <is>
          <t>1 year limited</t>
        </is>
      </c>
      <c r="F19" s="4" t="inlineStr">
        <is>
          <t>ISO 9001, WEEE Registered, ISO 45001</t>
        </is>
      </c>
      <c r="G19" s="4" t="inlineStr">
        <is>
          <t>commute, travel, everyday, running</t>
        </is>
      </c>
      <c r="H19" s="4" t="inlineStr">
        <is>
          <t>Earbuds, Headphones, Headset</t>
        </is>
      </c>
      <c r="I19" s="4" t="inlineStr">
        <is>
          <t>Asteria Apex Air On-Ear Headphones</t>
        </is>
      </c>
      <c r="J19" s="15" t="n">
        <v>60.99</v>
      </c>
      <c r="K19" s="4" t="inlineStr">
        <is>
          <t>Asteria Core Sport Earbuds</t>
        </is>
      </c>
      <c r="L19" s="15" t="n">
        <v>72.98999999999999</v>
      </c>
      <c r="M19" s="4" t="inlineStr">
        <is>
          <t>Asteria Core Max Gaming Headset</t>
        </is>
      </c>
      <c r="N19" s="15" t="n">
        <v>127.99</v>
      </c>
      <c r="O19" s="4" t="inlineStr">
        <is>
          <t>Asteria Volt Max Wired In-Ear Monitors</t>
        </is>
      </c>
      <c r="P19" s="15" t="n">
        <v>139.99</v>
      </c>
      <c r="Q19" s="4" t="inlineStr">
        <is>
          <t>Asteria Drift Air Bone Conduction Headphones</t>
        </is>
      </c>
      <c r="R19" s="15" t="n">
        <v>181.99</v>
      </c>
      <c r="S19" s="4" t="inlineStr">
        <is>
          <t>Asteria Halo Plus True Wireless Earbuds</t>
        </is>
      </c>
      <c r="T19" s="15" t="n">
        <v>202.99</v>
      </c>
      <c r="U19" s="4" t="inlineStr">
        <is>
          <t>Asteria Aeon Air ANC Over-Ear Headphones</t>
        </is>
      </c>
      <c r="V19" s="15" t="n">
        <v>228.99</v>
      </c>
      <c r="W19" s="4" t="inlineStr">
        <is>
          <t>Asteria Rift Studio Monitor Headphones</t>
        </is>
      </c>
      <c r="X19" s="15" t="n">
        <v>251.99</v>
      </c>
      <c r="Y19" s="4" t="inlineStr">
        <is>
          <t>Asteria Prism X Sleep Earbuds</t>
        </is>
      </c>
      <c r="Z19" s="15" t="n">
        <v>278.99</v>
      </c>
      <c r="AA19" s="4" t="inlineStr">
        <is>
          <t>Asteria Blaze Air Audiophile Planar Headphones</t>
        </is>
      </c>
      <c r="AB19" s="15" t="n">
        <v>517.99</v>
      </c>
      <c r="AC19" s="29">
        <f>MIN(J19,L19,N19,P19,R19,T19,V19,X19,Z19,AB19)</f>
        <v/>
      </c>
      <c r="AD19" s="29">
        <f>MAX(J19,L19,N19,P19,R19,T19,V19,X19,Z19,AB19)</f>
        <v/>
      </c>
      <c r="AE19" s="29">
        <f>AVERAGE(J19,L19,N19,P19,R19,T19,V19,X19,Z19,AB19)</f>
        <v/>
      </c>
      <c r="AF19" s="0" t="n">
        <v>15</v>
      </c>
    </row>
    <row r="20">
      <c r="A20" s="4" t="n">
        <v>7</v>
      </c>
      <c r="B20" s="10" t="inlineStr">
        <is>
          <t>Tethys</t>
        </is>
      </c>
      <c r="C20" s="4" t="inlineStr">
        <is>
          <t>Headphones &amp; Earbuds</t>
        </is>
      </c>
      <c r="D20" s="4" t="inlineStr">
        <is>
          <t>Tethys Audio; TETHYS; Tethyys; Teethys</t>
        </is>
      </c>
      <c r="E20" s="4" t="inlineStr">
        <is>
          <t>1 year limited</t>
        </is>
      </c>
      <c r="F20" s="4" t="inlineStr">
        <is>
          <t>ISO 9001, ISO/IEC 27001, ISO 14001</t>
        </is>
      </c>
      <c r="G20" s="4" t="inlineStr">
        <is>
          <t>travel, commute, school, running</t>
        </is>
      </c>
      <c r="H20" s="4" t="inlineStr">
        <is>
          <t>Earbuds, Headphones, Headset</t>
        </is>
      </c>
      <c r="I20" s="4" t="inlineStr">
        <is>
          <t>Tethys Pulse Kids Headphones</t>
        </is>
      </c>
      <c r="J20" s="15" t="n">
        <v>53.99</v>
      </c>
      <c r="K20" s="4" t="inlineStr">
        <is>
          <t>Tethys Quanta Lite Sport Earbuds</t>
        </is>
      </c>
      <c r="L20" s="15" t="n">
        <v>57.99</v>
      </c>
      <c r="M20" s="4" t="inlineStr">
        <is>
          <t>Tethys Pulse Plus On-Ear Headphones</t>
        </is>
      </c>
      <c r="N20" s="15" t="n">
        <v>69.98999999999999</v>
      </c>
      <c r="O20" s="4" t="inlineStr">
        <is>
          <t>Tethys Vertex Lite Gaming Headset</t>
        </is>
      </c>
      <c r="P20" s="15" t="n">
        <v>123.99</v>
      </c>
      <c r="Q20" s="4" t="inlineStr">
        <is>
          <t>Tethys Drift Max Sleep Earbuds</t>
        </is>
      </c>
      <c r="R20" s="15" t="n">
        <v>131.99</v>
      </c>
      <c r="S20" s="4" t="inlineStr">
        <is>
          <t>Tethys Axis SE Bone Conduction Headphones</t>
        </is>
      </c>
      <c r="T20" s="15" t="n">
        <v>148.99</v>
      </c>
      <c r="U20" s="4" t="inlineStr">
        <is>
          <t>Tethys Quanta Plus ANC Over-Ear Headphones</t>
        </is>
      </c>
      <c r="V20" s="15" t="n">
        <v>168.99</v>
      </c>
      <c r="W20" s="4" t="inlineStr">
        <is>
          <t>Tethys Blaze Ultra Studio Monitor Headphones</t>
        </is>
      </c>
      <c r="X20" s="15" t="n">
        <v>180.99</v>
      </c>
      <c r="Y20" s="4" t="inlineStr">
        <is>
          <t>Tethys Echo Plus True Wireless Earbuds</t>
        </is>
      </c>
      <c r="Z20" s="15" t="n">
        <v>187.99</v>
      </c>
      <c r="AA20" s="4" t="inlineStr">
        <is>
          <t>Tethys Prism Plus Audiophile Planar Headphones</t>
        </is>
      </c>
      <c r="AB20" s="15" t="n">
        <v>383.99</v>
      </c>
      <c r="AC20" s="29">
        <f>MIN(J20,L20,N20,P20,R20,T20,V20,X20,Z20,AB20)</f>
        <v/>
      </c>
      <c r="AD20" s="29">
        <f>MAX(J20,L20,N20,P20,R20,T20,V20,X20,Z20,AB20)</f>
        <v/>
      </c>
      <c r="AE20" s="29">
        <f>AVERAGE(J20,L20,N20,P20,R20,T20,V20,X20,Z20,AB20)</f>
        <v/>
      </c>
      <c r="AF20" s="0" t="n">
        <v>30</v>
      </c>
    </row>
    <row r="21" ht="15.75" customHeight="1" s="51">
      <c r="A21" s="4" t="n">
        <v>8</v>
      </c>
      <c r="B21" s="10" t="inlineStr">
        <is>
          <t>Menoetius</t>
        </is>
      </c>
      <c r="C21" s="4" t="inlineStr">
        <is>
          <t>Headphones &amp; Earbuds</t>
        </is>
      </c>
      <c r="D21" s="4" t="inlineStr">
        <is>
          <t>Menoetius Audio; MENOETIUS; Menoetuis; Menoeetius</t>
        </is>
      </c>
      <c r="E21" s="4" t="inlineStr">
        <is>
          <t>1 year limited</t>
        </is>
      </c>
      <c r="F21" s="4" t="inlineStr">
        <is>
          <t>ISO 9001, ISO/IEC 27001, WEEE Registered</t>
        </is>
      </c>
      <c r="G21" s="4" t="inlineStr">
        <is>
          <t>commute, travel, everyday, running</t>
        </is>
      </c>
      <c r="H21" s="4" t="inlineStr">
        <is>
          <t>Earbuds, Headphones, Headset</t>
        </is>
      </c>
      <c r="I21" s="4" t="inlineStr">
        <is>
          <t>Menoetius Sable Lite On-Ear Headphones</t>
        </is>
      </c>
      <c r="J21" s="15" t="n">
        <v>99.98999999999999</v>
      </c>
      <c r="K21" s="4" t="inlineStr">
        <is>
          <t>Menoetius Pulse Pro True Wireless Earbuds</t>
        </is>
      </c>
      <c r="L21" s="15" t="n">
        <v>105.99</v>
      </c>
      <c r="M21" s="4" t="inlineStr">
        <is>
          <t>Menoetius Strata Open-Ear Earbuds</t>
        </is>
      </c>
      <c r="N21" s="15" t="n">
        <v>175.99</v>
      </c>
      <c r="O21" s="4" t="inlineStr">
        <is>
          <t>Menoetius Sable Pro Bone Conduction Headphones</t>
        </is>
      </c>
      <c r="P21" s="15" t="n">
        <v>183.99</v>
      </c>
      <c r="Q21" s="4" t="inlineStr">
        <is>
          <t>Menoetius Wave Gaming Headset</t>
        </is>
      </c>
      <c r="R21" s="15" t="n">
        <v>184.99</v>
      </c>
      <c r="S21" s="4" t="inlineStr">
        <is>
          <t>Menoetius Pulse Lite Sleep Earbuds</t>
        </is>
      </c>
      <c r="T21" s="15" t="n">
        <v>203.99</v>
      </c>
      <c r="U21" s="4" t="inlineStr">
        <is>
          <t>Menoetius Volt Max Wired In-Ear Monitors</t>
        </is>
      </c>
      <c r="V21" s="15" t="n">
        <v>249.99</v>
      </c>
      <c r="W21" s="4" t="inlineStr">
        <is>
          <t>Menoetius Arc Pro Studio Monitor Headphones</t>
        </is>
      </c>
      <c r="X21" s="15" t="n">
        <v>338.99</v>
      </c>
      <c r="Y21" s="4" t="inlineStr">
        <is>
          <t>Menoetius Strata Pro ANC Over-Ear Headphones</t>
        </is>
      </c>
      <c r="Z21" s="15" t="n">
        <v>490.99</v>
      </c>
      <c r="AA21" s="4" t="inlineStr">
        <is>
          <t>Menoetius Sable SE Audiophile Planar Headphones</t>
        </is>
      </c>
      <c r="AB21" s="15" t="n">
        <v>978.99</v>
      </c>
      <c r="AC21" s="29">
        <f>MIN(J21,L21,N21,P21,R21,T21,V21,X21,Z21,AB21)</f>
        <v/>
      </c>
      <c r="AD21" s="29">
        <f>MAX(J21,L21,N21,P21,R21,T21,V21,X21,Z21,AB21)</f>
        <v/>
      </c>
      <c r="AE21" s="29">
        <f>AVERAGE(J21,L21,N21,P21,R21,T21,V21,X21,Z21,AB21)</f>
        <v/>
      </c>
      <c r="AF21" s="0" t="n">
        <v>30</v>
      </c>
    </row>
    <row r="22" ht="15.75" customHeight="1" s="51">
      <c r="A22" s="4" t="n">
        <v>9</v>
      </c>
      <c r="B22" s="10" t="inlineStr">
        <is>
          <t>Phosphorus</t>
        </is>
      </c>
      <c r="C22" s="4" t="inlineStr">
        <is>
          <t>Headphones &amp; Earbuds</t>
        </is>
      </c>
      <c r="D22" s="4" t="inlineStr">
        <is>
          <t>Phosphorus Audio; PHOSPHORUS; Phosphrous; Phosphhorus</t>
        </is>
      </c>
      <c r="E22" s="4" t="inlineStr">
        <is>
          <t>1 year limited</t>
        </is>
      </c>
      <c r="F22" s="4" t="inlineStr">
        <is>
          <t>ISO 9001, RoHS Compliant, ISO 45001</t>
        </is>
      </c>
      <c r="G22" s="4" t="inlineStr">
        <is>
          <t>travel, school, running, commute</t>
        </is>
      </c>
      <c r="H22" s="4" t="inlineStr">
        <is>
          <t>Earbuds, Headphones, Headset</t>
        </is>
      </c>
      <c r="I22" s="4" t="inlineStr">
        <is>
          <t>Phosphorus Core Kids Headphones</t>
        </is>
      </c>
      <c r="J22" s="15" t="n">
        <v>30.99</v>
      </c>
      <c r="K22" s="4" t="inlineStr">
        <is>
          <t>Phosphorus Quanta Max Gaming Headset</t>
        </is>
      </c>
      <c r="L22" s="15" t="n">
        <v>107.99</v>
      </c>
      <c r="M22" s="4" t="inlineStr">
        <is>
          <t>Phosphorus Nimbus X Sleep Earbuds</t>
        </is>
      </c>
      <c r="N22" s="15" t="n">
        <v>127.99</v>
      </c>
      <c r="O22" s="4" t="inlineStr">
        <is>
          <t>Phosphorus Crest Air Sport Earbuds</t>
        </is>
      </c>
      <c r="P22" s="15" t="n">
        <v>149.99</v>
      </c>
      <c r="Q22" s="4" t="inlineStr">
        <is>
          <t>Phosphorus Flux X ANC Over-Ear Headphones</t>
        </is>
      </c>
      <c r="R22" s="15" t="n">
        <v>167.99</v>
      </c>
      <c r="S22" s="4" t="inlineStr">
        <is>
          <t>Phosphorus Lumen Max Studio Monitor Headphones</t>
        </is>
      </c>
      <c r="T22" s="15" t="n">
        <v>189.99</v>
      </c>
      <c r="U22" s="4" t="inlineStr">
        <is>
          <t>Phosphorus Zen Open-Ear Earbuds</t>
        </is>
      </c>
      <c r="V22" s="15" t="n">
        <v>215.99</v>
      </c>
      <c r="W22" s="4" t="inlineStr">
        <is>
          <t>Phosphorus Volt Plus Wired In-Ear Monitors</t>
        </is>
      </c>
      <c r="X22" s="15" t="n">
        <v>236.99</v>
      </c>
      <c r="Y22" s="4" t="inlineStr">
        <is>
          <t>Phosphorus Vertex On-Ear Headphones</t>
        </is>
      </c>
      <c r="Z22" s="15" t="n">
        <v>239.99</v>
      </c>
      <c r="AA22" s="4" t="inlineStr">
        <is>
          <t>Phosphorus Rift Air Audiophile Planar Headphones</t>
        </is>
      </c>
      <c r="AB22" s="15" t="n">
        <v>1362.99</v>
      </c>
      <c r="AC22" s="29">
        <f>MIN(J22,L22,N22,P22,R22,T22,V22,X22,Z22,AB22)</f>
        <v/>
      </c>
      <c r="AD22" s="29">
        <f>MAX(J22,L22,N22,P22,R22,T22,V22,X22,Z22,AB22)</f>
        <v/>
      </c>
      <c r="AE22" s="29">
        <f>AVERAGE(J22,L22,N22,P22,R22,T22,V22,X22,Z22,AB22)</f>
        <v/>
      </c>
      <c r="AF22" s="0" t="n">
        <v>15</v>
      </c>
    </row>
    <row r="23" ht="15.75" customHeight="1" s="51">
      <c r="A23" s="4" t="n">
        <v>10</v>
      </c>
      <c r="B23" s="10" t="inlineStr">
        <is>
          <t>Hedone</t>
        </is>
      </c>
      <c r="C23" s="4" t="inlineStr">
        <is>
          <t>Headphones &amp; Earbuds</t>
        </is>
      </c>
      <c r="D23" s="4" t="inlineStr">
        <is>
          <t>Hedone Audio; HEDONE; Hedonee; Hedonne</t>
        </is>
      </c>
      <c r="E23" s="4" t="inlineStr">
        <is>
          <t>1 year limited</t>
        </is>
      </c>
      <c r="F23" s="4" t="inlineStr">
        <is>
          <t>ISO 9001, ISO 14001, ISO/IEC 27001</t>
        </is>
      </c>
      <c r="G23" s="4" t="inlineStr">
        <is>
          <t>running, travel, everyday, commute</t>
        </is>
      </c>
      <c r="H23" s="4" t="inlineStr">
        <is>
          <t>Earbuds, Headphones, Headset</t>
        </is>
      </c>
      <c r="I23" s="4" t="inlineStr">
        <is>
          <t>Hedone Halo SE Gaming Headset</t>
        </is>
      </c>
      <c r="J23" s="15" t="n">
        <v>113.99</v>
      </c>
      <c r="K23" s="4" t="inlineStr">
        <is>
          <t>Hedone Prism Pro Sport Earbuds</t>
        </is>
      </c>
      <c r="L23" s="15" t="n">
        <v>115.99</v>
      </c>
      <c r="M23" s="4" t="inlineStr">
        <is>
          <t>Hedone Blaze Max Sleep Earbuds</t>
        </is>
      </c>
      <c r="N23" s="15" t="n">
        <v>129.99</v>
      </c>
      <c r="O23" s="4" t="inlineStr">
        <is>
          <t>Hedone Nimbus Max On-Ear Headphones</t>
        </is>
      </c>
      <c r="P23" s="15" t="n">
        <v>141.99</v>
      </c>
      <c r="Q23" s="4" t="inlineStr">
        <is>
          <t>Hedone Aria Bone Conduction Headphones</t>
        </is>
      </c>
      <c r="R23" s="15" t="n">
        <v>148.99</v>
      </c>
      <c r="S23" s="4" t="inlineStr">
        <is>
          <t>Hedone Apex Lite Open-Ear Earbuds</t>
        </is>
      </c>
      <c r="T23" s="15" t="n">
        <v>175.99</v>
      </c>
      <c r="U23" s="4" t="inlineStr">
        <is>
          <t>Hedone Lumen Max True Wireless Earbuds</t>
        </is>
      </c>
      <c r="V23" s="15" t="n">
        <v>205.99</v>
      </c>
      <c r="W23" s="4" t="inlineStr">
        <is>
          <t>Hedone Sable X Studio Monitor Headphones</t>
        </is>
      </c>
      <c r="X23" s="15" t="n">
        <v>318.99</v>
      </c>
      <c r="Y23" s="4" t="inlineStr">
        <is>
          <t>Hedone Drift Plus Wired In-Ear Monitors</t>
        </is>
      </c>
      <c r="Z23" s="15" t="n">
        <v>324.99</v>
      </c>
      <c r="AA23" s="4" t="inlineStr">
        <is>
          <t>Hedone Prism SE Audiophile Planar Headphones</t>
        </is>
      </c>
      <c r="AB23" s="15" t="n">
        <v>1336.99</v>
      </c>
      <c r="AC23" s="29">
        <f>MIN(J23,L23,N23,P23,R23,T23,V23,X23,Z23,AB23)</f>
        <v/>
      </c>
      <c r="AD23" s="29">
        <f>MAX(J23,L23,N23,P23,R23,T23,V23,X23,Z23,AB23)</f>
        <v/>
      </c>
      <c r="AE23" s="29">
        <f>AVERAGE(J23,L23,N23,P23,R23,T23,V23,X23,Z23,AB23)</f>
        <v/>
      </c>
      <c r="AF23" s="0" t="n">
        <v>30</v>
      </c>
    </row>
    <row r="24" ht="15.75" customHeight="1" s="51">
      <c r="A24" s="4" t="n">
        <v>11</v>
      </c>
      <c r="B24" s="10" t="inlineStr">
        <is>
          <t>Hebe</t>
        </is>
      </c>
      <c r="C24" s="4" t="inlineStr">
        <is>
          <t>Headphones &amp; Earbuds</t>
        </is>
      </c>
      <c r="D24" s="4" t="inlineStr">
        <is>
          <t>Hebe Audio; HEBE; Heb; Hebbe</t>
        </is>
      </c>
      <c r="E24" s="4" t="inlineStr">
        <is>
          <t>1 year limited</t>
        </is>
      </c>
      <c r="F24" s="4" t="inlineStr">
        <is>
          <t>ISO 9001, ISO 45001, RoHS Compliant</t>
        </is>
      </c>
      <c r="G24" s="4" t="inlineStr">
        <is>
          <t>travel, commute, audiophile, school</t>
        </is>
      </c>
      <c r="H24" s="4" t="inlineStr">
        <is>
          <t>Earbuds, Headphones, Headset</t>
        </is>
      </c>
      <c r="I24" s="4" t="inlineStr">
        <is>
          <t>Hebe Arc Ultra Wired In-Ear Monitors</t>
        </is>
      </c>
      <c r="J24" s="15" t="n">
        <v>37.99</v>
      </c>
      <c r="K24" s="4" t="inlineStr">
        <is>
          <t>Hebe Apex X Kids Headphones</t>
        </is>
      </c>
      <c r="L24" s="15" t="n">
        <v>50.99</v>
      </c>
      <c r="M24" s="4" t="inlineStr">
        <is>
          <t>Hebe Drift True Wireless Earbuds</t>
        </is>
      </c>
      <c r="N24" s="15" t="n">
        <v>85.98999999999999</v>
      </c>
      <c r="O24" s="4" t="inlineStr">
        <is>
          <t>Hebe Aeon SE Open-Ear Earbuds</t>
        </is>
      </c>
      <c r="P24" s="15" t="n">
        <v>96.98999999999999</v>
      </c>
      <c r="Q24" s="4" t="inlineStr">
        <is>
          <t>Hebe Vibe On-Ear Headphones</t>
        </is>
      </c>
      <c r="R24" s="15" t="n">
        <v>108.99</v>
      </c>
      <c r="S24" s="4" t="inlineStr">
        <is>
          <t>Hebe Axis SE Gaming Headset</t>
        </is>
      </c>
      <c r="T24" s="15" t="n">
        <v>147.99</v>
      </c>
      <c r="U24" s="4" t="inlineStr">
        <is>
          <t>Hebe Prism Pro Sleep Earbuds</t>
        </is>
      </c>
      <c r="V24" s="15" t="n">
        <v>270.99</v>
      </c>
      <c r="W24" s="4" t="inlineStr">
        <is>
          <t>Hebe Nimbus Pro ANC Over-Ear Headphones</t>
        </is>
      </c>
      <c r="X24" s="15" t="n">
        <v>401.99</v>
      </c>
      <c r="Y24" s="4" t="inlineStr">
        <is>
          <t>Hebe Strata Studio Monitor Headphones</t>
        </is>
      </c>
      <c r="Z24" s="15" t="n">
        <v>482.99</v>
      </c>
      <c r="AA24" s="4" t="inlineStr">
        <is>
          <t>Hebe Nova Pro Audiophile Planar Headphones</t>
        </is>
      </c>
      <c r="AB24" s="15" t="n">
        <v>984.99</v>
      </c>
      <c r="AC24" s="29">
        <f>MIN(J24,L24,N24,P24,R24,T24,V24,X24,Z24,AB24)</f>
        <v/>
      </c>
      <c r="AD24" s="29">
        <f>MAX(J24,L24,N24,P24,R24,T24,V24,X24,Z24,AB24)</f>
        <v/>
      </c>
      <c r="AE24" s="29">
        <f>AVERAGE(J24,L24,N24,P24,R24,T24,V24,X24,Z24,AB24)</f>
        <v/>
      </c>
      <c r="AF24" s="0" t="n">
        <v>30</v>
      </c>
    </row>
    <row r="25" ht="15.75" customHeight="1" s="51">
      <c r="A25" s="4" t="n">
        <v>12</v>
      </c>
      <c r="B25" s="10" t="inlineStr">
        <is>
          <t>Glaucus</t>
        </is>
      </c>
      <c r="C25" s="4" t="inlineStr">
        <is>
          <t>Headphones &amp; Earbuds</t>
        </is>
      </c>
      <c r="D25" s="4" t="inlineStr">
        <is>
          <t>Glaucus Audio; GLAUCUS; Glaucu; Glauucus</t>
        </is>
      </c>
      <c r="E25" s="4" t="inlineStr">
        <is>
          <t>1 year limited</t>
        </is>
      </c>
      <c r="F25" s="4" t="inlineStr">
        <is>
          <t>ISO 9001, ISO 45001, RoHS Compliant</t>
        </is>
      </c>
      <c r="G25" s="4" t="inlineStr">
        <is>
          <t>travel, running, commute, school</t>
        </is>
      </c>
      <c r="H25" s="4" t="inlineStr">
        <is>
          <t>Earbuds, Headphones, Headset</t>
        </is>
      </c>
      <c r="I25" s="4" t="inlineStr">
        <is>
          <t>Glaucus Aria Air Kids Headphones</t>
        </is>
      </c>
      <c r="J25" s="15" t="n">
        <v>45.99</v>
      </c>
      <c r="K25" s="4" t="inlineStr">
        <is>
          <t>Glaucus Sable Ultra Open-Ear Earbuds</t>
        </is>
      </c>
      <c r="L25" s="15" t="n">
        <v>112.99</v>
      </c>
      <c r="M25" s="4" t="inlineStr">
        <is>
          <t>Glaucus Aria Air Bone Conduction Headphones</t>
        </is>
      </c>
      <c r="N25" s="15" t="n">
        <v>156.99</v>
      </c>
      <c r="O25" s="4" t="inlineStr">
        <is>
          <t>Glaucus Quanta Lite True Wireless Earbuds</t>
        </is>
      </c>
      <c r="P25" s="15" t="n">
        <v>162.99</v>
      </c>
      <c r="Q25" s="4" t="inlineStr">
        <is>
          <t>Glaucus Zen Ultra Sport Earbuds</t>
        </is>
      </c>
      <c r="R25" s="15" t="n">
        <v>190.99</v>
      </c>
      <c r="S25" s="4" t="inlineStr">
        <is>
          <t>Glaucus Orbit Air On-Ear Headphones</t>
        </is>
      </c>
      <c r="T25" s="15" t="n">
        <v>228.99</v>
      </c>
      <c r="U25" s="4" t="inlineStr">
        <is>
          <t>Glaucus Drift Pro Gaming Headset</t>
        </is>
      </c>
      <c r="V25" s="15" t="n">
        <v>296.99</v>
      </c>
      <c r="W25" s="4" t="inlineStr">
        <is>
          <t>Glaucus Core Pro ANC Over-Ear Headphones</t>
        </is>
      </c>
      <c r="X25" s="15" t="n">
        <v>378.99</v>
      </c>
      <c r="Y25" s="4" t="inlineStr">
        <is>
          <t>Glaucus Strata Ultra Studio Monitor Headphones</t>
        </is>
      </c>
      <c r="Z25" s="15" t="n">
        <v>478.99</v>
      </c>
      <c r="AA25" s="4" t="inlineStr">
        <is>
          <t>Glaucus Onyx Air Audiophile Planar Headphones</t>
        </is>
      </c>
      <c r="AB25" s="15" t="n">
        <v>865.99</v>
      </c>
      <c r="AC25" s="29">
        <f>MIN(J25,L25,N25,P25,R25,T25,V25,X25,Z25,AB25)</f>
        <v/>
      </c>
      <c r="AD25" s="29">
        <f>MAX(J25,L25,N25,P25,R25,T25,V25,X25,Z25,AB25)</f>
        <v/>
      </c>
      <c r="AE25" s="29">
        <f>AVERAGE(J25,L25,N25,P25,R25,T25,V25,X25,Z25,AB25)</f>
        <v/>
      </c>
      <c r="AF25" s="0" t="n">
        <v>30</v>
      </c>
    </row>
    <row r="26" ht="15.75" customHeight="1" s="51">
      <c r="A26" s="4" t="n">
        <v>13</v>
      </c>
      <c r="B26" s="10" t="inlineStr">
        <is>
          <t>Zeus</t>
        </is>
      </c>
      <c r="C26" s="4" t="inlineStr">
        <is>
          <t>Headphones &amp; Earbuds</t>
        </is>
      </c>
      <c r="D26" s="4" t="inlineStr">
        <is>
          <t>Zeus Audio; ZEUS; Zeuss; Zeu</t>
        </is>
      </c>
      <c r="E26" s="4" t="inlineStr">
        <is>
          <t>1 year limited</t>
        </is>
      </c>
      <c r="F26" s="4" t="inlineStr">
        <is>
          <t>ISO 9001, ISO/IEC 27001, WEEE Registered</t>
        </is>
      </c>
      <c r="G26" s="4" t="inlineStr">
        <is>
          <t>travel, commute, school, running</t>
        </is>
      </c>
      <c r="H26" s="4" t="inlineStr">
        <is>
          <t>Earbuds, Headphones, Headset</t>
        </is>
      </c>
      <c r="I26" s="4" t="inlineStr">
        <is>
          <t>Zeus Axis Pro Kids Headphones</t>
        </is>
      </c>
      <c r="J26" s="15" t="n">
        <v>27.99</v>
      </c>
      <c r="K26" s="4" t="inlineStr">
        <is>
          <t>Zeus Strata X Open-Ear Earbuds</t>
        </is>
      </c>
      <c r="L26" s="15" t="n">
        <v>83.98999999999999</v>
      </c>
      <c r="M26" s="4" t="inlineStr">
        <is>
          <t>Zeus Nimbus X Sport Earbuds</t>
        </is>
      </c>
      <c r="N26" s="15" t="n">
        <v>145.99</v>
      </c>
      <c r="O26" s="4" t="inlineStr">
        <is>
          <t>Zeus Echo Pro On-Ear Headphones</t>
        </is>
      </c>
      <c r="P26" s="15" t="n">
        <v>164.99</v>
      </c>
      <c r="Q26" s="4" t="inlineStr">
        <is>
          <t>Zeus Arc SE Studio Monitor Headphones</t>
        </is>
      </c>
      <c r="R26" s="15" t="n">
        <v>175.99</v>
      </c>
      <c r="S26" s="4" t="inlineStr">
        <is>
          <t>Zeus Vertex SE ANC Over-Ear Headphones</t>
        </is>
      </c>
      <c r="T26" s="15" t="n">
        <v>180.99</v>
      </c>
      <c r="U26" s="4" t="inlineStr">
        <is>
          <t>Zeus Strata SE Sleep Earbuds</t>
        </is>
      </c>
      <c r="V26" s="15" t="n">
        <v>197.99</v>
      </c>
      <c r="W26" s="4" t="inlineStr">
        <is>
          <t>Zeus Spark Gaming Headset</t>
        </is>
      </c>
      <c r="X26" s="15" t="n">
        <v>242.99</v>
      </c>
      <c r="Y26" s="4" t="inlineStr">
        <is>
          <t>Zeus Volt Max True Wireless Earbuds</t>
        </is>
      </c>
      <c r="Z26" s="15" t="n">
        <v>289.99</v>
      </c>
      <c r="AA26" s="4" t="inlineStr">
        <is>
          <t>Zeus Titan Ultra Audiophile Planar Headphones</t>
        </is>
      </c>
      <c r="AB26" s="15" t="n">
        <v>975.99</v>
      </c>
      <c r="AC26" s="29">
        <f>MIN(J26,L26,N26,P26,R26,T26,V26,X26,Z26,AB26)</f>
        <v/>
      </c>
      <c r="AD26" s="29">
        <f>MAX(J26,L26,N26,P26,R26,T26,V26,X26,Z26,AB26)</f>
        <v/>
      </c>
      <c r="AE26" s="29">
        <f>AVERAGE(J26,L26,N26,P26,R26,T26,V26,X26,Z26,AB26)</f>
        <v/>
      </c>
      <c r="AF26" s="0" t="n">
        <v>15</v>
      </c>
    </row>
    <row r="27" ht="15.75" customHeight="1" s="51">
      <c r="A27" s="4" t="n">
        <v>14</v>
      </c>
      <c r="B27" s="10" t="inlineStr">
        <is>
          <t>Soteria</t>
        </is>
      </c>
      <c r="C27" s="4" t="inlineStr">
        <is>
          <t>Headphones &amp; Earbuds</t>
        </is>
      </c>
      <c r="D27" s="4" t="inlineStr">
        <is>
          <t>Soteria Audio; SOTERIA; Soteriia; Soetria</t>
        </is>
      </c>
      <c r="E27" s="4" t="inlineStr">
        <is>
          <t>1 year limited</t>
        </is>
      </c>
      <c r="F27" s="4" t="inlineStr">
        <is>
          <t>ISO 9001, ISO 45001, ISO/IEC 27001</t>
        </is>
      </c>
      <c r="G27" s="4" t="inlineStr">
        <is>
          <t>travel, commute, school, everyday</t>
        </is>
      </c>
      <c r="H27" s="4" t="inlineStr">
        <is>
          <t>Earbuds, Headphones</t>
        </is>
      </c>
      <c r="I27" s="4" t="inlineStr">
        <is>
          <t>Soteria Lumen Kids Headphones</t>
        </is>
      </c>
      <c r="J27" s="15" t="n">
        <v>55.99</v>
      </c>
      <c r="K27" s="4" t="inlineStr">
        <is>
          <t>Soteria Rift SE On-Ear Headphones</t>
        </is>
      </c>
      <c r="L27" s="15" t="n">
        <v>64.98999999999999</v>
      </c>
      <c r="M27" s="4" t="inlineStr">
        <is>
          <t>Soteria Strata Ultra Sport Earbuds</t>
        </is>
      </c>
      <c r="N27" s="15" t="n">
        <v>72.98999999999999</v>
      </c>
      <c r="O27" s="4" t="inlineStr">
        <is>
          <t>Soteria Crest Air Wired In-Ear Monitors</t>
        </is>
      </c>
      <c r="P27" s="15" t="n">
        <v>79.98999999999999</v>
      </c>
      <c r="Q27" s="4" t="inlineStr">
        <is>
          <t>Soteria Zen SE Bone Conduction Headphones</t>
        </is>
      </c>
      <c r="R27" s="15" t="n">
        <v>127.99</v>
      </c>
      <c r="S27" s="4" t="inlineStr">
        <is>
          <t>Soteria Echo Max Sleep Earbuds</t>
        </is>
      </c>
      <c r="T27" s="15" t="n">
        <v>144.99</v>
      </c>
      <c r="U27" s="4" t="inlineStr">
        <is>
          <t>Soteria Zen Plus True Wireless Earbuds</t>
        </is>
      </c>
      <c r="V27" s="15" t="n">
        <v>164.99</v>
      </c>
      <c r="W27" s="4" t="inlineStr">
        <is>
          <t>Soteria Drift SE ANC Over-Ear Headphones</t>
        </is>
      </c>
      <c r="X27" s="15" t="n">
        <v>190.99</v>
      </c>
      <c r="Y27" s="4" t="inlineStr">
        <is>
          <t>Soteria Zen Pro Studio Monitor Headphones</t>
        </is>
      </c>
      <c r="Z27" s="15" t="n">
        <v>292.99</v>
      </c>
      <c r="AA27" s="4" t="inlineStr">
        <is>
          <t>Soteria Aria Ultra Audiophile Planar Headphones</t>
        </is>
      </c>
      <c r="AB27" s="15" t="n">
        <v>636.99</v>
      </c>
      <c r="AC27" s="29">
        <f>MIN(J27,L27,N27,P27,R27,T27,V27,X27,Z27,AB27)</f>
        <v/>
      </c>
      <c r="AD27" s="29">
        <f>MAX(J27,L27,N27,P27,R27,T27,V27,X27,Z27,AB27)</f>
        <v/>
      </c>
      <c r="AE27" s="29">
        <f>AVERAGE(J27,L27,N27,P27,R27,T27,V27,X27,Z27,AB27)</f>
        <v/>
      </c>
      <c r="AF27" s="0" t="n">
        <v>30</v>
      </c>
    </row>
    <row r="28" ht="15.75" customHeight="1" s="51">
      <c r="A28" s="4" t="n">
        <v>15</v>
      </c>
      <c r="B28" s="10" t="inlineStr">
        <is>
          <t>Aura</t>
        </is>
      </c>
      <c r="C28" s="4" t="inlineStr">
        <is>
          <t>Headphones &amp; Earbuds</t>
        </is>
      </c>
      <c r="D28" s="4" t="inlineStr">
        <is>
          <t>Aura Audio; AURA; Aurra; Auura</t>
        </is>
      </c>
      <c r="E28" s="4" t="inlineStr">
        <is>
          <t>1 year limited</t>
        </is>
      </c>
      <c r="F28" s="4" t="inlineStr">
        <is>
          <t>ISO 9001, ISO/IEC 27001, RoHS Compliant</t>
        </is>
      </c>
      <c r="G28" s="4" t="inlineStr">
        <is>
          <t>travel, commute, school, running</t>
        </is>
      </c>
      <c r="H28" s="4" t="inlineStr">
        <is>
          <t>Earbuds, Headphones, Headset</t>
        </is>
      </c>
      <c r="I28" s="4" t="inlineStr">
        <is>
          <t>Aura Onyx Lite Kids Headphones</t>
        </is>
      </c>
      <c r="J28" s="15" t="n">
        <v>25.99</v>
      </c>
      <c r="K28" s="4" t="inlineStr">
        <is>
          <t>Aura Crest Lite Sleep Earbuds</t>
        </is>
      </c>
      <c r="L28" s="15" t="n">
        <v>103.99</v>
      </c>
      <c r="M28" s="4" t="inlineStr">
        <is>
          <t>Aura Crest X Gaming Headset</t>
        </is>
      </c>
      <c r="N28" s="15" t="n">
        <v>133.99</v>
      </c>
      <c r="O28" s="4" t="inlineStr">
        <is>
          <t>Aura Drift Open-Ear Earbuds</t>
        </is>
      </c>
      <c r="P28" s="15" t="n">
        <v>135.99</v>
      </c>
      <c r="Q28" s="4" t="inlineStr">
        <is>
          <t>Aura Core Plus Bone Conduction Headphones</t>
        </is>
      </c>
      <c r="R28" s="15" t="n">
        <v>167.99</v>
      </c>
      <c r="S28" s="4" t="inlineStr">
        <is>
          <t>Aura Flux X On-Ear Headphones</t>
        </is>
      </c>
      <c r="T28" s="15" t="n">
        <v>229.99</v>
      </c>
      <c r="U28" s="4" t="inlineStr">
        <is>
          <t>Aura Vibe Ultra ANC Over-Ear Headphones</t>
        </is>
      </c>
      <c r="V28" s="15" t="n">
        <v>270.99</v>
      </c>
      <c r="W28" s="4" t="inlineStr">
        <is>
          <t>Aura Halo Ultra True Wireless Earbuds</t>
        </is>
      </c>
      <c r="X28" s="15" t="n">
        <v>290.99</v>
      </c>
      <c r="Y28" s="4" t="inlineStr">
        <is>
          <t>Aura Arc Pro Audiophile Planar Headphones</t>
        </is>
      </c>
      <c r="Z28" s="15" t="n">
        <v>361.99</v>
      </c>
      <c r="AA28" s="4" t="inlineStr">
        <is>
          <t>Aura Drift Studio Monitor Headphones</t>
        </is>
      </c>
      <c r="AB28" s="15" t="n">
        <v>497.99</v>
      </c>
      <c r="AC28" s="29">
        <f>MIN(J28,L28,N28,P28,R28,T28,V28,X28,Z28,AB28)</f>
        <v/>
      </c>
      <c r="AD28" s="29">
        <f>MAX(J28,L28,N28,P28,R28,T28,V28,X28,Z28,AB28)</f>
        <v/>
      </c>
      <c r="AE28" s="29">
        <f>AVERAGE(J28,L28,N28,P28,R28,T28,V28,X28,Z28,AB28)</f>
        <v/>
      </c>
      <c r="AF28" s="0" t="n">
        <v>60</v>
      </c>
    </row>
    <row r="29" ht="15.75" customHeight="1" s="51">
      <c r="A29" s="4" t="n">
        <v>16</v>
      </c>
      <c r="B29" s="10" t="inlineStr">
        <is>
          <t>Chaos</t>
        </is>
      </c>
      <c r="C29" s="4" t="inlineStr">
        <is>
          <t>Headphones &amp; Earbuds</t>
        </is>
      </c>
      <c r="D29" s="4" t="inlineStr">
        <is>
          <t>Chaos Audio; CHAOS; Chaoos; Khaos</t>
        </is>
      </c>
      <c r="E29" s="4" t="inlineStr">
        <is>
          <t>1 year limited</t>
        </is>
      </c>
      <c r="F29" s="4" t="inlineStr">
        <is>
          <t>ISO 9001, ISO 14001, WEEE Registered</t>
        </is>
      </c>
      <c r="G29" s="4" t="inlineStr">
        <is>
          <t>travel, commute, school, audiophile</t>
        </is>
      </c>
      <c r="H29" s="4" t="inlineStr">
        <is>
          <t>Earbuds, Headphones, Headset</t>
        </is>
      </c>
      <c r="I29" s="4" t="inlineStr">
        <is>
          <t>Chaos Volt Air Kids Headphones</t>
        </is>
      </c>
      <c r="J29" s="15" t="n">
        <v>20.99</v>
      </c>
      <c r="K29" s="4" t="inlineStr">
        <is>
          <t>Chaos Axis Max Wired In-Ear Monitors</t>
        </is>
      </c>
      <c r="L29" s="15" t="n">
        <v>66.98999999999999</v>
      </c>
      <c r="M29" s="4" t="inlineStr">
        <is>
          <t>Chaos Orbit Plus On-Ear Headphones</t>
        </is>
      </c>
      <c r="N29" s="15" t="n">
        <v>75.98999999999999</v>
      </c>
      <c r="O29" s="4" t="inlineStr">
        <is>
          <t>Chaos Strata SE Open-Ear Earbuds</t>
        </is>
      </c>
      <c r="P29" s="15" t="n">
        <v>81.98999999999999</v>
      </c>
      <c r="Q29" s="4" t="inlineStr">
        <is>
          <t>Chaos Flux SE Sport Earbuds</t>
        </is>
      </c>
      <c r="R29" s="15" t="n">
        <v>163.99</v>
      </c>
      <c r="S29" s="4" t="inlineStr">
        <is>
          <t>Chaos Nova X Studio Monitor Headphones</t>
        </is>
      </c>
      <c r="T29" s="15" t="n">
        <v>199.99</v>
      </c>
      <c r="U29" s="4" t="inlineStr">
        <is>
          <t>Chaos Apex X True Wireless Earbuds</t>
        </is>
      </c>
      <c r="V29" s="15" t="n">
        <v>265.99</v>
      </c>
      <c r="W29" s="4" t="inlineStr">
        <is>
          <t>Chaos Apex Plus Gaming Headset</t>
        </is>
      </c>
      <c r="X29" s="15" t="n">
        <v>267.99</v>
      </c>
      <c r="Y29" s="4" t="inlineStr">
        <is>
          <t>Chaos Aria Pro ANC Over-Ear Headphones</t>
        </is>
      </c>
      <c r="Z29" s="15" t="n">
        <v>501.99</v>
      </c>
      <c r="AA29" s="4" t="inlineStr">
        <is>
          <t>Chaos Sable X Audiophile Planar Headphones</t>
        </is>
      </c>
      <c r="AB29" s="15" t="n">
        <v>545.99</v>
      </c>
      <c r="AC29" s="29">
        <f>MIN(J29,L29,N29,P29,R29,T29,V29,X29,Z29,AB29)</f>
        <v/>
      </c>
      <c r="AD29" s="29">
        <f>MAX(J29,L29,N29,P29,R29,T29,V29,X29,Z29,AB29)</f>
        <v/>
      </c>
      <c r="AE29" s="29">
        <f>AVERAGE(J29,L29,N29,P29,R29,T29,V29,X29,Z29,AB29)</f>
        <v/>
      </c>
      <c r="AF29" s="0" t="n">
        <v>30</v>
      </c>
    </row>
    <row r="30" ht="15.75" customHeight="1" s="51">
      <c r="A30" s="4" t="n">
        <v>17</v>
      </c>
      <c r="B30" s="10" t="inlineStr">
        <is>
          <t>Tartarus</t>
        </is>
      </c>
      <c r="C30" s="4" t="inlineStr">
        <is>
          <t>Headphones &amp; Earbuds</t>
        </is>
      </c>
      <c r="D30" s="4" t="inlineStr">
        <is>
          <t>Tartarus Audio; TARTARUS; Taartarus; Tartaruus</t>
        </is>
      </c>
      <c r="E30" s="4" t="inlineStr">
        <is>
          <t>1 year limited</t>
        </is>
      </c>
      <c r="F30" s="4" t="inlineStr">
        <is>
          <t>ISO 9001, ISO 45001, RoHS Compliant</t>
        </is>
      </c>
      <c r="G30" s="4" t="inlineStr">
        <is>
          <t>travel, running, school, outdoor</t>
        </is>
      </c>
      <c r="H30" s="4" t="inlineStr">
        <is>
          <t>Earbuds, Headphones, Headset</t>
        </is>
      </c>
      <c r="I30" s="4" t="inlineStr">
        <is>
          <t>Tartarus Zen Pro Kids Headphones</t>
        </is>
      </c>
      <c r="J30" s="15" t="n">
        <v>35.99</v>
      </c>
      <c r="K30" s="4" t="inlineStr">
        <is>
          <t>Tartarus Core Ultra Sport Earbuds</t>
        </is>
      </c>
      <c r="L30" s="15" t="n">
        <v>60.99</v>
      </c>
      <c r="M30" s="4" t="inlineStr">
        <is>
          <t>Tartarus Volt Max Bone Conduction Headphones</t>
        </is>
      </c>
      <c r="N30" s="15" t="n">
        <v>105.99</v>
      </c>
      <c r="O30" s="4" t="inlineStr">
        <is>
          <t>Tartarus Onyx Ultra Open-Ear Earbuds</t>
        </is>
      </c>
      <c r="P30" s="15" t="n">
        <v>140.99</v>
      </c>
      <c r="Q30" s="4" t="inlineStr">
        <is>
          <t>Tartarus Core X On-Ear Headphones</t>
        </is>
      </c>
      <c r="R30" s="15" t="n">
        <v>145.99</v>
      </c>
      <c r="S30" s="4" t="inlineStr">
        <is>
          <t>Tartarus Vertex X Sleep Earbuds</t>
        </is>
      </c>
      <c r="T30" s="15" t="n">
        <v>217.99</v>
      </c>
      <c r="U30" s="4" t="inlineStr">
        <is>
          <t>Tartarus Wave Ultra Studio Monitor Headphones</t>
        </is>
      </c>
      <c r="V30" s="15" t="n">
        <v>264.99</v>
      </c>
      <c r="W30" s="4" t="inlineStr">
        <is>
          <t>Tartarus Onyx Ultra Gaming Headset</t>
        </is>
      </c>
      <c r="X30" s="15" t="n">
        <v>323.99</v>
      </c>
      <c r="Y30" s="4" t="inlineStr">
        <is>
          <t>Tartarus Crest SE ANC Over-Ear Headphones</t>
        </is>
      </c>
      <c r="Z30" s="15" t="n">
        <v>439.99</v>
      </c>
      <c r="AA30" s="4" t="inlineStr">
        <is>
          <t>Tartarus Pulse Ultra Audiophile Planar Headphones</t>
        </is>
      </c>
      <c r="AB30" s="15" t="n">
        <v>986.99</v>
      </c>
      <c r="AC30" s="29">
        <f>MIN(J30,L30,N30,P30,R30,T30,V30,X30,Z30,AB30)</f>
        <v/>
      </c>
      <c r="AD30" s="29">
        <f>MAX(J30,L30,N30,P30,R30,T30,V30,X30,Z30,AB30)</f>
        <v/>
      </c>
      <c r="AE30" s="29">
        <f>AVERAGE(J30,L30,N30,P30,R30,T30,V30,X30,Z30,AB30)</f>
        <v/>
      </c>
      <c r="AF30" s="0" t="n">
        <v>60</v>
      </c>
    </row>
    <row r="31" ht="15.75" customHeight="1" s="51">
      <c r="A31" s="4" t="n">
        <v>18</v>
      </c>
      <c r="B31" s="10" t="inlineStr">
        <is>
          <t>Achelous</t>
        </is>
      </c>
      <c r="C31" s="4" t="inlineStr">
        <is>
          <t>Headphones &amp; Earbuds</t>
        </is>
      </c>
      <c r="D31" s="4" t="inlineStr">
        <is>
          <t>Achelous Audio; ACHELOUS; Achellous; Achelouus</t>
        </is>
      </c>
      <c r="E31" s="4" t="inlineStr">
        <is>
          <t>1 year limited</t>
        </is>
      </c>
      <c r="F31" s="4" t="inlineStr">
        <is>
          <t>ISO 9001, WEEE Registered, RoHS Compliant</t>
        </is>
      </c>
      <c r="G31" s="4" t="inlineStr">
        <is>
          <t>travel, commute, school, everyday</t>
        </is>
      </c>
      <c r="H31" s="4" t="inlineStr">
        <is>
          <t>Earbuds, Headphones</t>
        </is>
      </c>
      <c r="I31" s="4" t="inlineStr">
        <is>
          <t>Achelous Volt SE Kids Headphones</t>
        </is>
      </c>
      <c r="J31" s="15" t="n">
        <v>51.99</v>
      </c>
      <c r="K31" s="4" t="inlineStr">
        <is>
          <t>Achelous Prism Pro True Wireless Earbuds</t>
        </is>
      </c>
      <c r="L31" s="15" t="n">
        <v>71.98999999999999</v>
      </c>
      <c r="M31" s="4" t="inlineStr">
        <is>
          <t>Achelous Sable Bone Conduction Headphones</t>
        </is>
      </c>
      <c r="N31" s="15" t="n">
        <v>135.99</v>
      </c>
      <c r="O31" s="4" t="inlineStr">
        <is>
          <t>Achelous Core Max Sport Earbuds</t>
        </is>
      </c>
      <c r="P31" s="15" t="n">
        <v>154.99</v>
      </c>
      <c r="Q31" s="4" t="inlineStr">
        <is>
          <t>Achelous Axis Pro On-Ear Headphones</t>
        </is>
      </c>
      <c r="R31" s="15" t="n">
        <v>161.99</v>
      </c>
      <c r="S31" s="4" t="inlineStr">
        <is>
          <t>Achelous Apex X Wired In-Ear Monitors</t>
        </is>
      </c>
      <c r="T31" s="15" t="n">
        <v>170.99</v>
      </c>
      <c r="U31" s="4" t="inlineStr">
        <is>
          <t>Achelous Zen Plus Sleep Earbuds</t>
        </is>
      </c>
      <c r="V31" s="15" t="n">
        <v>238.99</v>
      </c>
      <c r="W31" s="4" t="inlineStr">
        <is>
          <t>Achelous Spark Air ANC Over-Ear Headphones</t>
        </is>
      </c>
      <c r="X31" s="15" t="n">
        <v>336.99</v>
      </c>
      <c r="Y31" s="4" t="inlineStr">
        <is>
          <t>Achelous Axis Ultra Studio Monitor Headphones</t>
        </is>
      </c>
      <c r="Z31" s="15" t="n">
        <v>428.99</v>
      </c>
      <c r="AA31" s="4" t="inlineStr">
        <is>
          <t>Achelous Axis Ultra Audiophile Planar Headphones</t>
        </is>
      </c>
      <c r="AB31" s="15" t="n">
        <v>790.99</v>
      </c>
      <c r="AC31" s="29">
        <f>MIN(J31,L31,N31,P31,R31,T31,V31,X31,Z31,AB31)</f>
        <v/>
      </c>
      <c r="AD31" s="29">
        <f>MAX(J31,L31,N31,P31,R31,T31,V31,X31,Z31,AB31)</f>
        <v/>
      </c>
      <c r="AE31" s="29">
        <f>AVERAGE(J31,L31,N31,P31,R31,T31,V31,X31,Z31,AB31)</f>
        <v/>
      </c>
      <c r="AF31" s="0" t="n">
        <v>30</v>
      </c>
    </row>
    <row r="32" ht="15.75" customHeight="1" s="51">
      <c r="A32" s="4" t="n">
        <v>19</v>
      </c>
      <c r="B32" s="10" t="inlineStr">
        <is>
          <t>Euphrosyne</t>
        </is>
      </c>
      <c r="C32" s="4" t="inlineStr">
        <is>
          <t>Headphones &amp; Earbuds</t>
        </is>
      </c>
      <c r="D32" s="4" t="inlineStr">
        <is>
          <t>Euphrosyne Audio; EUPHROSYNE; Euphrosnye; Euphroysne</t>
        </is>
      </c>
      <c r="E32" s="4" t="inlineStr">
        <is>
          <t>1 year limited</t>
        </is>
      </c>
      <c r="F32" s="4" t="inlineStr">
        <is>
          <t>ISO 9001, WEEE Registered, ISO 45001</t>
        </is>
      </c>
      <c r="G32" s="4" t="inlineStr">
        <is>
          <t>travel, commute, school, everyday</t>
        </is>
      </c>
      <c r="H32" s="4" t="inlineStr">
        <is>
          <t>Earbuds, Headphones, Headset</t>
        </is>
      </c>
      <c r="I32" s="4" t="inlineStr">
        <is>
          <t>Euphrosyne Vibe Max Kids Headphones</t>
        </is>
      </c>
      <c r="J32" s="15" t="n">
        <v>52.99</v>
      </c>
      <c r="K32" s="4" t="inlineStr">
        <is>
          <t>Euphrosyne Prism True Wireless Earbuds</t>
        </is>
      </c>
      <c r="L32" s="15" t="n">
        <v>93.98999999999999</v>
      </c>
      <c r="M32" s="4" t="inlineStr">
        <is>
          <t>Euphrosyne Blaze X On-Ear Headphones</t>
        </is>
      </c>
      <c r="N32" s="15" t="n">
        <v>128.99</v>
      </c>
      <c r="O32" s="4" t="inlineStr">
        <is>
          <t>Euphrosyne Axis Lite Wired In-Ear Monitors</t>
        </is>
      </c>
      <c r="P32" s="15" t="n">
        <v>163.99</v>
      </c>
      <c r="Q32" s="4" t="inlineStr">
        <is>
          <t>Euphrosyne Flux Pro Sleep Earbuds</t>
        </is>
      </c>
      <c r="R32" s="15" t="n">
        <v>170.99</v>
      </c>
      <c r="S32" s="4" t="inlineStr">
        <is>
          <t>Euphrosyne Arc Plus Gaming Headset</t>
        </is>
      </c>
      <c r="T32" s="15" t="n">
        <v>199.99</v>
      </c>
      <c r="U32" s="4" t="inlineStr">
        <is>
          <t>Euphrosyne Flux Open-Ear Earbuds</t>
        </is>
      </c>
      <c r="V32" s="15" t="n">
        <v>203.99</v>
      </c>
      <c r="W32" s="4" t="inlineStr">
        <is>
          <t>Euphrosyne Blaze Ultra Studio Monitor Headphones</t>
        </is>
      </c>
      <c r="X32" s="15" t="n">
        <v>208.99</v>
      </c>
      <c r="Y32" s="4" t="inlineStr">
        <is>
          <t>Euphrosyne Echo Air Audiophile Planar Headphones</t>
        </is>
      </c>
      <c r="Z32" s="15" t="n">
        <v>391.99</v>
      </c>
      <c r="AA32" s="4" t="inlineStr">
        <is>
          <t>Euphrosyne Orbit X ANC Over-Ear Headphones</t>
        </is>
      </c>
      <c r="AB32" s="15" t="n">
        <v>537.99</v>
      </c>
      <c r="AC32" s="29">
        <f>MIN(J32,L32,N32,P32,R32,T32,V32,X32,Z32,AB32)</f>
        <v/>
      </c>
      <c r="AD32" s="29">
        <f>MAX(J32,L32,N32,P32,R32,T32,V32,X32,Z32,AB32)</f>
        <v/>
      </c>
      <c r="AE32" s="29">
        <f>AVERAGE(J32,L32,N32,P32,R32,T32,V32,X32,Z32,AB32)</f>
        <v/>
      </c>
      <c r="AF32" s="0" t="n">
        <v>14</v>
      </c>
    </row>
    <row r="33" ht="15.75" customHeight="1" s="51">
      <c r="A33" s="4" t="n">
        <v>20</v>
      </c>
      <c r="B33" s="10" t="inlineStr">
        <is>
          <t>Nereus</t>
        </is>
      </c>
      <c r="C33" s="4" t="inlineStr">
        <is>
          <t>Headphones &amp; Earbuds</t>
        </is>
      </c>
      <c r="D33" s="4" t="inlineStr">
        <is>
          <t>Nereus Audio; NEREUS; Nereuus; Nreeus</t>
        </is>
      </c>
      <c r="E33" s="4" t="inlineStr">
        <is>
          <t>1 year limited</t>
        </is>
      </c>
      <c r="F33" s="4" t="inlineStr">
        <is>
          <t>ISO 9001, ISO 45001, RoHS Compliant</t>
        </is>
      </c>
      <c r="G33" s="4" t="inlineStr">
        <is>
          <t>travel, running, audiophile, commute</t>
        </is>
      </c>
      <c r="H33" s="4" t="inlineStr">
        <is>
          <t>Earbuds, Headphones, Headset</t>
        </is>
      </c>
      <c r="I33" s="4" t="inlineStr">
        <is>
          <t>Nereus Drift Kids Headphones</t>
        </is>
      </c>
      <c r="J33" s="15" t="n">
        <v>54.99</v>
      </c>
      <c r="K33" s="4" t="inlineStr">
        <is>
          <t>Nereus Titan SE Sport Earbuds</t>
        </is>
      </c>
      <c r="L33" s="15" t="n">
        <v>68.98999999999999</v>
      </c>
      <c r="M33" s="4" t="inlineStr">
        <is>
          <t>Nereus Aria Wired In-Ear Monitors</t>
        </is>
      </c>
      <c r="N33" s="15" t="n">
        <v>72.98999999999999</v>
      </c>
      <c r="O33" s="4" t="inlineStr">
        <is>
          <t>Nereus Onyx Air True Wireless Earbuds</t>
        </is>
      </c>
      <c r="P33" s="15" t="n">
        <v>105.99</v>
      </c>
      <c r="Q33" s="4" t="inlineStr">
        <is>
          <t>Nereus Nova Pro Bone Conduction Headphones</t>
        </is>
      </c>
      <c r="R33" s="15" t="n">
        <v>116.99</v>
      </c>
      <c r="S33" s="4" t="inlineStr">
        <is>
          <t>Nereus Aeon Ultra Open-Ear Earbuds</t>
        </is>
      </c>
      <c r="T33" s="15" t="n">
        <v>175.99</v>
      </c>
      <c r="U33" s="4" t="inlineStr">
        <is>
          <t>Nereus Strata X Gaming Headset</t>
        </is>
      </c>
      <c r="V33" s="15" t="n">
        <v>200.99</v>
      </c>
      <c r="W33" s="4" t="inlineStr">
        <is>
          <t>Nereus Spark Studio Monitor Headphones</t>
        </is>
      </c>
      <c r="X33" s="15" t="n">
        <v>303.99</v>
      </c>
      <c r="Y33" s="4" t="inlineStr">
        <is>
          <t>Nereus Crest X ANC Over-Ear Headphones</t>
        </is>
      </c>
      <c r="Z33" s="15" t="n">
        <v>458.99</v>
      </c>
      <c r="AA33" s="4" t="inlineStr">
        <is>
          <t>Nereus Vibe X Audiophile Planar Headphones</t>
        </is>
      </c>
      <c r="AB33" s="15" t="n">
        <v>608.99</v>
      </c>
      <c r="AC33" s="29">
        <f>MIN(J33,L33,N33,P33,R33,T33,V33,X33,Z33,AB33)</f>
        <v/>
      </c>
      <c r="AD33" s="29">
        <f>MAX(J33,L33,N33,P33,R33,T33,V33,X33,Z33,AB33)</f>
        <v/>
      </c>
      <c r="AE33" s="29">
        <f>AVERAGE(J33,L33,N33,P33,R33,T33,V33,X33,Z33,AB33)</f>
        <v/>
      </c>
      <c r="AF33" s="0" t="n">
        <v>45</v>
      </c>
    </row>
    <row r="34" ht="15.75" customHeight="1" s="51">
      <c r="A34" s="4" t="n">
        <v>21</v>
      </c>
      <c r="B34" s="10" t="inlineStr">
        <is>
          <t>Poseidon</t>
        </is>
      </c>
      <c r="C34" s="4" t="inlineStr">
        <is>
          <t>Headphones &amp; Earbuds</t>
        </is>
      </c>
      <c r="D34" s="4" t="inlineStr">
        <is>
          <t>Poseidon Audio; POSEIDON; Posedion; Posiedon</t>
        </is>
      </c>
      <c r="E34" s="4" t="inlineStr">
        <is>
          <t>1 year limited</t>
        </is>
      </c>
      <c r="F34" s="4" t="inlineStr">
        <is>
          <t>ISO 9001, RoHS Compliant, ISO 45001</t>
        </is>
      </c>
      <c r="G34" s="4" t="inlineStr">
        <is>
          <t>travel, commute, school, running</t>
        </is>
      </c>
      <c r="H34" s="4" t="inlineStr">
        <is>
          <t>Earbuds, Headphones, Headset</t>
        </is>
      </c>
      <c r="I34" s="4" t="inlineStr">
        <is>
          <t>Poseidon Nova Pro Kids Headphones</t>
        </is>
      </c>
      <c r="J34" s="15" t="n">
        <v>47.99</v>
      </c>
      <c r="K34" s="4" t="inlineStr">
        <is>
          <t>Poseidon Vertex Sport Earbuds</t>
        </is>
      </c>
      <c r="L34" s="15" t="n">
        <v>88.98999999999999</v>
      </c>
      <c r="M34" s="4" t="inlineStr">
        <is>
          <t>Poseidon Pulse SE Wired In-Ear Monitors</t>
        </is>
      </c>
      <c r="N34" s="15" t="n">
        <v>94.98999999999999</v>
      </c>
      <c r="O34" s="4" t="inlineStr">
        <is>
          <t>Poseidon Wave Pro Open-Ear Earbuds</t>
        </is>
      </c>
      <c r="P34" s="15" t="n">
        <v>98.98999999999999</v>
      </c>
      <c r="Q34" s="4" t="inlineStr">
        <is>
          <t>Poseidon Axis X True Wireless Earbuds</t>
        </is>
      </c>
      <c r="R34" s="15" t="n">
        <v>163.99</v>
      </c>
      <c r="S34" s="4" t="inlineStr">
        <is>
          <t>Poseidon Sable X Gaming Headset</t>
        </is>
      </c>
      <c r="T34" s="15" t="n">
        <v>183.99</v>
      </c>
      <c r="U34" s="4" t="inlineStr">
        <is>
          <t>Poseidon Titan Studio Monitor Headphones</t>
        </is>
      </c>
      <c r="V34" s="15" t="n">
        <v>186.99</v>
      </c>
      <c r="W34" s="4" t="inlineStr">
        <is>
          <t>Poseidon Arc Lite On-Ear Headphones</t>
        </is>
      </c>
      <c r="X34" s="15" t="n">
        <v>197.99</v>
      </c>
      <c r="Y34" s="4" t="inlineStr">
        <is>
          <t>Poseidon Prism ANC Over-Ear Headphones</t>
        </is>
      </c>
      <c r="Z34" s="15" t="n">
        <v>388.99</v>
      </c>
      <c r="AA34" s="4" t="inlineStr">
        <is>
          <t>Poseidon Prism Max Audiophile Planar Headphones</t>
        </is>
      </c>
      <c r="AB34" s="15" t="n">
        <v>772.99</v>
      </c>
      <c r="AC34" s="29">
        <f>MIN(J34,L34,N34,P34,R34,T34,V34,X34,Z34,AB34)</f>
        <v/>
      </c>
      <c r="AD34" s="29">
        <f>MAX(J34,L34,N34,P34,R34,T34,V34,X34,Z34,AB34)</f>
        <v/>
      </c>
      <c r="AE34" s="29">
        <f>AVERAGE(J34,L34,N34,P34,R34,T34,V34,X34,Z34,AB34)</f>
        <v/>
      </c>
      <c r="AF34" s="0" t="n">
        <v>14</v>
      </c>
    </row>
    <row r="35" ht="15.75" customHeight="1" s="51">
      <c r="A35" s="4" t="n">
        <v>22</v>
      </c>
      <c r="B35" s="10" t="inlineStr">
        <is>
          <t>Clio</t>
        </is>
      </c>
      <c r="C35" s="4" t="inlineStr">
        <is>
          <t>Headphones &amp; Earbuds</t>
        </is>
      </c>
      <c r="D35" s="4" t="inlineStr">
        <is>
          <t>Clio Audio; CLIO; Cliio; Klio</t>
        </is>
      </c>
      <c r="E35" s="4" t="inlineStr">
        <is>
          <t>1 year limited</t>
        </is>
      </c>
      <c r="F35" s="4" t="inlineStr">
        <is>
          <t>ISO 9001, ISO/IEC 27001, RoHS Compliant</t>
        </is>
      </c>
      <c r="G35" s="4" t="inlineStr">
        <is>
          <t>travel, commute, running, office</t>
        </is>
      </c>
      <c r="H35" s="4" t="inlineStr">
        <is>
          <t>Earbuds, Headphones, Headset</t>
        </is>
      </c>
      <c r="I35" s="4" t="inlineStr">
        <is>
          <t>Clio Apex X Kids Headphones</t>
        </is>
      </c>
      <c r="J35" s="15" t="n">
        <v>32.99</v>
      </c>
      <c r="K35" s="4" t="inlineStr">
        <is>
          <t>Clio Crest True Wireless Earbuds</t>
        </is>
      </c>
      <c r="L35" s="15" t="n">
        <v>68.98999999999999</v>
      </c>
      <c r="M35" s="4" t="inlineStr">
        <is>
          <t>Clio Spark Air Gaming Headset</t>
        </is>
      </c>
      <c r="N35" s="15" t="n">
        <v>137.99</v>
      </c>
      <c r="O35" s="4" t="inlineStr">
        <is>
          <t>Clio Core Air Sport Earbuds</t>
        </is>
      </c>
      <c r="P35" s="15" t="n">
        <v>141.99</v>
      </c>
      <c r="Q35" s="4" t="inlineStr">
        <is>
          <t>Clio Pulse Open-Ear Earbuds</t>
        </is>
      </c>
      <c r="R35" s="15" t="n">
        <v>142.99</v>
      </c>
      <c r="S35" s="4" t="inlineStr">
        <is>
          <t>Clio Aeon Max Studio Monitor Headphones</t>
        </is>
      </c>
      <c r="T35" s="15" t="n">
        <v>161.99</v>
      </c>
      <c r="U35" s="4" t="inlineStr">
        <is>
          <t>Clio Blaze Plus Sleep Earbuds</t>
        </is>
      </c>
      <c r="V35" s="15" t="n">
        <v>208.99</v>
      </c>
      <c r="W35" s="4" t="inlineStr">
        <is>
          <t>Clio Onyx Max Audiophile Planar Headphones</t>
        </is>
      </c>
      <c r="X35" s="15" t="n">
        <v>340.99</v>
      </c>
      <c r="Y35" s="4" t="inlineStr">
        <is>
          <t>Clio Aeon Max Wired In-Ear Monitors</t>
        </is>
      </c>
      <c r="Z35" s="15" t="n">
        <v>347.99</v>
      </c>
      <c r="AA35" s="4" t="inlineStr">
        <is>
          <t>Clio Spark Ultra ANC Over-Ear Headphones</t>
        </is>
      </c>
      <c r="AB35" s="15" t="n">
        <v>424.99</v>
      </c>
      <c r="AC35" s="29">
        <f>MIN(J35,L35,N35,P35,R35,T35,V35,X35,Z35,AB35)</f>
        <v/>
      </c>
      <c r="AD35" s="29">
        <f>MAX(J35,L35,N35,P35,R35,T35,V35,X35,Z35,AB35)</f>
        <v/>
      </c>
      <c r="AE35" s="29">
        <f>AVERAGE(J35,L35,N35,P35,R35,T35,V35,X35,Z35,AB35)</f>
        <v/>
      </c>
      <c r="AF35" s="0" t="n">
        <v>45</v>
      </c>
    </row>
    <row r="36" ht="15.75" customHeight="1" s="51">
      <c r="A36" s="4" t="n">
        <v>23</v>
      </c>
      <c r="B36" s="10" t="inlineStr">
        <is>
          <t>Ananke</t>
        </is>
      </c>
      <c r="C36" s="4" t="inlineStr">
        <is>
          <t>Headphones &amp; Earbuds</t>
        </is>
      </c>
      <c r="D36" s="4" t="inlineStr">
        <is>
          <t>Ananke Audio; ANANKE; Annanke; Anankee</t>
        </is>
      </c>
      <c r="E36" s="4" t="inlineStr">
        <is>
          <t>1 year limited</t>
        </is>
      </c>
      <c r="F36" s="4" t="inlineStr">
        <is>
          <t>ISO 9001, ISO 14001, WEEE Registered</t>
        </is>
      </c>
      <c r="G36" s="4" t="inlineStr">
        <is>
          <t>travel, running, school, outdoor</t>
        </is>
      </c>
      <c r="H36" s="4" t="inlineStr">
        <is>
          <t>Earbuds, Headphones, Headset</t>
        </is>
      </c>
      <c r="I36" s="4" t="inlineStr">
        <is>
          <t>Ananke Echo Ultra Kids Headphones</t>
        </is>
      </c>
      <c r="J36" s="15" t="n">
        <v>53.99</v>
      </c>
      <c r="K36" s="4" t="inlineStr">
        <is>
          <t>Ananke Strata Lite Sport Earbuds</t>
        </is>
      </c>
      <c r="L36" s="15" t="n">
        <v>64.98999999999999</v>
      </c>
      <c r="M36" s="4" t="inlineStr">
        <is>
          <t>Ananke Orbit Plus Bone Conduction Headphones</t>
        </is>
      </c>
      <c r="N36" s="15" t="n">
        <v>102.99</v>
      </c>
      <c r="O36" s="4" t="inlineStr">
        <is>
          <t>Ananke Flux SE On-Ear Headphones</t>
        </is>
      </c>
      <c r="P36" s="15" t="n">
        <v>140.99</v>
      </c>
      <c r="Q36" s="4" t="inlineStr">
        <is>
          <t>Ananke Apex SE Open-Ear Earbuds</t>
        </is>
      </c>
      <c r="R36" s="15" t="n">
        <v>151.99</v>
      </c>
      <c r="S36" s="4" t="inlineStr">
        <is>
          <t>Ananke Vertex Ultra Wired In-Ear Monitors</t>
        </is>
      </c>
      <c r="T36" s="15" t="n">
        <v>182.99</v>
      </c>
      <c r="U36" s="4" t="inlineStr">
        <is>
          <t>Ananke Zen Max ANC Over-Ear Headphones</t>
        </is>
      </c>
      <c r="V36" s="15" t="n">
        <v>193.99</v>
      </c>
      <c r="W36" s="4" t="inlineStr">
        <is>
          <t>Ananke Strata Air Sleep Earbuds</t>
        </is>
      </c>
      <c r="X36" s="15" t="n">
        <v>266.99</v>
      </c>
      <c r="Y36" s="4" t="inlineStr">
        <is>
          <t>Ananke Vertex Gaming Headset</t>
        </is>
      </c>
      <c r="Z36" s="15" t="n">
        <v>284.99</v>
      </c>
      <c r="AA36" s="4" t="inlineStr">
        <is>
          <t>Ananke Aria Audiophile Planar Headphones</t>
        </is>
      </c>
      <c r="AB36" s="15" t="n">
        <v>1351.99</v>
      </c>
      <c r="AC36" s="29">
        <f>MIN(J36,L36,N36,P36,R36,T36,V36,X36,Z36,AB36)</f>
        <v/>
      </c>
      <c r="AD36" s="29">
        <f>MAX(J36,L36,N36,P36,R36,T36,V36,X36,Z36,AB36)</f>
        <v/>
      </c>
      <c r="AE36" s="29">
        <f>AVERAGE(J36,L36,N36,P36,R36,T36,V36,X36,Z36,AB36)</f>
        <v/>
      </c>
      <c r="AF36" s="0" t="n">
        <v>15</v>
      </c>
    </row>
    <row r="37" ht="15.75" customHeight="1" s="51">
      <c r="A37" s="4" t="n">
        <v>24</v>
      </c>
      <c r="B37" s="10" t="inlineStr">
        <is>
          <t>Asclepius</t>
        </is>
      </c>
      <c r="C37" s="4" t="inlineStr">
        <is>
          <t>Headphones &amp; Earbuds</t>
        </is>
      </c>
      <c r="D37" s="4" t="inlineStr">
        <is>
          <t>Asclepius Audio; ASCLEPIUS; Ascleipus; Ascelpius</t>
        </is>
      </c>
      <c r="E37" s="4" t="inlineStr">
        <is>
          <t>1 year limited</t>
        </is>
      </c>
      <c r="F37" s="4" t="inlineStr">
        <is>
          <t>ISO 9001, ISO/IEC 27001, ISO 45001</t>
        </is>
      </c>
      <c r="G37" s="4" t="inlineStr">
        <is>
          <t>travel, commute, school, running</t>
        </is>
      </c>
      <c r="H37" s="4" t="inlineStr">
        <is>
          <t>Earbuds, Headphones, Headset</t>
        </is>
      </c>
      <c r="I37" s="4" t="inlineStr">
        <is>
          <t>Asclepius Drift X Kids Headphones</t>
        </is>
      </c>
      <c r="J37" s="15" t="n">
        <v>19.99</v>
      </c>
      <c r="K37" s="4" t="inlineStr">
        <is>
          <t>Asclepius Aria Sport Earbuds</t>
        </is>
      </c>
      <c r="L37" s="15" t="n">
        <v>95.98999999999999</v>
      </c>
      <c r="M37" s="4" t="inlineStr">
        <is>
          <t>Asclepius Titan True Wireless Earbuds</t>
        </is>
      </c>
      <c r="N37" s="15" t="n">
        <v>127.99</v>
      </c>
      <c r="O37" s="4" t="inlineStr">
        <is>
          <t>Asclepius Axis Lite Sleep Earbuds</t>
        </is>
      </c>
      <c r="P37" s="15" t="n">
        <v>159.99</v>
      </c>
      <c r="Q37" s="4" t="inlineStr">
        <is>
          <t>Asclepius Vertex On-Ear Headphones</t>
        </is>
      </c>
      <c r="R37" s="15" t="n">
        <v>199.99</v>
      </c>
      <c r="S37" s="4" t="inlineStr">
        <is>
          <t>Asclepius Axis Max Open-Ear Earbuds</t>
        </is>
      </c>
      <c r="T37" s="15" t="n">
        <v>208.99</v>
      </c>
      <c r="U37" s="4" t="inlineStr">
        <is>
          <t>Asclepius Aria Ultra Gaming Headset</t>
        </is>
      </c>
      <c r="V37" s="15" t="n">
        <v>260.99</v>
      </c>
      <c r="W37" s="4" t="inlineStr">
        <is>
          <t>Asclepius Flux Lite Studio Monitor Headphones</t>
        </is>
      </c>
      <c r="X37" s="15" t="n">
        <v>334.99</v>
      </c>
      <c r="Y37" s="4" t="inlineStr">
        <is>
          <t>Asclepius Spark Wired In-Ear Monitors</t>
        </is>
      </c>
      <c r="Z37" s="15" t="n">
        <v>371.99</v>
      </c>
      <c r="AA37" s="4" t="inlineStr">
        <is>
          <t>Asclepius Rift Max ANC Over-Ear Headphones</t>
        </is>
      </c>
      <c r="AB37" s="15" t="n">
        <v>403.99</v>
      </c>
      <c r="AC37" s="29">
        <f>MIN(J37,L37,N37,P37,R37,T37,V37,X37,Z37,AB37)</f>
        <v/>
      </c>
      <c r="AD37" s="29">
        <f>MAX(J37,L37,N37,P37,R37,T37,V37,X37,Z37,AB37)</f>
        <v/>
      </c>
      <c r="AE37" s="29">
        <f>AVERAGE(J37,L37,N37,P37,R37,T37,V37,X37,Z37,AB37)</f>
        <v/>
      </c>
      <c r="AF37" s="0" t="n">
        <v>30</v>
      </c>
    </row>
    <row r="38" ht="15.75" customHeight="1" s="51">
      <c r="A38" s="4" t="n">
        <v>25</v>
      </c>
      <c r="B38" s="10" t="inlineStr">
        <is>
          <t>Hesperus</t>
        </is>
      </c>
      <c r="C38" s="4" t="inlineStr">
        <is>
          <t>Headphones &amp; Earbuds</t>
        </is>
      </c>
      <c r="D38" s="4" t="inlineStr">
        <is>
          <t>Hesperus Audio; HESPERUS; Hespperus; Hespeerus</t>
        </is>
      </c>
      <c r="E38" s="4" t="inlineStr">
        <is>
          <t>1 year limited</t>
        </is>
      </c>
      <c r="F38" s="4" t="inlineStr">
        <is>
          <t>ISO 9001, ISO/IEC 27001, ISO 45001</t>
        </is>
      </c>
      <c r="G38" s="4" t="inlineStr">
        <is>
          <t>travel, commute, school, running</t>
        </is>
      </c>
      <c r="H38" s="4" t="inlineStr">
        <is>
          <t>Earbuds, Headphones, Headset</t>
        </is>
      </c>
      <c r="I38" s="4" t="inlineStr">
        <is>
          <t>Hesperus Onyx SE Kids Headphones</t>
        </is>
      </c>
      <c r="J38" s="15" t="n">
        <v>35.99</v>
      </c>
      <c r="K38" s="4" t="inlineStr">
        <is>
          <t>Hesperus Blaze Max Bone Conduction Headphones</t>
        </is>
      </c>
      <c r="L38" s="15" t="n">
        <v>114.99</v>
      </c>
      <c r="M38" s="4" t="inlineStr">
        <is>
          <t>Hesperus Aeon Air Sleep Earbuds</t>
        </is>
      </c>
      <c r="N38" s="15" t="n">
        <v>136.99</v>
      </c>
      <c r="O38" s="4" t="inlineStr">
        <is>
          <t>Hesperus Rift Air On-Ear Headphones</t>
        </is>
      </c>
      <c r="P38" s="15" t="n">
        <v>145.99</v>
      </c>
      <c r="Q38" s="4" t="inlineStr">
        <is>
          <t>Hesperus Lumen Ultra Sport Earbuds</t>
        </is>
      </c>
      <c r="R38" s="15" t="n">
        <v>188.99</v>
      </c>
      <c r="S38" s="4" t="inlineStr">
        <is>
          <t>Hesperus Aeon Plus Gaming Headset</t>
        </is>
      </c>
      <c r="T38" s="15" t="n">
        <v>241.99</v>
      </c>
      <c r="U38" s="4" t="inlineStr">
        <is>
          <t>Hesperus Halo Pro True Wireless Earbuds</t>
        </is>
      </c>
      <c r="V38" s="15" t="n">
        <v>270.99</v>
      </c>
      <c r="W38" s="4" t="inlineStr">
        <is>
          <t>Hesperus Onyx Air Studio Monitor Headphones</t>
        </is>
      </c>
      <c r="X38" s="15" t="n">
        <v>380.99</v>
      </c>
      <c r="Y38" s="4" t="inlineStr">
        <is>
          <t>Hesperus Volt Plus ANC Over-Ear Headphones</t>
        </is>
      </c>
      <c r="Z38" s="15" t="n">
        <v>395.99</v>
      </c>
      <c r="AA38" s="4" t="inlineStr">
        <is>
          <t>Hesperus Aria Audiophile Planar Headphones</t>
        </is>
      </c>
      <c r="AB38" s="15" t="n">
        <v>845.99</v>
      </c>
      <c r="AC38" s="29">
        <f>MIN(J38,L38,N38,P38,R38,T38,V38,X38,Z38,AB38)</f>
        <v/>
      </c>
      <c r="AD38" s="29">
        <f>MAX(J38,L38,N38,P38,R38,T38,V38,X38,Z38,AB38)</f>
        <v/>
      </c>
      <c r="AE38" s="29">
        <f>AVERAGE(J38,L38,N38,P38,R38,T38,V38,X38,Z38,AB38)</f>
        <v/>
      </c>
      <c r="AF38" s="0" t="n">
        <v>60</v>
      </c>
    </row>
    <row r="39" ht="15.75" customHeight="1" s="51">
      <c r="A39" s="19" t="n">
        <v>26</v>
      </c>
      <c r="B39" s="25" t="inlineStr">
        <is>
          <t>Melpomene</t>
        </is>
      </c>
      <c r="C39" s="19" t="inlineStr">
        <is>
          <t>Laptops</t>
        </is>
      </c>
      <c r="D39" s="19" t="inlineStr">
        <is>
          <t>Melpomene Computing; MELPOMENE; Melpommene; Melpoomene</t>
        </is>
      </c>
      <c r="E39" s="19" t="inlineStr">
        <is>
          <t>1 year limited</t>
        </is>
      </c>
      <c r="F39" s="19" t="inlineStr">
        <is>
          <t>ISO 9001, ISO/IEC 27001, ISO 45001</t>
        </is>
      </c>
      <c r="G39" s="19" t="inlineStr">
        <is>
          <t>school, travel, content creation, budget</t>
        </is>
      </c>
      <c r="H39" s="19" t="inlineStr">
        <is>
          <t>Laptop</t>
        </is>
      </c>
      <c r="I39" s="19" t="inlineStr">
        <is>
          <t>Melpomene Strata Lite Chromebook</t>
        </is>
      </c>
      <c r="J39" s="22" t="n">
        <v>407.99</v>
      </c>
      <c r="K39" s="19" t="inlineStr">
        <is>
          <t>Melpomene Flux Air 15" Budget Laptop</t>
        </is>
      </c>
      <c r="L39" s="22" t="n">
        <v>473.99</v>
      </c>
      <c r="M39" s="19" t="inlineStr">
        <is>
          <t>Melpomene Spark Max 14" Business Laptop</t>
        </is>
      </c>
      <c r="N39" s="22" t="n">
        <v>901.99</v>
      </c>
      <c r="O39" s="19" t="inlineStr">
        <is>
          <t>Melpomene Nimbus Plus 2-in-1 Convertible</t>
        </is>
      </c>
      <c r="P39" s="22" t="n">
        <v>1690.99</v>
      </c>
      <c r="Q39" s="19" t="inlineStr">
        <is>
          <t>Melpomene Pulse Lite 13" Ultrabook</t>
        </is>
      </c>
      <c r="R39" s="22" t="n">
        <v>1733.99</v>
      </c>
      <c r="S39" s="19" t="inlineStr">
        <is>
          <t>Melpomene Spark 16" Creator Laptop</t>
        </is>
      </c>
      <c r="T39" s="22" t="n">
        <v>2021.99</v>
      </c>
      <c r="U39" s="19" t="inlineStr">
        <is>
          <t>Melpomene Orbit X Mobile Workstation</t>
        </is>
      </c>
      <c r="V39" s="22" t="n">
        <v>2315.99</v>
      </c>
      <c r="W39" s="19" t="inlineStr">
        <is>
          <t>Melpomene Nova Plus Dual-Screen Laptop</t>
        </is>
      </c>
      <c r="X39" s="22" t="n">
        <v>2528.99</v>
      </c>
      <c r="Y39" s="19" t="inlineStr">
        <is>
          <t>Melpomene Crest SE Rugged Laptop</t>
        </is>
      </c>
      <c r="Z39" s="22" t="n">
        <v>2684.99</v>
      </c>
      <c r="AA39" s="19" t="inlineStr">
        <is>
          <t>Melpomene Strata 17" Gaming Laptop</t>
        </is>
      </c>
      <c r="AB39" s="22" t="n">
        <v>2857.99</v>
      </c>
      <c r="AC39" s="36">
        <f>MIN(J39,L39,N39,P39,R39,T39,V39,X39,Z39,AB39)</f>
        <v/>
      </c>
      <c r="AD39" s="36">
        <f>MAX(J39,L39,N39,P39,R39,T39,V39,X39,Z39,AB39)</f>
        <v/>
      </c>
      <c r="AE39" s="36">
        <f>AVERAGE(J39,L39,N39,P39,R39,T39,V39,X39,Z39,AB39)</f>
        <v/>
      </c>
      <c r="AF39" s="0" t="n">
        <v>15</v>
      </c>
    </row>
    <row r="40" ht="15.75" customHeight="1" s="51">
      <c r="A40" s="19" t="n">
        <v>27</v>
      </c>
      <c r="B40" s="25" t="inlineStr">
        <is>
          <t>Aristaeus</t>
        </is>
      </c>
      <c r="C40" s="19" t="inlineStr">
        <is>
          <t>Laptops</t>
        </is>
      </c>
      <c r="D40" s="19" t="inlineStr">
        <is>
          <t>Aristaeus Computing; ARISTAEUS; Arisstaeus; Aristaeeus</t>
        </is>
      </c>
      <c r="E40" s="19" t="inlineStr">
        <is>
          <t>1 year limited</t>
        </is>
      </c>
      <c r="F40" s="19" t="inlineStr">
        <is>
          <t>ISO 9001, RoHS Compliant, ISO 45001</t>
        </is>
      </c>
      <c r="G40" s="19" t="inlineStr">
        <is>
          <t>school, budget, everyday, work</t>
        </is>
      </c>
      <c r="H40" s="19" t="inlineStr">
        <is>
          <t>Laptop</t>
        </is>
      </c>
      <c r="I40" s="19" t="inlineStr">
        <is>
          <t>Aristaeus Vertex X Chromebook</t>
        </is>
      </c>
      <c r="J40" s="22" t="n">
        <v>469.99</v>
      </c>
      <c r="K40" s="19" t="inlineStr">
        <is>
          <t>Aristaeus Axis 15" Budget Laptop</t>
        </is>
      </c>
      <c r="L40" s="22" t="n">
        <v>572.99</v>
      </c>
      <c r="M40" s="19" t="inlineStr">
        <is>
          <t>Aristaeus Pulse Student Laptop</t>
        </is>
      </c>
      <c r="N40" s="22" t="n">
        <v>760.99</v>
      </c>
      <c r="O40" s="19" t="inlineStr">
        <is>
          <t>Aristaeus Sable 13" Ultrabook</t>
        </is>
      </c>
      <c r="P40" s="22" t="n">
        <v>1462.99</v>
      </c>
      <c r="Q40" s="19" t="inlineStr">
        <is>
          <t>Aristaeus Volt Plus 15" Ultrabook</t>
        </is>
      </c>
      <c r="R40" s="22" t="n">
        <v>1598.99</v>
      </c>
      <c r="S40" s="19" t="inlineStr">
        <is>
          <t>Aristaeus Wave Max 14" Business Laptop</t>
        </is>
      </c>
      <c r="T40" s="22" t="n">
        <v>1656.99</v>
      </c>
      <c r="U40" s="19" t="inlineStr">
        <is>
          <t>Aristaeus Vertex Rugged Laptop</t>
        </is>
      </c>
      <c r="V40" s="22" t="n">
        <v>1668.99</v>
      </c>
      <c r="W40" s="19" t="inlineStr">
        <is>
          <t>Aristaeus Vibe Pro Dual-Screen Laptop</t>
        </is>
      </c>
      <c r="X40" s="22" t="n">
        <v>2080.99</v>
      </c>
      <c r="Y40" s="19" t="inlineStr">
        <is>
          <t>Aristaeus Sable Lite 15" Gaming Laptop</t>
        </is>
      </c>
      <c r="Z40" s="22" t="n">
        <v>2394.99</v>
      </c>
      <c r="AA40" s="19" t="inlineStr">
        <is>
          <t>Aristaeus Wave Mobile Workstation</t>
        </is>
      </c>
      <c r="AB40" s="22" t="n">
        <v>2494.99</v>
      </c>
      <c r="AC40" s="36">
        <f>MIN(J40,L40,N40,P40,R40,T40,V40,X40,Z40,AB40)</f>
        <v/>
      </c>
      <c r="AD40" s="36">
        <f>MAX(J40,L40,N40,P40,R40,T40,V40,X40,Z40,AB40)</f>
        <v/>
      </c>
      <c r="AE40" s="36">
        <f>AVERAGE(J40,L40,N40,P40,R40,T40,V40,X40,Z40,AB40)</f>
        <v/>
      </c>
      <c r="AF40" s="0" t="n">
        <v>30</v>
      </c>
    </row>
    <row r="41" ht="15.75" customHeight="1" s="51">
      <c r="A41" s="19" t="n">
        <v>28</v>
      </c>
      <c r="B41" s="25" t="inlineStr">
        <is>
          <t>Demeter</t>
        </is>
      </c>
      <c r="C41" s="19" t="inlineStr">
        <is>
          <t>Laptops</t>
        </is>
      </c>
      <c r="D41" s="19" t="inlineStr">
        <is>
          <t>Demeter Computing; DEMETER; Dmeeter; Demeterr</t>
        </is>
      </c>
      <c r="E41" s="19" t="inlineStr">
        <is>
          <t>1 year limited</t>
        </is>
      </c>
      <c r="F41" s="19" t="inlineStr">
        <is>
          <t>ISO 9001, ISO/IEC 27001, WEEE Registered</t>
        </is>
      </c>
      <c r="G41" s="19" t="inlineStr">
        <is>
          <t>school, content creation, budget, everyday</t>
        </is>
      </c>
      <c r="H41" s="19" t="inlineStr">
        <is>
          <t>Laptop</t>
        </is>
      </c>
      <c r="I41" s="19" t="inlineStr">
        <is>
          <t>Demeter Prism Max Chromebook</t>
        </is>
      </c>
      <c r="J41" s="22" t="n">
        <v>492.99</v>
      </c>
      <c r="K41" s="19" t="inlineStr">
        <is>
          <t>Demeter Lumen Plus Student Laptop</t>
        </is>
      </c>
      <c r="L41" s="22" t="n">
        <v>493.99</v>
      </c>
      <c r="M41" s="19" t="inlineStr">
        <is>
          <t>Demeter Halo SE 15" Ultrabook</t>
        </is>
      </c>
      <c r="N41" s="22" t="n">
        <v>1616.99</v>
      </c>
      <c r="O41" s="19" t="inlineStr">
        <is>
          <t>Demeter Aeon Plus 17" Gaming Laptop</t>
        </is>
      </c>
      <c r="P41" s="22" t="n">
        <v>1800.99</v>
      </c>
      <c r="Q41" s="19" t="inlineStr">
        <is>
          <t>Demeter Prism SE 14" Business Laptop</t>
        </is>
      </c>
      <c r="R41" s="22" t="n">
        <v>1951.99</v>
      </c>
      <c r="S41" s="19" t="inlineStr">
        <is>
          <t>Demeter Core Ultra 15" Gaming Laptop</t>
        </is>
      </c>
      <c r="T41" s="22" t="n">
        <v>2411.99</v>
      </c>
      <c r="U41" s="19" t="inlineStr">
        <is>
          <t>Demeter Apex 16" Creator Laptop</t>
        </is>
      </c>
      <c r="V41" s="22" t="n">
        <v>2443.99</v>
      </c>
      <c r="W41" s="19" t="inlineStr">
        <is>
          <t>Demeter Titan Lite Dual-Screen Laptop</t>
        </is>
      </c>
      <c r="X41" s="22" t="n">
        <v>2585.99</v>
      </c>
      <c r="Y41" s="19" t="inlineStr">
        <is>
          <t>Demeter Flux Pro Rugged Laptop</t>
        </is>
      </c>
      <c r="Z41" s="22" t="n">
        <v>3277.99</v>
      </c>
      <c r="AA41" s="19" t="inlineStr">
        <is>
          <t>Demeter Quanta Max Mobile Workstation</t>
        </is>
      </c>
      <c r="AB41" s="22" t="n">
        <v>3703.99</v>
      </c>
      <c r="AC41" s="36">
        <f>MIN(J41,L41,N41,P41,R41,T41,V41,X41,Z41,AB41)</f>
        <v/>
      </c>
      <c r="AD41" s="36">
        <f>MAX(J41,L41,N41,P41,R41,T41,V41,X41,Z41,AB41)</f>
        <v/>
      </c>
      <c r="AE41" s="36">
        <f>AVERAGE(J41,L41,N41,P41,R41,T41,V41,X41,Z41,AB41)</f>
        <v/>
      </c>
      <c r="AF41" s="0" t="n">
        <v>60</v>
      </c>
    </row>
    <row r="42" ht="15.75" customHeight="1" s="51">
      <c r="A42" s="19" t="n">
        <v>29</v>
      </c>
      <c r="B42" s="25" t="inlineStr">
        <is>
          <t>Metis</t>
        </is>
      </c>
      <c r="C42" s="19" t="inlineStr">
        <is>
          <t>Laptops</t>
        </is>
      </c>
      <c r="D42" s="19" t="inlineStr">
        <is>
          <t>Metis Computing; METIS; Meits; Meetis</t>
        </is>
      </c>
      <c r="E42" s="19" t="inlineStr">
        <is>
          <t>1 year limited</t>
        </is>
      </c>
      <c r="F42" s="19" t="inlineStr">
        <is>
          <t>ISO 9001, WEEE Registered, RoHS Compliant</t>
        </is>
      </c>
      <c r="G42" s="19" t="inlineStr">
        <is>
          <t>school, content creation, budget, travel</t>
        </is>
      </c>
      <c r="H42" s="19" t="inlineStr">
        <is>
          <t>Laptop</t>
        </is>
      </c>
      <c r="I42" s="19" t="inlineStr">
        <is>
          <t>Metis Lumen Plus Student Laptop</t>
        </is>
      </c>
      <c r="J42" s="22" t="n">
        <v>315.99</v>
      </c>
      <c r="K42" s="19" t="inlineStr">
        <is>
          <t>Metis Blaze SE Chromebook</t>
        </is>
      </c>
      <c r="L42" s="22" t="n">
        <v>365.99</v>
      </c>
      <c r="M42" s="19" t="inlineStr">
        <is>
          <t>Metis Quanta 2-in-1 Convertible</t>
        </is>
      </c>
      <c r="N42" s="22" t="n">
        <v>796.99</v>
      </c>
      <c r="O42" s="19" t="inlineStr">
        <is>
          <t>Metis Crest Plus 13" Ultrabook</t>
        </is>
      </c>
      <c r="P42" s="22" t="n">
        <v>1269.99</v>
      </c>
      <c r="Q42" s="19" t="inlineStr">
        <is>
          <t>Metis Sable Ultra Dual-Screen Laptop</t>
        </is>
      </c>
      <c r="R42" s="22" t="n">
        <v>1830.99</v>
      </c>
      <c r="S42" s="19" t="inlineStr">
        <is>
          <t>Metis Nova Max 16" Creator Laptop</t>
        </is>
      </c>
      <c r="T42" s="22" t="n">
        <v>1936.99</v>
      </c>
      <c r="U42" s="19" t="inlineStr">
        <is>
          <t>Metis Quanta Plus 15" Gaming Laptop</t>
        </is>
      </c>
      <c r="V42" s="22" t="n">
        <v>2102.99</v>
      </c>
      <c r="W42" s="19" t="inlineStr">
        <is>
          <t>Metis Drift Pro Rugged Laptop</t>
        </is>
      </c>
      <c r="X42" s="22" t="n">
        <v>2195.99</v>
      </c>
      <c r="Y42" s="19" t="inlineStr">
        <is>
          <t>Metis Halo Lite 17" Gaming Laptop</t>
        </is>
      </c>
      <c r="Z42" s="22" t="n">
        <v>2217.99</v>
      </c>
      <c r="AA42" s="19" t="inlineStr">
        <is>
          <t>Metis Core Lite Mobile Workstation</t>
        </is>
      </c>
      <c r="AB42" s="22" t="n">
        <v>4341.99</v>
      </c>
      <c r="AC42" s="36">
        <f>MIN(J42,L42,N42,P42,R42,T42,V42,X42,Z42,AB42)</f>
        <v/>
      </c>
      <c r="AD42" s="36">
        <f>MAX(J42,L42,N42,P42,R42,T42,V42,X42,Z42,AB42)</f>
        <v/>
      </c>
      <c r="AE42" s="36">
        <f>AVERAGE(J42,L42,N42,P42,R42,T42,V42,X42,Z42,AB42)</f>
        <v/>
      </c>
      <c r="AF42" s="0" t="n">
        <v>60</v>
      </c>
    </row>
    <row r="43" ht="15.75" customHeight="1" s="51">
      <c r="A43" s="19" t="n">
        <v>30</v>
      </c>
      <c r="B43" s="25" t="inlineStr">
        <is>
          <t>Thalia</t>
        </is>
      </c>
      <c r="C43" s="19" t="inlineStr">
        <is>
          <t>Laptops</t>
        </is>
      </c>
      <c r="D43" s="19" t="inlineStr">
        <is>
          <t>Thalia Computing; THALIA; Thaila; Thaliaa</t>
        </is>
      </c>
      <c r="E43" s="19" t="inlineStr">
        <is>
          <t>1 year limited</t>
        </is>
      </c>
      <c r="F43" s="19" t="inlineStr">
        <is>
          <t>ISO 9001, RoHS Compliant, WEEE Registered</t>
        </is>
      </c>
      <c r="G43" s="19" t="inlineStr">
        <is>
          <t>school, travel, budget, work</t>
        </is>
      </c>
      <c r="H43" s="19" t="inlineStr">
        <is>
          <t>Laptop</t>
        </is>
      </c>
      <c r="I43" s="19" t="inlineStr">
        <is>
          <t>Thalia Pulse X Chromebook</t>
        </is>
      </c>
      <c r="J43" s="22" t="n">
        <v>439.99</v>
      </c>
      <c r="K43" s="19" t="inlineStr">
        <is>
          <t>Thalia Nova Lite Student Laptop</t>
        </is>
      </c>
      <c r="L43" s="22" t="n">
        <v>537.99</v>
      </c>
      <c r="M43" s="19" t="inlineStr">
        <is>
          <t>Thalia Rift X 13" Ultrabook</t>
        </is>
      </c>
      <c r="N43" s="22" t="n">
        <v>1469.99</v>
      </c>
      <c r="O43" s="19" t="inlineStr">
        <is>
          <t>Thalia Apex Max 14" Business Laptop</t>
        </is>
      </c>
      <c r="P43" s="22" t="n">
        <v>1502.99</v>
      </c>
      <c r="Q43" s="19" t="inlineStr">
        <is>
          <t>Thalia Volt 2-in-1 Convertible</t>
        </is>
      </c>
      <c r="R43" s="22" t="n">
        <v>1739.99</v>
      </c>
      <c r="S43" s="19" t="inlineStr">
        <is>
          <t>Thalia Pulse Max 15" Gaming Laptop</t>
        </is>
      </c>
      <c r="T43" s="22" t="n">
        <v>1806.99</v>
      </c>
      <c r="U43" s="19" t="inlineStr">
        <is>
          <t>Thalia Apex Pro 16" Creator Laptop</t>
        </is>
      </c>
      <c r="V43" s="22" t="n">
        <v>1841.99</v>
      </c>
      <c r="W43" s="19" t="inlineStr">
        <is>
          <t>Thalia Arc SE Dual-Screen Laptop</t>
        </is>
      </c>
      <c r="X43" s="22" t="n">
        <v>2742.99</v>
      </c>
      <c r="Y43" s="19" t="inlineStr">
        <is>
          <t>Thalia Flux Ultra Rugged Laptop</t>
        </is>
      </c>
      <c r="Z43" s="22" t="n">
        <v>3495.99</v>
      </c>
      <c r="AA43" s="19" t="inlineStr">
        <is>
          <t>Thalia Nimbus Plus Mobile Workstation</t>
        </is>
      </c>
      <c r="AB43" s="22" t="n">
        <v>4192.99</v>
      </c>
      <c r="AC43" s="36">
        <f>MIN(J43,L43,N43,P43,R43,T43,V43,X43,Z43,AB43)</f>
        <v/>
      </c>
      <c r="AD43" s="36">
        <f>MAX(J43,L43,N43,P43,R43,T43,V43,X43,Z43,AB43)</f>
        <v/>
      </c>
      <c r="AE43" s="36">
        <f>AVERAGE(J43,L43,N43,P43,R43,T43,V43,X43,Z43,AB43)</f>
        <v/>
      </c>
      <c r="AF43" s="0" t="n">
        <v>60</v>
      </c>
    </row>
    <row r="44" ht="15.75" customHeight="1" s="51">
      <c r="A44" s="19" t="n">
        <v>31</v>
      </c>
      <c r="B44" s="25" t="inlineStr">
        <is>
          <t>Aeolus</t>
        </is>
      </c>
      <c r="C44" s="19" t="inlineStr">
        <is>
          <t>Laptops</t>
        </is>
      </c>
      <c r="D44" s="19" t="inlineStr">
        <is>
          <t>Aeolus Computing; AEOLUS; Eolus; Aeouls</t>
        </is>
      </c>
      <c r="E44" s="19" t="inlineStr">
        <is>
          <t>1 year limited</t>
        </is>
      </c>
      <c r="F44" s="19" t="inlineStr">
        <is>
          <t>ISO 9001, ISO/IEC 27001, WEEE Registered</t>
        </is>
      </c>
      <c r="G44" s="19" t="inlineStr">
        <is>
          <t>school, everyday, work, travel</t>
        </is>
      </c>
      <c r="H44" s="19" t="inlineStr">
        <is>
          <t>Laptop</t>
        </is>
      </c>
      <c r="I44" s="19" t="inlineStr">
        <is>
          <t>Aeolus Echo Plus 15" Budget Laptop</t>
        </is>
      </c>
      <c r="J44" s="22" t="n">
        <v>391.99</v>
      </c>
      <c r="K44" s="19" t="inlineStr">
        <is>
          <t>Aeolus Arc Plus Student Laptop</t>
        </is>
      </c>
      <c r="L44" s="22" t="n">
        <v>784.99</v>
      </c>
      <c r="M44" s="19" t="inlineStr">
        <is>
          <t>Aeolus Nimbus Ultra 15" Ultrabook</t>
        </is>
      </c>
      <c r="N44" s="22" t="n">
        <v>1275.99</v>
      </c>
      <c r="O44" s="19" t="inlineStr">
        <is>
          <t>Aeolus Lumen Lite 2-in-1 Convertible</t>
        </is>
      </c>
      <c r="P44" s="22" t="n">
        <v>1456.99</v>
      </c>
      <c r="Q44" s="19" t="inlineStr">
        <is>
          <t>Aeolus Apex Air 14" Business Laptop</t>
        </is>
      </c>
      <c r="R44" s="22" t="n">
        <v>1507.99</v>
      </c>
      <c r="S44" s="19" t="inlineStr">
        <is>
          <t>Aeolus Arc Air Rugged Laptop</t>
        </is>
      </c>
      <c r="T44" s="22" t="n">
        <v>1696.99</v>
      </c>
      <c r="U44" s="19" t="inlineStr">
        <is>
          <t>Aeolus Crest SE 13" Ultrabook</t>
        </is>
      </c>
      <c r="V44" s="22" t="n">
        <v>1800.99</v>
      </c>
      <c r="W44" s="19" t="inlineStr">
        <is>
          <t>Aeolus Aeon Ultra 16" Creator Laptop</t>
        </is>
      </c>
      <c r="X44" s="22" t="n">
        <v>2287.99</v>
      </c>
      <c r="Y44" s="19" t="inlineStr">
        <is>
          <t>Aeolus Spark 17" Gaming Laptop</t>
        </is>
      </c>
      <c r="Z44" s="22" t="n">
        <v>2744.99</v>
      </c>
      <c r="AA44" s="19" t="inlineStr">
        <is>
          <t>Aeolus Drift Mobile Workstation</t>
        </is>
      </c>
      <c r="AB44" s="22" t="n">
        <v>3497.99</v>
      </c>
      <c r="AC44" s="36">
        <f>MIN(J44,L44,N44,P44,R44,T44,V44,X44,Z44,AB44)</f>
        <v/>
      </c>
      <c r="AD44" s="36">
        <f>MAX(J44,L44,N44,P44,R44,T44,V44,X44,Z44,AB44)</f>
        <v/>
      </c>
      <c r="AE44" s="36">
        <f>AVERAGE(J44,L44,N44,P44,R44,T44,V44,X44,Z44,AB44)</f>
        <v/>
      </c>
      <c r="AF44" s="0" t="n">
        <v>30</v>
      </c>
    </row>
    <row r="45" ht="15.75" customHeight="1" s="51">
      <c r="A45" s="19" t="n">
        <v>32</v>
      </c>
      <c r="B45" s="25" t="inlineStr">
        <is>
          <t>Zephyrus</t>
        </is>
      </c>
      <c r="C45" s="19" t="inlineStr">
        <is>
          <t>Laptops</t>
        </is>
      </c>
      <c r="D45" s="19" t="inlineStr">
        <is>
          <t>Zephyrus Computing; ZEPHYRUS; Zepyhrus; Zephyrrus</t>
        </is>
      </c>
      <c r="E45" s="19" t="inlineStr">
        <is>
          <t>1 year limited</t>
        </is>
      </c>
      <c r="F45" s="19" t="inlineStr">
        <is>
          <t>ISO 9001, WEEE Registered, ISO 45001</t>
        </is>
      </c>
      <c r="G45" s="19" t="inlineStr">
        <is>
          <t>school, budget, everyday, work</t>
        </is>
      </c>
      <c r="H45" s="19" t="inlineStr">
        <is>
          <t>Laptop</t>
        </is>
      </c>
      <c r="I45" s="19" t="inlineStr">
        <is>
          <t>Zephyrus Sable X 15" Budget Laptop</t>
        </is>
      </c>
      <c r="J45" s="22" t="n">
        <v>312.99</v>
      </c>
      <c r="K45" s="19" t="inlineStr">
        <is>
          <t>Zephyrus Pulse Chromebook</t>
        </is>
      </c>
      <c r="L45" s="22" t="n">
        <v>695.99</v>
      </c>
      <c r="M45" s="19" t="inlineStr">
        <is>
          <t>Zephyrus Zen Pro Student Laptop</t>
        </is>
      </c>
      <c r="N45" s="22" t="n">
        <v>700.99</v>
      </c>
      <c r="O45" s="19" t="inlineStr">
        <is>
          <t>Zephyrus Core Lite 14" Business Laptop</t>
        </is>
      </c>
      <c r="P45" s="22" t="n">
        <v>753.99</v>
      </c>
      <c r="Q45" s="19" t="inlineStr">
        <is>
          <t>Zephyrus Nova Air 13" Ultrabook</t>
        </is>
      </c>
      <c r="R45" s="22" t="n">
        <v>1218.99</v>
      </c>
      <c r="S45" s="19" t="inlineStr">
        <is>
          <t>Zephyrus Zen Lite 15" Gaming Laptop</t>
        </is>
      </c>
      <c r="T45" s="22" t="n">
        <v>1475.99</v>
      </c>
      <c r="U45" s="19" t="inlineStr">
        <is>
          <t>Zephyrus Nova Pro 15" Ultrabook</t>
        </is>
      </c>
      <c r="V45" s="22" t="n">
        <v>1929.99</v>
      </c>
      <c r="W45" s="19" t="inlineStr">
        <is>
          <t>Zephyrus Lumen Pro 17" Gaming Laptop</t>
        </is>
      </c>
      <c r="X45" s="22" t="n">
        <v>2346.99</v>
      </c>
      <c r="Y45" s="19" t="inlineStr">
        <is>
          <t>Zephyrus Quanta X Dual-Screen Laptop</t>
        </is>
      </c>
      <c r="Z45" s="22" t="n">
        <v>2813.99</v>
      </c>
      <c r="AA45" s="19" t="inlineStr">
        <is>
          <t>Zephyrus Drift X Rugged Laptop</t>
        </is>
      </c>
      <c r="AB45" s="22" t="n">
        <v>3926.99</v>
      </c>
      <c r="AC45" s="36">
        <f>MIN(J45,L45,N45,P45,R45,T45,V45,X45,Z45,AB45)</f>
        <v/>
      </c>
      <c r="AD45" s="36">
        <f>MAX(J45,L45,N45,P45,R45,T45,V45,X45,Z45,AB45)</f>
        <v/>
      </c>
      <c r="AE45" s="36">
        <f>AVERAGE(J45,L45,N45,P45,R45,T45,V45,X45,Z45,AB45)</f>
        <v/>
      </c>
      <c r="AF45" s="0" t="n">
        <v>45</v>
      </c>
    </row>
    <row r="46" ht="15.75" customHeight="1" s="51">
      <c r="A46" s="19" t="n">
        <v>33</v>
      </c>
      <c r="B46" s="25" t="inlineStr">
        <is>
          <t>Homonoia</t>
        </is>
      </c>
      <c r="C46" s="19" t="inlineStr">
        <is>
          <t>Laptops</t>
        </is>
      </c>
      <c r="D46" s="19" t="inlineStr">
        <is>
          <t>Homonoia Computing; HOMONOIA; Homoonoia; Hmoonoia</t>
        </is>
      </c>
      <c r="E46" s="19" t="inlineStr">
        <is>
          <t>1 year limited</t>
        </is>
      </c>
      <c r="F46" s="19" t="inlineStr">
        <is>
          <t>ISO 9001, RoHS Compliant, ISO/IEC 27001</t>
        </is>
      </c>
      <c r="G46" s="19" t="inlineStr">
        <is>
          <t>school, everyday, travel, work</t>
        </is>
      </c>
      <c r="H46" s="19" t="inlineStr">
        <is>
          <t>Laptop</t>
        </is>
      </c>
      <c r="I46" s="19" t="inlineStr">
        <is>
          <t>Homonoia Core Student Laptop</t>
        </is>
      </c>
      <c r="J46" s="22" t="n">
        <v>387.99</v>
      </c>
      <c r="K46" s="19" t="inlineStr">
        <is>
          <t>Homonoia Orbit Pro 15" Budget Laptop</t>
        </is>
      </c>
      <c r="L46" s="22" t="n">
        <v>479.99</v>
      </c>
      <c r="M46" s="19" t="inlineStr">
        <is>
          <t>Homonoia Blaze SE 2-in-1 Convertible</t>
        </is>
      </c>
      <c r="N46" s="22" t="n">
        <v>857.99</v>
      </c>
      <c r="O46" s="19" t="inlineStr">
        <is>
          <t>Homonoia Lumen 13" Ultrabook</t>
        </is>
      </c>
      <c r="P46" s="22" t="n">
        <v>1849.99</v>
      </c>
      <c r="Q46" s="19" t="inlineStr">
        <is>
          <t>Homonoia Aeon Plus 15" Ultrabook</t>
        </is>
      </c>
      <c r="R46" s="22" t="n">
        <v>1973.99</v>
      </c>
      <c r="S46" s="19" t="inlineStr">
        <is>
          <t>Homonoia Echo Air 14" Business Laptop</t>
        </is>
      </c>
      <c r="T46" s="22" t="n">
        <v>2007.99</v>
      </c>
      <c r="U46" s="19" t="inlineStr">
        <is>
          <t>Homonoia Spark SE Mobile Workstation</t>
        </is>
      </c>
      <c r="V46" s="22" t="n">
        <v>2047.99</v>
      </c>
      <c r="W46" s="19" t="inlineStr">
        <is>
          <t>Homonoia Zen 15" Gaming Laptop</t>
        </is>
      </c>
      <c r="X46" s="22" t="n">
        <v>2203.99</v>
      </c>
      <c r="Y46" s="19" t="inlineStr">
        <is>
          <t>Homonoia Flux Dual-Screen Laptop</t>
        </is>
      </c>
      <c r="Z46" s="22" t="n">
        <v>2275.99</v>
      </c>
      <c r="AA46" s="19" t="inlineStr">
        <is>
          <t>Homonoia Aeon 16" Creator Laptop</t>
        </is>
      </c>
      <c r="AB46" s="22" t="n">
        <v>2633.99</v>
      </c>
      <c r="AC46" s="36">
        <f>MIN(J46,L46,N46,P46,R46,T46,V46,X46,Z46,AB46)</f>
        <v/>
      </c>
      <c r="AD46" s="36">
        <f>MAX(J46,L46,N46,P46,R46,T46,V46,X46,Z46,AB46)</f>
        <v/>
      </c>
      <c r="AE46" s="36">
        <f>AVERAGE(J46,L46,N46,P46,R46,T46,V46,X46,Z46,AB46)</f>
        <v/>
      </c>
      <c r="AF46" s="0" t="n">
        <v>30</v>
      </c>
    </row>
    <row r="47" ht="15.75" customHeight="1" s="51">
      <c r="A47" s="19" t="n">
        <v>34</v>
      </c>
      <c r="B47" s="25" t="inlineStr">
        <is>
          <t>Selene</t>
        </is>
      </c>
      <c r="C47" s="19" t="inlineStr">
        <is>
          <t>Laptops</t>
        </is>
      </c>
      <c r="D47" s="19" t="inlineStr">
        <is>
          <t>Selene Computing; SELENE; Selnee; Selenee</t>
        </is>
      </c>
      <c r="E47" s="19" t="inlineStr">
        <is>
          <t>1 year limited</t>
        </is>
      </c>
      <c r="F47" s="19" t="inlineStr">
        <is>
          <t>ISO 9001, ISO 14001, ISO 45001</t>
        </is>
      </c>
      <c r="G47" s="19" t="inlineStr">
        <is>
          <t>school, everyday, travel, work</t>
        </is>
      </c>
      <c r="H47" s="19" t="inlineStr">
        <is>
          <t>Laptop</t>
        </is>
      </c>
      <c r="I47" s="19" t="inlineStr">
        <is>
          <t>Selene Zen Ultra Student Laptop</t>
        </is>
      </c>
      <c r="J47" s="22" t="n">
        <v>509.99</v>
      </c>
      <c r="K47" s="19" t="inlineStr">
        <is>
          <t>Selene Vertex 15" Budget Laptop</t>
        </is>
      </c>
      <c r="L47" s="22" t="n">
        <v>557.99</v>
      </c>
      <c r="M47" s="19" t="inlineStr">
        <is>
          <t>Selene Strata Air 13" Ultrabook</t>
        </is>
      </c>
      <c r="N47" s="22" t="n">
        <v>1032.99</v>
      </c>
      <c r="O47" s="19" t="inlineStr">
        <is>
          <t>Selene Aeon Pro 2-in-1 Convertible</t>
        </is>
      </c>
      <c r="P47" s="22" t="n">
        <v>1478.99</v>
      </c>
      <c r="Q47" s="19" t="inlineStr">
        <is>
          <t>Selene Crest Air 14" Business Laptop</t>
        </is>
      </c>
      <c r="R47" s="22" t="n">
        <v>1528.99</v>
      </c>
      <c r="S47" s="19" t="inlineStr">
        <is>
          <t>Selene Vibe Max Mobile Workstation</t>
        </is>
      </c>
      <c r="T47" s="22" t="n">
        <v>2067.99</v>
      </c>
      <c r="U47" s="19" t="inlineStr">
        <is>
          <t>Selene Axis Plus 15" Ultrabook</t>
        </is>
      </c>
      <c r="V47" s="22" t="n">
        <v>2121.99</v>
      </c>
      <c r="W47" s="19" t="inlineStr">
        <is>
          <t>Selene Strata Pro 15" Gaming Laptop</t>
        </is>
      </c>
      <c r="X47" s="22" t="n">
        <v>2474.99</v>
      </c>
      <c r="Y47" s="19" t="inlineStr">
        <is>
          <t>Selene Aeon Air 16" Creator Laptop</t>
        </is>
      </c>
      <c r="Z47" s="22" t="n">
        <v>2605.99</v>
      </c>
      <c r="AA47" s="19" t="inlineStr">
        <is>
          <t>Selene Drift X Rugged Laptop</t>
        </is>
      </c>
      <c r="AB47" s="22" t="n">
        <v>3855.99</v>
      </c>
      <c r="AC47" s="36">
        <f>MIN(J47,L47,N47,P47,R47,T47,V47,X47,Z47,AB47)</f>
        <v/>
      </c>
      <c r="AD47" s="36">
        <f>MAX(J47,L47,N47,P47,R47,T47,V47,X47,Z47,AB47)</f>
        <v/>
      </c>
      <c r="AE47" s="36">
        <f>AVERAGE(J47,L47,N47,P47,R47,T47,V47,X47,Z47,AB47)</f>
        <v/>
      </c>
      <c r="AF47" s="0" t="n">
        <v>14</v>
      </c>
    </row>
    <row r="48" ht="15.75" customHeight="1" s="51">
      <c r="A48" s="19" t="n">
        <v>35</v>
      </c>
      <c r="B48" s="25" t="inlineStr">
        <is>
          <t>Atropos</t>
        </is>
      </c>
      <c r="C48" s="19" t="inlineStr">
        <is>
          <t>Laptops</t>
        </is>
      </c>
      <c r="D48" s="19" t="inlineStr">
        <is>
          <t>Atropos Computing; ATROPOS; Atropoos; Atrpoos</t>
        </is>
      </c>
      <c r="E48" s="19" t="inlineStr">
        <is>
          <t>1 year limited</t>
        </is>
      </c>
      <c r="F48" s="19" t="inlineStr">
        <is>
          <t>ISO 9001, WEEE Registered, ISO/IEC 27001</t>
        </is>
      </c>
      <c r="G48" s="19" t="inlineStr">
        <is>
          <t>school, budget, everyday, work</t>
        </is>
      </c>
      <c r="H48" s="19" t="inlineStr">
        <is>
          <t>Laptop</t>
        </is>
      </c>
      <c r="I48" s="19" t="inlineStr">
        <is>
          <t>Atropos Titan 15" Budget Laptop</t>
        </is>
      </c>
      <c r="J48" s="22" t="n">
        <v>314.99</v>
      </c>
      <c r="K48" s="19" t="inlineStr">
        <is>
          <t>Atropos Blaze Plus Chromebook</t>
        </is>
      </c>
      <c r="L48" s="22" t="n">
        <v>579.99</v>
      </c>
      <c r="M48" s="19" t="inlineStr">
        <is>
          <t>Atropos Prism Plus Student Laptop</t>
        </is>
      </c>
      <c r="N48" s="22" t="n">
        <v>605.99</v>
      </c>
      <c r="O48" s="19" t="inlineStr">
        <is>
          <t>Atropos Vertex 15" Ultrabook</t>
        </is>
      </c>
      <c r="P48" s="22" t="n">
        <v>1188.99</v>
      </c>
      <c r="Q48" s="19" t="inlineStr">
        <is>
          <t>Atropos Nova Dual-Screen Laptop</t>
        </is>
      </c>
      <c r="R48" s="22" t="n">
        <v>1335.99</v>
      </c>
      <c r="S48" s="19" t="inlineStr">
        <is>
          <t>Atropos Volt SE 14" Business Laptop</t>
        </is>
      </c>
      <c r="T48" s="22" t="n">
        <v>1589.99</v>
      </c>
      <c r="U48" s="19" t="inlineStr">
        <is>
          <t>Atropos Lumen Air Rugged Laptop</t>
        </is>
      </c>
      <c r="V48" s="22" t="n">
        <v>1722.99</v>
      </c>
      <c r="W48" s="19" t="inlineStr">
        <is>
          <t>Atropos Echo Max 15" Gaming Laptop</t>
        </is>
      </c>
      <c r="X48" s="22" t="n">
        <v>2474.99</v>
      </c>
      <c r="Y48" s="19" t="inlineStr">
        <is>
          <t>Atropos Apex 16" Creator Laptop</t>
        </is>
      </c>
      <c r="Z48" s="22" t="n">
        <v>2748.99</v>
      </c>
      <c r="AA48" s="19" t="inlineStr">
        <is>
          <t>Atropos Rift Ultra Mobile Workstation</t>
        </is>
      </c>
      <c r="AB48" s="22" t="n">
        <v>4611.99</v>
      </c>
      <c r="AC48" s="36">
        <f>MIN(J48,L48,N48,P48,R48,T48,V48,X48,Z48,AB48)</f>
        <v/>
      </c>
      <c r="AD48" s="36">
        <f>MAX(J48,L48,N48,P48,R48,T48,V48,X48,Z48,AB48)</f>
        <v/>
      </c>
      <c r="AE48" s="36">
        <f>AVERAGE(J48,L48,N48,P48,R48,T48,V48,X48,Z48,AB48)</f>
        <v/>
      </c>
      <c r="AF48" s="0" t="n">
        <v>30</v>
      </c>
    </row>
    <row r="49" ht="15.75" customHeight="1" s="51">
      <c r="A49" s="19" t="n">
        <v>36</v>
      </c>
      <c r="B49" s="25" t="inlineStr">
        <is>
          <t>Persephone</t>
        </is>
      </c>
      <c r="C49" s="19" t="inlineStr">
        <is>
          <t>Laptops</t>
        </is>
      </c>
      <c r="D49" s="19" t="inlineStr">
        <is>
          <t>Persephone Computing; PERSEPHONE; Pesrephone; Persephonee</t>
        </is>
      </c>
      <c r="E49" s="19" t="inlineStr">
        <is>
          <t>1 year limited</t>
        </is>
      </c>
      <c r="F49" s="19" t="inlineStr">
        <is>
          <t>ISO 9001, ISO 14001, ISO/IEC 27001</t>
        </is>
      </c>
      <c r="G49" s="19" t="inlineStr">
        <is>
          <t>school, work, travel, everyday</t>
        </is>
      </c>
      <c r="H49" s="19" t="inlineStr">
        <is>
          <t>Laptop</t>
        </is>
      </c>
      <c r="I49" s="19" t="inlineStr">
        <is>
          <t>Persephone Pulse Lite 15" Budget Laptop</t>
        </is>
      </c>
      <c r="J49" s="22" t="n">
        <v>427.99</v>
      </c>
      <c r="K49" s="19" t="inlineStr">
        <is>
          <t>Persephone Crest Max 14" Business Laptop</t>
        </is>
      </c>
      <c r="L49" s="22" t="n">
        <v>801.99</v>
      </c>
      <c r="M49" s="19" t="inlineStr">
        <is>
          <t>Persephone Lumen SE 2-in-1 Convertible</t>
        </is>
      </c>
      <c r="N49" s="22" t="n">
        <v>891.99</v>
      </c>
      <c r="O49" s="19" t="inlineStr">
        <is>
          <t>Persephone Blaze Air 13" Ultrabook</t>
        </is>
      </c>
      <c r="P49" s="22" t="n">
        <v>985.99</v>
      </c>
      <c r="Q49" s="19" t="inlineStr">
        <is>
          <t>Persephone Wave Max Dual-Screen Laptop</t>
        </is>
      </c>
      <c r="R49" s="22" t="n">
        <v>1257.99</v>
      </c>
      <c r="S49" s="19" t="inlineStr">
        <is>
          <t>Persephone Rift Plus 15" Ultrabook</t>
        </is>
      </c>
      <c r="T49" s="22" t="n">
        <v>1630.99</v>
      </c>
      <c r="U49" s="19" t="inlineStr">
        <is>
          <t>Persephone Strata Air 15" Gaming Laptop</t>
        </is>
      </c>
      <c r="V49" s="22" t="n">
        <v>1876.99</v>
      </c>
      <c r="W49" s="19" t="inlineStr">
        <is>
          <t>Persephone Vibe Mobile Workstation</t>
        </is>
      </c>
      <c r="X49" s="22" t="n">
        <v>2083.99</v>
      </c>
      <c r="Y49" s="19" t="inlineStr">
        <is>
          <t>Persephone Lumen Pro 17" Gaming Laptop</t>
        </is>
      </c>
      <c r="Z49" s="22" t="n">
        <v>2639.99</v>
      </c>
      <c r="AA49" s="19" t="inlineStr">
        <is>
          <t>Persephone Crest Air Rugged Laptop</t>
        </is>
      </c>
      <c r="AB49" s="22" t="n">
        <v>3844.99</v>
      </c>
      <c r="AC49" s="36">
        <f>MIN(J49,L49,N49,P49,R49,T49,V49,X49,Z49,AB49)</f>
        <v/>
      </c>
      <c r="AD49" s="36">
        <f>MAX(J49,L49,N49,P49,R49,T49,V49,X49,Z49,AB49)</f>
        <v/>
      </c>
      <c r="AE49" s="36">
        <f>AVERAGE(J49,L49,N49,P49,R49,T49,V49,X49,Z49,AB49)</f>
        <v/>
      </c>
      <c r="AF49" s="0" t="n">
        <v>45</v>
      </c>
    </row>
    <row r="50" ht="15.75" customHeight="1" s="51">
      <c r="A50" s="19" t="n">
        <v>37</v>
      </c>
      <c r="B50" s="25" t="inlineStr">
        <is>
          <t>Heracles</t>
        </is>
      </c>
      <c r="C50" s="19" t="inlineStr">
        <is>
          <t>Laptops</t>
        </is>
      </c>
      <c r="D50" s="19" t="inlineStr">
        <is>
          <t>Heracles Computing; HERACLES; Hreacles; Heralces</t>
        </is>
      </c>
      <c r="E50" s="19" t="inlineStr">
        <is>
          <t>1 year limited</t>
        </is>
      </c>
      <c r="F50" s="19" t="inlineStr">
        <is>
          <t>ISO 9001, ISO 14001, WEEE Registered</t>
        </is>
      </c>
      <c r="G50" s="19" t="inlineStr">
        <is>
          <t>school, budget, everyday, work</t>
        </is>
      </c>
      <c r="H50" s="19" t="inlineStr">
        <is>
          <t>Laptop</t>
        </is>
      </c>
      <c r="I50" s="19" t="inlineStr">
        <is>
          <t>Heracles Crest Ultra Chromebook</t>
        </is>
      </c>
      <c r="J50" s="22" t="n">
        <v>446.99</v>
      </c>
      <c r="K50" s="19" t="inlineStr">
        <is>
          <t>Heracles Nova Max 15" Budget Laptop</t>
        </is>
      </c>
      <c r="L50" s="22" t="n">
        <v>593.99</v>
      </c>
      <c r="M50" s="19" t="inlineStr">
        <is>
          <t>Heracles Apex X Student Laptop</t>
        </is>
      </c>
      <c r="N50" s="22" t="n">
        <v>645.99</v>
      </c>
      <c r="O50" s="19" t="inlineStr">
        <is>
          <t>Heracles Apex SE 14" Business Laptop</t>
        </is>
      </c>
      <c r="P50" s="22" t="n">
        <v>1655.99</v>
      </c>
      <c r="Q50" s="19" t="inlineStr">
        <is>
          <t>Heracles Vibe Lite 17" Gaming Laptop</t>
        </is>
      </c>
      <c r="R50" s="22" t="n">
        <v>1713.99</v>
      </c>
      <c r="S50" s="19" t="inlineStr">
        <is>
          <t>Heracles Orbit Max 13" Ultrabook</t>
        </is>
      </c>
      <c r="T50" s="22" t="n">
        <v>1794.99</v>
      </c>
      <c r="U50" s="19" t="inlineStr">
        <is>
          <t>Heracles Core Pro 15" Gaming Laptop</t>
        </is>
      </c>
      <c r="V50" s="22" t="n">
        <v>1846.99</v>
      </c>
      <c r="W50" s="19" t="inlineStr">
        <is>
          <t>Heracles Flux Max Rugged Laptop</t>
        </is>
      </c>
      <c r="X50" s="22" t="n">
        <v>3058.99</v>
      </c>
      <c r="Y50" s="19" t="inlineStr">
        <is>
          <t>Heracles Flux Plus 16" Creator Laptop</t>
        </is>
      </c>
      <c r="Z50" s="22" t="n">
        <v>3496.99</v>
      </c>
      <c r="AA50" s="19" t="inlineStr">
        <is>
          <t>Heracles Crest Mobile Workstation</t>
        </is>
      </c>
      <c r="AB50" s="22" t="n">
        <v>4888.99</v>
      </c>
      <c r="AC50" s="36">
        <f>MIN(J50,L50,N50,P50,R50,T50,V50,X50,Z50,AB50)</f>
        <v/>
      </c>
      <c r="AD50" s="36">
        <f>MAX(J50,L50,N50,P50,R50,T50,V50,X50,Z50,AB50)</f>
        <v/>
      </c>
      <c r="AE50" s="36">
        <f>AVERAGE(J50,L50,N50,P50,R50,T50,V50,X50,Z50,AB50)</f>
        <v/>
      </c>
      <c r="AF50" s="0" t="n">
        <v>15</v>
      </c>
    </row>
    <row r="51" ht="15.75" customHeight="1" s="51">
      <c r="A51" s="19" t="n">
        <v>38</v>
      </c>
      <c r="B51" s="25" t="inlineStr">
        <is>
          <t>Auxo</t>
        </is>
      </c>
      <c r="C51" s="19" t="inlineStr">
        <is>
          <t>Laptops</t>
        </is>
      </c>
      <c r="D51" s="19" t="inlineStr">
        <is>
          <t>Auxo Computing; AUXO; Auuxo; Axuo</t>
        </is>
      </c>
      <c r="E51" s="19" t="inlineStr">
        <is>
          <t>1 year limited</t>
        </is>
      </c>
      <c r="F51" s="19" t="inlineStr">
        <is>
          <t>ISO 9001, ISO/IEC 27001, ISO 14001</t>
        </is>
      </c>
      <c r="G51" s="19" t="inlineStr">
        <is>
          <t>school, content creation, everyday, work</t>
        </is>
      </c>
      <c r="H51" s="19" t="inlineStr">
        <is>
          <t>Laptop</t>
        </is>
      </c>
      <c r="I51" s="19" t="inlineStr">
        <is>
          <t>Auxo Aria Plus Student Laptop</t>
        </is>
      </c>
      <c r="J51" s="22" t="n">
        <v>584.99</v>
      </c>
      <c r="K51" s="19" t="inlineStr">
        <is>
          <t>Auxo Nimbus 15" Ultrabook</t>
        </is>
      </c>
      <c r="L51" s="22" t="n">
        <v>1145.99</v>
      </c>
      <c r="M51" s="19" t="inlineStr">
        <is>
          <t>Auxo Prism Plus 13" Ultrabook</t>
        </is>
      </c>
      <c r="N51" s="22" t="n">
        <v>1321.99</v>
      </c>
      <c r="O51" s="19" t="inlineStr">
        <is>
          <t>Auxo Strata Plus Rugged Laptop</t>
        </is>
      </c>
      <c r="P51" s="22" t="n">
        <v>1616.99</v>
      </c>
      <c r="Q51" s="19" t="inlineStr">
        <is>
          <t>Auxo Vertex X 2-in-1 Convertible</t>
        </is>
      </c>
      <c r="R51" s="22" t="n">
        <v>1777.99</v>
      </c>
      <c r="S51" s="19" t="inlineStr">
        <is>
          <t>Auxo Pulse Ultra 15" Gaming Laptop</t>
        </is>
      </c>
      <c r="T51" s="22" t="n">
        <v>1891.99</v>
      </c>
      <c r="U51" s="19" t="inlineStr">
        <is>
          <t>Auxo Nimbus Air 16" Creator Laptop</t>
        </is>
      </c>
      <c r="V51" s="22" t="n">
        <v>1927.99</v>
      </c>
      <c r="W51" s="19" t="inlineStr">
        <is>
          <t>Auxo Pulse Ultra 17" Gaming Laptop</t>
        </is>
      </c>
      <c r="X51" s="22" t="n">
        <v>1989.99</v>
      </c>
      <c r="Y51" s="19" t="inlineStr">
        <is>
          <t>Auxo Arc Air Dual-Screen Laptop</t>
        </is>
      </c>
      <c r="Z51" s="22" t="n">
        <v>2639.99</v>
      </c>
      <c r="AA51" s="19" t="inlineStr">
        <is>
          <t>Auxo Vertex Lite Mobile Workstation</t>
        </is>
      </c>
      <c r="AB51" s="22" t="n">
        <v>4857.99</v>
      </c>
      <c r="AC51" s="36">
        <f>MIN(J51,L51,N51,P51,R51,T51,V51,X51,Z51,AB51)</f>
        <v/>
      </c>
      <c r="AD51" s="36">
        <f>MAX(J51,L51,N51,P51,R51,T51,V51,X51,Z51,AB51)</f>
        <v/>
      </c>
      <c r="AE51" s="36">
        <f>AVERAGE(J51,L51,N51,P51,R51,T51,V51,X51,Z51,AB51)</f>
        <v/>
      </c>
      <c r="AF51" s="0" t="n">
        <v>15</v>
      </c>
    </row>
    <row r="52" ht="15.75" customHeight="1" s="51">
      <c r="A52" s="19" t="n">
        <v>39</v>
      </c>
      <c r="B52" s="25" t="inlineStr">
        <is>
          <t>Terpsichore</t>
        </is>
      </c>
      <c r="C52" s="19" t="inlineStr">
        <is>
          <t>Laptops</t>
        </is>
      </c>
      <c r="D52" s="19" t="inlineStr">
        <is>
          <t>Terpsichore Computing; TERPSICHORE; Teerpsichore; Terpsihcore</t>
        </is>
      </c>
      <c r="E52" s="19" t="inlineStr">
        <is>
          <t>1 year limited</t>
        </is>
      </c>
      <c r="F52" s="19" t="inlineStr">
        <is>
          <t>ISO 9001, RoHS Compliant, WEEE Registered</t>
        </is>
      </c>
      <c r="G52" s="19" t="inlineStr">
        <is>
          <t>school, travel, work, everyday</t>
        </is>
      </c>
      <c r="H52" s="19" t="inlineStr">
        <is>
          <t>Laptop</t>
        </is>
      </c>
      <c r="I52" s="19" t="inlineStr">
        <is>
          <t>Terpsichore Vertex 15" Budget Laptop</t>
        </is>
      </c>
      <c r="J52" s="22" t="n">
        <v>293.99</v>
      </c>
      <c r="K52" s="19" t="inlineStr">
        <is>
          <t>Terpsichore Orbit Air 13" Ultrabook</t>
        </is>
      </c>
      <c r="L52" s="22" t="n">
        <v>1031.99</v>
      </c>
      <c r="M52" s="19" t="inlineStr">
        <is>
          <t>Terpsichore Quanta Plus 15" Gaming Laptop</t>
        </is>
      </c>
      <c r="N52" s="22" t="n">
        <v>1395.99</v>
      </c>
      <c r="O52" s="19" t="inlineStr">
        <is>
          <t>Terpsichore Strata Max 2-in-1 Convertible</t>
        </is>
      </c>
      <c r="P52" s="22" t="n">
        <v>1408.99</v>
      </c>
      <c r="Q52" s="19" t="inlineStr">
        <is>
          <t>Terpsichore Blaze Lite 14" Business Laptop</t>
        </is>
      </c>
      <c r="R52" s="22" t="n">
        <v>1467.99</v>
      </c>
      <c r="S52" s="19" t="inlineStr">
        <is>
          <t>Terpsichore Arc Plus 15" Ultrabook</t>
        </is>
      </c>
      <c r="T52" s="22" t="n">
        <v>1693.99</v>
      </c>
      <c r="U52" s="19" t="inlineStr">
        <is>
          <t>Terpsichore Orbit Dual-Screen Laptop</t>
        </is>
      </c>
      <c r="V52" s="22" t="n">
        <v>2018.99</v>
      </c>
      <c r="W52" s="19" t="inlineStr">
        <is>
          <t>Terpsichore Nova Air 17" Gaming Laptop</t>
        </is>
      </c>
      <c r="X52" s="22" t="n">
        <v>2186.99</v>
      </c>
      <c r="Y52" s="19" t="inlineStr">
        <is>
          <t>Terpsichore Vertex X Rugged Laptop</t>
        </is>
      </c>
      <c r="Z52" s="22" t="n">
        <v>2294.99</v>
      </c>
      <c r="AA52" s="19" t="inlineStr">
        <is>
          <t>Terpsichore Aeon Plus Mobile Workstation</t>
        </is>
      </c>
      <c r="AB52" s="22" t="n">
        <v>4329.99</v>
      </c>
      <c r="AC52" s="36">
        <f>MIN(J52,L52,N52,P52,R52,T52,V52,X52,Z52,AB52)</f>
        <v/>
      </c>
      <c r="AD52" s="36">
        <f>MAX(J52,L52,N52,P52,R52,T52,V52,X52,Z52,AB52)</f>
        <v/>
      </c>
      <c r="AE52" s="36">
        <f>AVERAGE(J52,L52,N52,P52,R52,T52,V52,X52,Z52,AB52)</f>
        <v/>
      </c>
      <c r="AF52" s="0" t="n">
        <v>15</v>
      </c>
    </row>
    <row r="53" ht="15.75" customHeight="1" s="51">
      <c r="A53" s="19" t="n">
        <v>40</v>
      </c>
      <c r="B53" s="25" t="inlineStr">
        <is>
          <t>Calliope</t>
        </is>
      </c>
      <c r="C53" s="19" t="inlineStr">
        <is>
          <t>Laptops</t>
        </is>
      </c>
      <c r="D53" s="19" t="inlineStr">
        <is>
          <t>Calliope Computing; CALLIOPE; Callipoe; Callioppe</t>
        </is>
      </c>
      <c r="E53" s="19" t="inlineStr">
        <is>
          <t>1 year limited</t>
        </is>
      </c>
      <c r="F53" s="19" t="inlineStr">
        <is>
          <t>ISO 9001, WEEE Registered, ISO 45001</t>
        </is>
      </c>
      <c r="G53" s="19" t="inlineStr">
        <is>
          <t>school, content creation, budget, everyday</t>
        </is>
      </c>
      <c r="H53" s="19" t="inlineStr">
        <is>
          <t>Laptop</t>
        </is>
      </c>
      <c r="I53" s="19" t="inlineStr">
        <is>
          <t>Calliope Echo Plus Chromebook</t>
        </is>
      </c>
      <c r="J53" s="22" t="n">
        <v>217.99</v>
      </c>
      <c r="K53" s="19" t="inlineStr">
        <is>
          <t>Calliope Orbit 15" Budget Laptop</t>
        </is>
      </c>
      <c r="L53" s="22" t="n">
        <v>428.99</v>
      </c>
      <c r="M53" s="19" t="inlineStr">
        <is>
          <t>Calliope Strata Plus 2-in-1 Convertible</t>
        </is>
      </c>
      <c r="N53" s="22" t="n">
        <v>1259.99</v>
      </c>
      <c r="O53" s="19" t="inlineStr">
        <is>
          <t>Calliope Aeon Ultra 13" Ultrabook</t>
        </is>
      </c>
      <c r="P53" s="22" t="n">
        <v>1433.99</v>
      </c>
      <c r="Q53" s="19" t="inlineStr">
        <is>
          <t>Calliope Aeon Dual-Screen Laptop</t>
        </is>
      </c>
      <c r="R53" s="22" t="n">
        <v>1507.99</v>
      </c>
      <c r="S53" s="19" t="inlineStr">
        <is>
          <t>Calliope Aeon X 15" Ultrabook</t>
        </is>
      </c>
      <c r="T53" s="22" t="n">
        <v>2184.99</v>
      </c>
      <c r="U53" s="19" t="inlineStr">
        <is>
          <t>Calliope Drift X 15" Gaming Laptop</t>
        </is>
      </c>
      <c r="V53" s="22" t="n">
        <v>2314.99</v>
      </c>
      <c r="W53" s="19" t="inlineStr">
        <is>
          <t>Calliope Lumen 16" Creator Laptop</t>
        </is>
      </c>
      <c r="X53" s="22" t="n">
        <v>2523.99</v>
      </c>
      <c r="Y53" s="19" t="inlineStr">
        <is>
          <t>Calliope Aeon Max Rugged Laptop</t>
        </is>
      </c>
      <c r="Z53" s="22" t="n">
        <v>3218.99</v>
      </c>
      <c r="AA53" s="19" t="inlineStr">
        <is>
          <t>Calliope Aeon X 17" Gaming Laptop</t>
        </is>
      </c>
      <c r="AB53" s="22" t="n">
        <v>3521.99</v>
      </c>
      <c r="AC53" s="36">
        <f>MIN(J53,L53,N53,P53,R53,T53,V53,X53,Z53,AB53)</f>
        <v/>
      </c>
      <c r="AD53" s="36">
        <f>MAX(J53,L53,N53,P53,R53,T53,V53,X53,Z53,AB53)</f>
        <v/>
      </c>
      <c r="AE53" s="36">
        <f>AVERAGE(J53,L53,N53,P53,R53,T53,V53,X53,Z53,AB53)</f>
        <v/>
      </c>
      <c r="AF53" s="0" t="n">
        <v>60</v>
      </c>
    </row>
    <row r="54" ht="15.75" customHeight="1" s="51">
      <c r="A54" s="19" t="n">
        <v>41</v>
      </c>
      <c r="B54" s="25" t="inlineStr">
        <is>
          <t>Polyhymnia</t>
        </is>
      </c>
      <c r="C54" s="19" t="inlineStr">
        <is>
          <t>Laptops</t>
        </is>
      </c>
      <c r="D54" s="19" t="inlineStr">
        <is>
          <t>Polyhymnia Computing; POLYHYMNIA; Polyhhymnia; Polyhymni</t>
        </is>
      </c>
      <c r="E54" s="19" t="inlineStr">
        <is>
          <t>1 year limited</t>
        </is>
      </c>
      <c r="F54" s="19" t="inlineStr">
        <is>
          <t>ISO 9001, ISO 14001, ISO 45001</t>
        </is>
      </c>
      <c r="G54" s="19" t="inlineStr">
        <is>
          <t>school, budget, everyday, travel</t>
        </is>
      </c>
      <c r="H54" s="19" t="inlineStr">
        <is>
          <t>Laptop</t>
        </is>
      </c>
      <c r="I54" s="19" t="inlineStr">
        <is>
          <t>Polyhymnia Aeon 15" Budget Laptop</t>
        </is>
      </c>
      <c r="J54" s="22" t="n">
        <v>279.99</v>
      </c>
      <c r="K54" s="19" t="inlineStr">
        <is>
          <t>Polyhymnia Orbit X Chromebook</t>
        </is>
      </c>
      <c r="L54" s="22" t="n">
        <v>466.99</v>
      </c>
      <c r="M54" s="19" t="inlineStr">
        <is>
          <t>Polyhymnia Quanta Plus Student Laptop</t>
        </is>
      </c>
      <c r="N54" s="22" t="n">
        <v>713.99</v>
      </c>
      <c r="O54" s="19" t="inlineStr">
        <is>
          <t>Polyhymnia Volt Plus 13" Ultrabook</t>
        </is>
      </c>
      <c r="P54" s="22" t="n">
        <v>1123.99</v>
      </c>
      <c r="Q54" s="19" t="inlineStr">
        <is>
          <t>Polyhymnia Zen X 15" Ultrabook</t>
        </is>
      </c>
      <c r="R54" s="22" t="n">
        <v>1383.99</v>
      </c>
      <c r="S54" s="19" t="inlineStr">
        <is>
          <t>Polyhymnia Rift X 2-in-1 Convertible</t>
        </is>
      </c>
      <c r="T54" s="22" t="n">
        <v>1519.99</v>
      </c>
      <c r="U54" s="19" t="inlineStr">
        <is>
          <t>Polyhymnia Echo Pro 17" Gaming Laptop</t>
        </is>
      </c>
      <c r="V54" s="22" t="n">
        <v>2204.99</v>
      </c>
      <c r="W54" s="19" t="inlineStr">
        <is>
          <t>Polyhymnia Aeon Ultra Dual-Screen Laptop</t>
        </is>
      </c>
      <c r="X54" s="22" t="n">
        <v>2647.99</v>
      </c>
      <c r="Y54" s="19" t="inlineStr">
        <is>
          <t>Polyhymnia Orbit Lite Rugged Laptop</t>
        </is>
      </c>
      <c r="Z54" s="22" t="n">
        <v>3246.99</v>
      </c>
      <c r="AA54" s="19" t="inlineStr">
        <is>
          <t>Polyhymnia Nova Air Mobile Workstation</t>
        </is>
      </c>
      <c r="AB54" s="22" t="n">
        <v>4723.99</v>
      </c>
      <c r="AC54" s="36">
        <f>MIN(J54,L54,N54,P54,R54,T54,V54,X54,Z54,AB54)</f>
        <v/>
      </c>
      <c r="AD54" s="36">
        <f>MAX(J54,L54,N54,P54,R54,T54,V54,X54,Z54,AB54)</f>
        <v/>
      </c>
      <c r="AE54" s="36">
        <f>AVERAGE(J54,L54,N54,P54,R54,T54,V54,X54,Z54,AB54)</f>
        <v/>
      </c>
      <c r="AF54" s="0" t="n">
        <v>30</v>
      </c>
    </row>
    <row r="55" ht="15.75" customHeight="1" s="51">
      <c r="A55" s="19" t="n">
        <v>42</v>
      </c>
      <c r="B55" s="25" t="inlineStr">
        <is>
          <t>Priapus</t>
        </is>
      </c>
      <c r="C55" s="19" t="inlineStr">
        <is>
          <t>Laptops</t>
        </is>
      </c>
      <c r="D55" s="19" t="inlineStr">
        <is>
          <t>Priapus Computing; PRIAPUS; Priaapus; Priapos</t>
        </is>
      </c>
      <c r="E55" s="19" t="inlineStr">
        <is>
          <t>1 year limited</t>
        </is>
      </c>
      <c r="F55" s="19" t="inlineStr">
        <is>
          <t>ISO 9001, ISO 14001, RoHS Compliant</t>
        </is>
      </c>
      <c r="G55" s="19" t="inlineStr">
        <is>
          <t>school, budget, everyday, travel</t>
        </is>
      </c>
      <c r="H55" s="19" t="inlineStr">
        <is>
          <t>Laptop</t>
        </is>
      </c>
      <c r="I55" s="19" t="inlineStr">
        <is>
          <t>Priapus Drift Plus Student Laptop</t>
        </is>
      </c>
      <c r="J55" s="22" t="n">
        <v>490.99</v>
      </c>
      <c r="K55" s="19" t="inlineStr">
        <is>
          <t>Priapus Apex Lite 15" Budget Laptop</t>
        </is>
      </c>
      <c r="L55" s="22" t="n">
        <v>546.99</v>
      </c>
      <c r="M55" s="19" t="inlineStr">
        <is>
          <t>Priapus Volt Max Chromebook</t>
        </is>
      </c>
      <c r="N55" s="22" t="n">
        <v>667.99</v>
      </c>
      <c r="O55" s="19" t="inlineStr">
        <is>
          <t>Priapus Core X 2-in-1 Convertible</t>
        </is>
      </c>
      <c r="P55" s="22" t="n">
        <v>1179.99</v>
      </c>
      <c r="Q55" s="19" t="inlineStr">
        <is>
          <t>Priapus Apex Air 15" Gaming Laptop</t>
        </is>
      </c>
      <c r="R55" s="22" t="n">
        <v>1259.99</v>
      </c>
      <c r="S55" s="19" t="inlineStr">
        <is>
          <t>Priapus Vibe X 13" Ultrabook</t>
        </is>
      </c>
      <c r="T55" s="22" t="n">
        <v>1600.99</v>
      </c>
      <c r="U55" s="19" t="inlineStr">
        <is>
          <t>Priapus Drift SE Rugged Laptop</t>
        </is>
      </c>
      <c r="V55" s="22" t="n">
        <v>1680.99</v>
      </c>
      <c r="W55" s="19" t="inlineStr">
        <is>
          <t>Priapus Prism Air 16" Creator Laptop</t>
        </is>
      </c>
      <c r="X55" s="22" t="n">
        <v>1745.99</v>
      </c>
      <c r="Y55" s="19" t="inlineStr">
        <is>
          <t>Priapus Zen Mobile Workstation</t>
        </is>
      </c>
      <c r="Z55" s="22" t="n">
        <v>2413.99</v>
      </c>
      <c r="AA55" s="19" t="inlineStr">
        <is>
          <t>Priapus Volt 17" Gaming Laptop</t>
        </is>
      </c>
      <c r="AB55" s="22" t="n">
        <v>3580.99</v>
      </c>
      <c r="AC55" s="36">
        <f>MIN(J55,L55,N55,P55,R55,T55,V55,X55,Z55,AB55)</f>
        <v/>
      </c>
      <c r="AD55" s="36">
        <f>MAX(J55,L55,N55,P55,R55,T55,V55,X55,Z55,AB55)</f>
        <v/>
      </c>
      <c r="AE55" s="36">
        <f>AVERAGE(J55,L55,N55,P55,R55,T55,V55,X55,Z55,AB55)</f>
        <v/>
      </c>
      <c r="AF55" s="0" t="n">
        <v>15</v>
      </c>
    </row>
    <row r="56" ht="15.75" customHeight="1" s="51">
      <c r="A56" s="19" t="n">
        <v>43</v>
      </c>
      <c r="B56" s="25" t="inlineStr">
        <is>
          <t>Momus</t>
        </is>
      </c>
      <c r="C56" s="19" t="inlineStr">
        <is>
          <t>Laptops</t>
        </is>
      </c>
      <c r="D56" s="19" t="inlineStr">
        <is>
          <t>Momus Computing; MOMUS; Moomus; Momos</t>
        </is>
      </c>
      <c r="E56" s="19" t="inlineStr">
        <is>
          <t>1 year limited</t>
        </is>
      </c>
      <c r="F56" s="19" t="inlineStr">
        <is>
          <t>ISO 9001, ISO 45001, ISO/IEC 27001</t>
        </is>
      </c>
      <c r="G56" s="19" t="inlineStr">
        <is>
          <t>school, budget, everyday, work</t>
        </is>
      </c>
      <c r="H56" s="19" t="inlineStr">
        <is>
          <t>Laptop</t>
        </is>
      </c>
      <c r="I56" s="19" t="inlineStr">
        <is>
          <t>Momus Prism Chromebook</t>
        </is>
      </c>
      <c r="J56" s="22" t="n">
        <v>237.99</v>
      </c>
      <c r="K56" s="19" t="inlineStr">
        <is>
          <t>Momus Crest Max 15" Budget Laptop</t>
        </is>
      </c>
      <c r="L56" s="22" t="n">
        <v>475.99</v>
      </c>
      <c r="M56" s="19" t="inlineStr">
        <is>
          <t>Momus Blaze Pro Student Laptop</t>
        </is>
      </c>
      <c r="N56" s="22" t="n">
        <v>644.99</v>
      </c>
      <c r="O56" s="19" t="inlineStr">
        <is>
          <t>Momus Blaze Ultra 15" Ultrabook</t>
        </is>
      </c>
      <c r="P56" s="22" t="n">
        <v>1337.99</v>
      </c>
      <c r="Q56" s="19" t="inlineStr">
        <is>
          <t>Momus Wave Lite Dual-Screen Laptop</t>
        </is>
      </c>
      <c r="R56" s="22" t="n">
        <v>1513.99</v>
      </c>
      <c r="S56" s="19" t="inlineStr">
        <is>
          <t>Momus Onyx Air 2-in-1 Convertible</t>
        </is>
      </c>
      <c r="T56" s="22" t="n">
        <v>1637.99</v>
      </c>
      <c r="U56" s="19" t="inlineStr">
        <is>
          <t>Momus Vertex Plus Mobile Workstation</t>
        </is>
      </c>
      <c r="V56" s="22" t="n">
        <v>1976.99</v>
      </c>
      <c r="W56" s="19" t="inlineStr">
        <is>
          <t>Momus Crest SE 17" Gaming Laptop</t>
        </is>
      </c>
      <c r="X56" s="22" t="n">
        <v>2034.99</v>
      </c>
      <c r="Y56" s="19" t="inlineStr">
        <is>
          <t>Momus Echo Plus 15" Gaming Laptop</t>
        </is>
      </c>
      <c r="Z56" s="22" t="n">
        <v>2076.99</v>
      </c>
      <c r="AA56" s="19" t="inlineStr">
        <is>
          <t>Momus Onyx X 14" Business Laptop</t>
        </is>
      </c>
      <c r="AB56" s="22" t="n">
        <v>2166.99</v>
      </c>
      <c r="AC56" s="36">
        <f>MIN(J56,L56,N56,P56,R56,T56,V56,X56,Z56,AB56)</f>
        <v/>
      </c>
      <c r="AD56" s="36">
        <f>MAX(J56,L56,N56,P56,R56,T56,V56,X56,Z56,AB56)</f>
        <v/>
      </c>
      <c r="AE56" s="36">
        <f>AVERAGE(J56,L56,N56,P56,R56,T56,V56,X56,Z56,AB56)</f>
        <v/>
      </c>
      <c r="AF56" s="0" t="n">
        <v>30</v>
      </c>
    </row>
    <row r="57" ht="15.75" customHeight="1" s="51">
      <c r="A57" s="19" t="n">
        <v>44</v>
      </c>
      <c r="B57" s="25" t="inlineStr">
        <is>
          <t>Boreas</t>
        </is>
      </c>
      <c r="C57" s="19" t="inlineStr">
        <is>
          <t>Laptops</t>
        </is>
      </c>
      <c r="D57" s="19" t="inlineStr">
        <is>
          <t>Boreas Computing; BOREAS; Boraes; Borea</t>
        </is>
      </c>
      <c r="E57" s="19" t="inlineStr">
        <is>
          <t>1 year limited</t>
        </is>
      </c>
      <c r="F57" s="19" t="inlineStr">
        <is>
          <t>ISO 9001, ISO/IEC 27001, RoHS Compliant</t>
        </is>
      </c>
      <c r="G57" s="19" t="inlineStr">
        <is>
          <t>everyday, school, content creation, budget</t>
        </is>
      </c>
      <c r="H57" s="19" t="inlineStr">
        <is>
          <t>Laptop</t>
        </is>
      </c>
      <c r="I57" s="19" t="inlineStr">
        <is>
          <t>Boreas Onyx Max 15" Budget Laptop</t>
        </is>
      </c>
      <c r="J57" s="22" t="n">
        <v>484.99</v>
      </c>
      <c r="K57" s="19" t="inlineStr">
        <is>
          <t>Boreas Crest Lite Student Laptop</t>
        </is>
      </c>
      <c r="L57" s="22" t="n">
        <v>708.99</v>
      </c>
      <c r="M57" s="19" t="inlineStr">
        <is>
          <t>Boreas Orbit Air 14" Business Laptop</t>
        </is>
      </c>
      <c r="N57" s="22" t="n">
        <v>1530.99</v>
      </c>
      <c r="O57" s="19" t="inlineStr">
        <is>
          <t>Boreas Nova Lite 15" Ultrabook</t>
        </is>
      </c>
      <c r="P57" s="22" t="n">
        <v>1581.99</v>
      </c>
      <c r="Q57" s="19" t="inlineStr">
        <is>
          <t>Boreas Titan 15" Gaming Laptop</t>
        </is>
      </c>
      <c r="R57" s="22" t="n">
        <v>1758.99</v>
      </c>
      <c r="S57" s="19" t="inlineStr">
        <is>
          <t>Boreas Echo Ultra 16" Creator Laptop</t>
        </is>
      </c>
      <c r="T57" s="22" t="n">
        <v>2422.99</v>
      </c>
      <c r="U57" s="19" t="inlineStr">
        <is>
          <t>Boreas Lumen Ultra Dual-Screen Laptop</t>
        </is>
      </c>
      <c r="V57" s="22" t="n">
        <v>2587.99</v>
      </c>
      <c r="W57" s="19" t="inlineStr">
        <is>
          <t>Boreas Aeon Air Mobile Workstation</t>
        </is>
      </c>
      <c r="X57" s="22" t="n">
        <v>2915.99</v>
      </c>
      <c r="Y57" s="19" t="inlineStr">
        <is>
          <t>Boreas Wave Pro 17" Gaming Laptop</t>
        </is>
      </c>
      <c r="Z57" s="22" t="n">
        <v>3212.99</v>
      </c>
      <c r="AA57" s="19" t="inlineStr">
        <is>
          <t>Boreas Strata Rugged Laptop</t>
        </is>
      </c>
      <c r="AB57" s="22" t="n">
        <v>3411.99</v>
      </c>
      <c r="AC57" s="36">
        <f>MIN(J57,L57,N57,P57,R57,T57,V57,X57,Z57,AB57)</f>
        <v/>
      </c>
      <c r="AD57" s="36">
        <f>MAX(J57,L57,N57,P57,R57,T57,V57,X57,Z57,AB57)</f>
        <v/>
      </c>
      <c r="AE57" s="36">
        <f>AVERAGE(J57,L57,N57,P57,R57,T57,V57,X57,Z57,AB57)</f>
        <v/>
      </c>
      <c r="AF57" s="0" t="n">
        <v>30</v>
      </c>
    </row>
    <row r="58" ht="15.75" customHeight="1" s="51">
      <c r="A58" s="19" t="n">
        <v>45</v>
      </c>
      <c r="B58" s="25" t="inlineStr">
        <is>
          <t>Dolos</t>
        </is>
      </c>
      <c r="C58" s="19" t="inlineStr">
        <is>
          <t>Laptops</t>
        </is>
      </c>
      <c r="D58" s="19" t="inlineStr">
        <is>
          <t>Dolos Computing; DOLOS; Dloos; Dools</t>
        </is>
      </c>
      <c r="E58" s="19" t="inlineStr">
        <is>
          <t>1 year limited</t>
        </is>
      </c>
      <c r="F58" s="19" t="inlineStr">
        <is>
          <t>ISO 9001, ISO 45001, RoHS Compliant</t>
        </is>
      </c>
      <c r="G58" s="19" t="inlineStr">
        <is>
          <t>school, budget, everyday, work</t>
        </is>
      </c>
      <c r="H58" s="19" t="inlineStr">
        <is>
          <t>Laptop</t>
        </is>
      </c>
      <c r="I58" s="19" t="inlineStr">
        <is>
          <t>Dolos Pulse Max 15" Budget Laptop</t>
        </is>
      </c>
      <c r="J58" s="22" t="n">
        <v>288.99</v>
      </c>
      <c r="K58" s="19" t="inlineStr">
        <is>
          <t>Dolos Rift Ultra Chromebook</t>
        </is>
      </c>
      <c r="L58" s="22" t="n">
        <v>344.99</v>
      </c>
      <c r="M58" s="19" t="inlineStr">
        <is>
          <t>Dolos Aria Lite Student Laptop</t>
        </is>
      </c>
      <c r="N58" s="22" t="n">
        <v>408.99</v>
      </c>
      <c r="O58" s="19" t="inlineStr">
        <is>
          <t>Dolos Vibe 14" Business Laptop</t>
        </is>
      </c>
      <c r="P58" s="22" t="n">
        <v>1047.99</v>
      </c>
      <c r="Q58" s="19" t="inlineStr">
        <is>
          <t>Dolos Onyx Ultra 13" Ultrabook</t>
        </is>
      </c>
      <c r="R58" s="22" t="n">
        <v>1082.99</v>
      </c>
      <c r="S58" s="19" t="inlineStr">
        <is>
          <t>Dolos Pulse Plus 15" Ultrabook</t>
        </is>
      </c>
      <c r="T58" s="22" t="n">
        <v>1457.99</v>
      </c>
      <c r="U58" s="19" t="inlineStr">
        <is>
          <t>Dolos Aria Plus 17" Gaming Laptop</t>
        </is>
      </c>
      <c r="V58" s="22" t="n">
        <v>1903.99</v>
      </c>
      <c r="W58" s="19" t="inlineStr">
        <is>
          <t>Dolos Volt Pro 15" Gaming Laptop</t>
        </is>
      </c>
      <c r="X58" s="22" t="n">
        <v>2026.99</v>
      </c>
      <c r="Y58" s="19" t="inlineStr">
        <is>
          <t>Dolos Crest 16" Creator Laptop</t>
        </is>
      </c>
      <c r="Z58" s="22" t="n">
        <v>3235.99</v>
      </c>
      <c r="AA58" s="19" t="inlineStr">
        <is>
          <t>Dolos Nova Plus Mobile Workstation</t>
        </is>
      </c>
      <c r="AB58" s="22" t="n">
        <v>3379.99</v>
      </c>
      <c r="AC58" s="36">
        <f>MIN(J58,L58,N58,P58,R58,T58,V58,X58,Z58,AB58)</f>
        <v/>
      </c>
      <c r="AD58" s="36">
        <f>MAX(J58,L58,N58,P58,R58,T58,V58,X58,Z58,AB58)</f>
        <v/>
      </c>
      <c r="AE58" s="36">
        <f>AVERAGE(J58,L58,N58,P58,R58,T58,V58,X58,Z58,AB58)</f>
        <v/>
      </c>
      <c r="AF58" s="0" t="n">
        <v>45</v>
      </c>
    </row>
    <row r="59" ht="15.75" customHeight="1" s="51">
      <c r="A59" s="19" t="n">
        <v>46</v>
      </c>
      <c r="B59" s="25" t="inlineStr">
        <is>
          <t>Thallo</t>
        </is>
      </c>
      <c r="C59" s="19" t="inlineStr">
        <is>
          <t>Laptops</t>
        </is>
      </c>
      <c r="D59" s="19" t="inlineStr">
        <is>
          <t>Thallo Computing; THALLO; Thall; Thlalo</t>
        </is>
      </c>
      <c r="E59" s="19" t="inlineStr">
        <is>
          <t>1 year limited</t>
        </is>
      </c>
      <c r="F59" s="19" t="inlineStr">
        <is>
          <t>ISO 9001, ISO 45001, WEEE Registered</t>
        </is>
      </c>
      <c r="G59" s="19" t="inlineStr">
        <is>
          <t>school, everyday, budget, work</t>
        </is>
      </c>
      <c r="H59" s="19" t="inlineStr">
        <is>
          <t>Laptop</t>
        </is>
      </c>
      <c r="I59" s="19" t="inlineStr">
        <is>
          <t>Thallo Echo Pro Student Laptop</t>
        </is>
      </c>
      <c r="J59" s="22" t="n">
        <v>360.99</v>
      </c>
      <c r="K59" s="19" t="inlineStr">
        <is>
          <t>Thallo Drift X 15" Budget Laptop</t>
        </is>
      </c>
      <c r="L59" s="22" t="n">
        <v>462.99</v>
      </c>
      <c r="M59" s="19" t="inlineStr">
        <is>
          <t>Thallo Vertex Lite Chromebook</t>
        </is>
      </c>
      <c r="N59" s="22" t="n">
        <v>490.99</v>
      </c>
      <c r="O59" s="19" t="inlineStr">
        <is>
          <t>Thallo Vertex 15" Gaming Laptop</t>
        </is>
      </c>
      <c r="P59" s="22" t="n">
        <v>1594.99</v>
      </c>
      <c r="Q59" s="19" t="inlineStr">
        <is>
          <t>Thallo Volt Pro 14" Business Laptop</t>
        </is>
      </c>
      <c r="R59" s="22" t="n">
        <v>2007.99</v>
      </c>
      <c r="S59" s="19" t="inlineStr">
        <is>
          <t>Thallo Axis Lite Rugged Laptop</t>
        </is>
      </c>
      <c r="T59" s="22" t="n">
        <v>2288.99</v>
      </c>
      <c r="U59" s="19" t="inlineStr">
        <is>
          <t>Thallo Orbit X 15" Ultrabook</t>
        </is>
      </c>
      <c r="V59" s="22" t="n">
        <v>2292.99</v>
      </c>
      <c r="W59" s="19" t="inlineStr">
        <is>
          <t>Thallo Quanta Ultra Dual-Screen Laptop</t>
        </is>
      </c>
      <c r="X59" s="22" t="n">
        <v>2911.99</v>
      </c>
      <c r="Y59" s="19" t="inlineStr">
        <is>
          <t>Thallo Nova 16" Creator Laptop</t>
        </is>
      </c>
      <c r="Z59" s="22" t="n">
        <v>3270.99</v>
      </c>
      <c r="AA59" s="19" t="inlineStr">
        <is>
          <t>Thallo Titan Mobile Workstation</t>
        </is>
      </c>
      <c r="AB59" s="22" t="n">
        <v>4242.99</v>
      </c>
      <c r="AC59" s="36">
        <f>MIN(J59,L59,N59,P59,R59,T59,V59,X59,Z59,AB59)</f>
        <v/>
      </c>
      <c r="AD59" s="36">
        <f>MAX(J59,L59,N59,P59,R59,T59,V59,X59,Z59,AB59)</f>
        <v/>
      </c>
      <c r="AE59" s="36">
        <f>AVERAGE(J59,L59,N59,P59,R59,T59,V59,X59,Z59,AB59)</f>
        <v/>
      </c>
      <c r="AF59" s="0" t="n">
        <v>15</v>
      </c>
    </row>
    <row r="60" ht="15.75" customHeight="1" s="51">
      <c r="A60" s="19" t="n">
        <v>47</v>
      </c>
      <c r="B60" s="25" t="inlineStr">
        <is>
          <t>Rhea</t>
        </is>
      </c>
      <c r="C60" s="19" t="inlineStr">
        <is>
          <t>Laptops</t>
        </is>
      </c>
      <c r="D60" s="19" t="inlineStr">
        <is>
          <t>Rhea Computing; RHEA; Rheaa; Rea</t>
        </is>
      </c>
      <c r="E60" s="19" t="inlineStr">
        <is>
          <t>1 year limited</t>
        </is>
      </c>
      <c r="F60" s="19" t="inlineStr">
        <is>
          <t>ISO 9001, WEEE Registered, ISO 14001</t>
        </is>
      </c>
      <c r="G60" s="19" t="inlineStr">
        <is>
          <t>school, budget, everyday, travel</t>
        </is>
      </c>
      <c r="H60" s="19" t="inlineStr">
        <is>
          <t>Laptop</t>
        </is>
      </c>
      <c r="I60" s="19" t="inlineStr">
        <is>
          <t>Rhea Arc Chromebook</t>
        </is>
      </c>
      <c r="J60" s="22" t="n">
        <v>374.99</v>
      </c>
      <c r="K60" s="19" t="inlineStr">
        <is>
          <t>Rhea Sable Student Laptop</t>
        </is>
      </c>
      <c r="L60" s="22" t="n">
        <v>480.99</v>
      </c>
      <c r="M60" s="19" t="inlineStr">
        <is>
          <t>Rhea Blaze Plus 15" Budget Laptop</t>
        </is>
      </c>
      <c r="N60" s="22" t="n">
        <v>545.99</v>
      </c>
      <c r="O60" s="19" t="inlineStr">
        <is>
          <t>Rhea Echo Plus 2-in-1 Convertible</t>
        </is>
      </c>
      <c r="P60" s="22" t="n">
        <v>871.99</v>
      </c>
      <c r="Q60" s="19" t="inlineStr">
        <is>
          <t>Rhea Sable Lite 13" Ultrabook</t>
        </is>
      </c>
      <c r="R60" s="22" t="n">
        <v>1171.99</v>
      </c>
      <c r="S60" s="19" t="inlineStr">
        <is>
          <t>Rhea Drift SE Dual-Screen Laptop</t>
        </is>
      </c>
      <c r="T60" s="22" t="n">
        <v>1287.99</v>
      </c>
      <c r="U60" s="19" t="inlineStr">
        <is>
          <t>Rhea Core 15" Ultrabook</t>
        </is>
      </c>
      <c r="V60" s="22" t="n">
        <v>1762.99</v>
      </c>
      <c r="W60" s="19" t="inlineStr">
        <is>
          <t>Rhea Strata Ultra Rugged Laptop</t>
        </is>
      </c>
      <c r="X60" s="22" t="n">
        <v>2897.99</v>
      </c>
      <c r="Y60" s="19" t="inlineStr">
        <is>
          <t>Rhea Axis Ultra 16" Creator Laptop</t>
        </is>
      </c>
      <c r="Z60" s="22" t="n">
        <v>3301.99</v>
      </c>
      <c r="AA60" s="19" t="inlineStr">
        <is>
          <t>Rhea Zen Lite Mobile Workstation</t>
        </is>
      </c>
      <c r="AB60" s="22" t="n">
        <v>4034.99</v>
      </c>
      <c r="AC60" s="36">
        <f>MIN(J60,L60,N60,P60,R60,T60,V60,X60,Z60,AB60)</f>
        <v/>
      </c>
      <c r="AD60" s="36">
        <f>MAX(J60,L60,N60,P60,R60,T60,V60,X60,Z60,AB60)</f>
        <v/>
      </c>
      <c r="AE60" s="36">
        <f>AVERAGE(J60,L60,N60,P60,R60,T60,V60,X60,Z60,AB60)</f>
        <v/>
      </c>
      <c r="AF60" s="0" t="n">
        <v>45</v>
      </c>
    </row>
    <row r="61" ht="15.75" customHeight="1" s="51">
      <c r="A61" s="19" t="n">
        <v>48</v>
      </c>
      <c r="B61" s="25" t="inlineStr">
        <is>
          <t>Hygieia</t>
        </is>
      </c>
      <c r="C61" s="19" t="inlineStr">
        <is>
          <t>Laptops</t>
        </is>
      </c>
      <c r="D61" s="19" t="inlineStr">
        <is>
          <t>Hygieia Computing; HYGIEIA; Hyygieia; Hygiieia</t>
        </is>
      </c>
      <c r="E61" s="19" t="inlineStr">
        <is>
          <t>1 year limited</t>
        </is>
      </c>
      <c r="F61" s="19" t="inlineStr">
        <is>
          <t>ISO 9001, ISO 45001, RoHS Compliant</t>
        </is>
      </c>
      <c r="G61" s="19" t="inlineStr">
        <is>
          <t>school, work, travel, content creation</t>
        </is>
      </c>
      <c r="H61" s="19" t="inlineStr">
        <is>
          <t>Laptop</t>
        </is>
      </c>
      <c r="I61" s="19" t="inlineStr">
        <is>
          <t>Hygieia Spark Max 15" Budget Laptop</t>
        </is>
      </c>
      <c r="J61" s="22" t="n">
        <v>526.99</v>
      </c>
      <c r="K61" s="19" t="inlineStr">
        <is>
          <t>Hygieia Onyx Pro 14" Business Laptop</t>
        </is>
      </c>
      <c r="L61" s="22" t="n">
        <v>822.99</v>
      </c>
      <c r="M61" s="19" t="inlineStr">
        <is>
          <t>Hygieia Core 2-in-1 Convertible</t>
        </is>
      </c>
      <c r="N61" s="22" t="n">
        <v>1277.99</v>
      </c>
      <c r="O61" s="19" t="inlineStr">
        <is>
          <t>Hygieia Volt 13" Ultrabook</t>
        </is>
      </c>
      <c r="P61" s="22" t="n">
        <v>1383.99</v>
      </c>
      <c r="Q61" s="19" t="inlineStr">
        <is>
          <t>Hygieia Orbit SE 15" Ultrabook</t>
        </is>
      </c>
      <c r="R61" s="22" t="n">
        <v>1633.99</v>
      </c>
      <c r="S61" s="19" t="inlineStr">
        <is>
          <t>Hygieia Wave Ultra Dual-Screen Laptop</t>
        </is>
      </c>
      <c r="T61" s="22" t="n">
        <v>1892.99</v>
      </c>
      <c r="U61" s="19" t="inlineStr">
        <is>
          <t>Hygieia Core 15" Gaming Laptop</t>
        </is>
      </c>
      <c r="V61" s="22" t="n">
        <v>2061.99</v>
      </c>
      <c r="W61" s="19" t="inlineStr">
        <is>
          <t>Hygieia Vertex SE 17" Gaming Laptop</t>
        </is>
      </c>
      <c r="X61" s="22" t="n">
        <v>3005.99</v>
      </c>
      <c r="Y61" s="19" t="inlineStr">
        <is>
          <t>Hygieia Quanta SE 16" Creator Laptop</t>
        </is>
      </c>
      <c r="Z61" s="22" t="n">
        <v>3199.99</v>
      </c>
      <c r="AA61" s="19" t="inlineStr">
        <is>
          <t>Hygieia Spark Plus Mobile Workstation</t>
        </is>
      </c>
      <c r="AB61" s="22" t="n">
        <v>4632.99</v>
      </c>
      <c r="AC61" s="36">
        <f>MIN(J61,L61,N61,P61,R61,T61,V61,X61,Z61,AB61)</f>
        <v/>
      </c>
      <c r="AD61" s="36">
        <f>MAX(J61,L61,N61,P61,R61,T61,V61,X61,Z61,AB61)</f>
        <v/>
      </c>
      <c r="AE61" s="36">
        <f>AVERAGE(J61,L61,N61,P61,R61,T61,V61,X61,Z61,AB61)</f>
        <v/>
      </c>
      <c r="AF61" s="0" t="n">
        <v>30</v>
      </c>
    </row>
    <row r="62" ht="15.75" customHeight="1" s="51">
      <c r="A62" s="19" t="n">
        <v>49</v>
      </c>
      <c r="B62" s="25" t="inlineStr">
        <is>
          <t>Thanatos</t>
        </is>
      </c>
      <c r="C62" s="19" t="inlineStr">
        <is>
          <t>Laptops</t>
        </is>
      </c>
      <c r="D62" s="19" t="inlineStr">
        <is>
          <t>Thanatos Computing; THANATOS; Thaanatos; Thanattos</t>
        </is>
      </c>
      <c r="E62" s="19" t="inlineStr">
        <is>
          <t>1 year limited</t>
        </is>
      </c>
      <c r="F62" s="19" t="inlineStr">
        <is>
          <t>ISO 9001, RoHS Compliant, ISO 14001</t>
        </is>
      </c>
      <c r="G62" s="19" t="inlineStr">
        <is>
          <t>school, everyday, budget, work</t>
        </is>
      </c>
      <c r="H62" s="19" t="inlineStr">
        <is>
          <t>Laptop</t>
        </is>
      </c>
      <c r="I62" s="19" t="inlineStr">
        <is>
          <t>Thanatos Apex SE Student Laptop</t>
        </is>
      </c>
      <c r="J62" s="22" t="n">
        <v>336.99</v>
      </c>
      <c r="K62" s="19" t="inlineStr">
        <is>
          <t>Thanatos Prism Max 15" Budget Laptop</t>
        </is>
      </c>
      <c r="L62" s="22" t="n">
        <v>586.99</v>
      </c>
      <c r="M62" s="19" t="inlineStr">
        <is>
          <t>Thanatos Pulse Lite Chromebook</t>
        </is>
      </c>
      <c r="N62" s="22" t="n">
        <v>685.99</v>
      </c>
      <c r="O62" s="19" t="inlineStr">
        <is>
          <t>Thanatos Axis Ultra 15" Ultrabook</t>
        </is>
      </c>
      <c r="P62" s="22" t="n">
        <v>1339.99</v>
      </c>
      <c r="Q62" s="19" t="inlineStr">
        <is>
          <t>Thanatos Core 2-in-1 Convertible</t>
        </is>
      </c>
      <c r="R62" s="22" t="n">
        <v>1488.99</v>
      </c>
      <c r="S62" s="19" t="inlineStr">
        <is>
          <t>Thanatos Orbit Lite 13" Ultrabook</t>
        </is>
      </c>
      <c r="T62" s="22" t="n">
        <v>1542.99</v>
      </c>
      <c r="U62" s="19" t="inlineStr">
        <is>
          <t>Thanatos Aeon Dual-Screen Laptop</t>
        </is>
      </c>
      <c r="V62" s="22" t="n">
        <v>1917.99</v>
      </c>
      <c r="W62" s="19" t="inlineStr">
        <is>
          <t>Thanatos Strata Plus 15" Gaming Laptop</t>
        </is>
      </c>
      <c r="X62" s="22" t="n">
        <v>2486.99</v>
      </c>
      <c r="Y62" s="19" t="inlineStr">
        <is>
          <t>Thanatos Echo Lite 16" Creator Laptop</t>
        </is>
      </c>
      <c r="Z62" s="22" t="n">
        <v>3192.99</v>
      </c>
      <c r="AA62" s="19" t="inlineStr">
        <is>
          <t>Thanatos Crest SE Mobile Workstation</t>
        </is>
      </c>
      <c r="AB62" s="22" t="n">
        <v>3624.99</v>
      </c>
      <c r="AC62" s="36">
        <f>MIN(J62,L62,N62,P62,R62,T62,V62,X62,Z62,AB62)</f>
        <v/>
      </c>
      <c r="AD62" s="36">
        <f>MAX(J62,L62,N62,P62,R62,T62,V62,X62,Z62,AB62)</f>
        <v/>
      </c>
      <c r="AE62" s="36">
        <f>AVERAGE(J62,L62,N62,P62,R62,T62,V62,X62,Z62,AB62)</f>
        <v/>
      </c>
      <c r="AF62" s="0" t="n">
        <v>30</v>
      </c>
    </row>
    <row r="63" ht="15.75" customHeight="1" s="51">
      <c r="A63" s="19" t="n">
        <v>50</v>
      </c>
      <c r="B63" s="25" t="inlineStr">
        <is>
          <t>Chronos</t>
        </is>
      </c>
      <c r="C63" s="19" t="inlineStr">
        <is>
          <t>Laptops</t>
        </is>
      </c>
      <c r="D63" s="19" t="inlineStr">
        <is>
          <t>Chronos Computing; CHRONOS; Chrono; Chroonos</t>
        </is>
      </c>
      <c r="E63" s="19" t="inlineStr">
        <is>
          <t>1 year limited</t>
        </is>
      </c>
      <c r="F63" s="19" t="inlineStr">
        <is>
          <t>ISO 9001, RoHS Compliant, ISO 45001</t>
        </is>
      </c>
      <c r="G63" s="19" t="inlineStr">
        <is>
          <t>school, travel, work, content creation</t>
        </is>
      </c>
      <c r="H63" s="19" t="inlineStr">
        <is>
          <t>Laptop</t>
        </is>
      </c>
      <c r="I63" s="19" t="inlineStr">
        <is>
          <t>Chronos Nimbus Plus Chromebook</t>
        </is>
      </c>
      <c r="J63" s="22" t="n">
        <v>385.99</v>
      </c>
      <c r="K63" s="19" t="inlineStr">
        <is>
          <t>Chronos Core Max 13" Ultrabook</t>
        </is>
      </c>
      <c r="L63" s="22" t="n">
        <v>1039.99</v>
      </c>
      <c r="M63" s="19" t="inlineStr">
        <is>
          <t>Chronos Orbit SE 2-in-1 Convertible</t>
        </is>
      </c>
      <c r="N63" s="22" t="n">
        <v>1620.99</v>
      </c>
      <c r="O63" s="19" t="inlineStr">
        <is>
          <t>Chronos Blaze Lite Mobile Workstation</t>
        </is>
      </c>
      <c r="P63" s="22" t="n">
        <v>1904.99</v>
      </c>
      <c r="Q63" s="19" t="inlineStr">
        <is>
          <t>Chronos Volt Plus 15" Ultrabook</t>
        </is>
      </c>
      <c r="R63" s="22" t="n">
        <v>1919.99</v>
      </c>
      <c r="S63" s="19" t="inlineStr">
        <is>
          <t>Chronos Aeon Pro 14" Business Laptop</t>
        </is>
      </c>
      <c r="T63" s="22" t="n">
        <v>2189.99</v>
      </c>
      <c r="U63" s="19" t="inlineStr">
        <is>
          <t>Chronos Prism Ultra Dual-Screen Laptop</t>
        </is>
      </c>
      <c r="V63" s="22" t="n">
        <v>2451.99</v>
      </c>
      <c r="W63" s="19" t="inlineStr">
        <is>
          <t>Chronos Arc 16" Creator Laptop</t>
        </is>
      </c>
      <c r="X63" s="22" t="n">
        <v>2539.99</v>
      </c>
      <c r="Y63" s="19" t="inlineStr">
        <is>
          <t>Chronos Onyx 17" Gaming Laptop</t>
        </is>
      </c>
      <c r="Z63" s="22" t="n">
        <v>3316.99</v>
      </c>
      <c r="AA63" s="19" t="inlineStr">
        <is>
          <t>Chronos Vibe Air Rugged Laptop</t>
        </is>
      </c>
      <c r="AB63" s="22" t="n">
        <v>3648.99</v>
      </c>
      <c r="AC63" s="36">
        <f>MIN(J63,L63,N63,P63,R63,T63,V63,X63,Z63,AB63)</f>
        <v/>
      </c>
      <c r="AD63" s="36">
        <f>MAX(J63,L63,N63,P63,R63,T63,V63,X63,Z63,AB63)</f>
        <v/>
      </c>
      <c r="AE63" s="36">
        <f>AVERAGE(J63,L63,N63,P63,R63,T63,V63,X63,Z63,AB63)</f>
        <v/>
      </c>
      <c r="AF63" s="0" t="n">
        <v>30</v>
      </c>
    </row>
    <row r="64" ht="15.75" customHeight="1" s="51">
      <c r="A64" s="26" t="n">
        <v>51</v>
      </c>
      <c r="B64" s="32" t="inlineStr">
        <is>
          <t>Nemesis</t>
        </is>
      </c>
      <c r="C64" s="26" t="inlineStr">
        <is>
          <t>Smartphones &amp; Tablets</t>
        </is>
      </c>
      <c r="D64" s="26" t="inlineStr">
        <is>
          <t>Nemesis Mobile; NEMESIS; Neemsis; Nemesiss</t>
        </is>
      </c>
      <c r="E64" s="26" t="inlineStr">
        <is>
          <t>1 year limited</t>
        </is>
      </c>
      <c r="F64" s="26" t="inlineStr">
        <is>
          <t>ISO 9001, WEEE Registered, ISO 14001</t>
        </is>
      </c>
      <c r="G64" s="26" t="inlineStr">
        <is>
          <t>everyday, reading, note-taking, school</t>
        </is>
      </c>
      <c r="H64" s="26" t="inlineStr">
        <is>
          <t>Smartphone, Tablet</t>
        </is>
      </c>
      <c r="I64" s="26" t="inlineStr">
        <is>
          <t>Nemesis Arc Ultra 8" Mini Tablet</t>
        </is>
      </c>
      <c r="J64" s="28" t="n">
        <v>269.99</v>
      </c>
      <c r="K64" s="26" t="inlineStr">
        <is>
          <t>Nemesis Axis Budget Smartphone</t>
        </is>
      </c>
      <c r="L64" s="28" t="n">
        <v>305.99</v>
      </c>
      <c r="M64" s="26" t="inlineStr">
        <is>
          <t>Nemesis Axis Lite E-Ink Note Tablet</t>
        </is>
      </c>
      <c r="N64" s="28" t="n">
        <v>612.99</v>
      </c>
      <c r="O64" s="26" t="inlineStr">
        <is>
          <t>Nemesis Flux Pro Drawing Tablet with Stylus</t>
        </is>
      </c>
      <c r="P64" s="28" t="n">
        <v>627.99</v>
      </c>
      <c r="Q64" s="26" t="inlineStr">
        <is>
          <t>Nemesis Strata Lite Compact Smartphone</t>
        </is>
      </c>
      <c r="R64" s="28" t="n">
        <v>651.99</v>
      </c>
      <c r="S64" s="26" t="inlineStr">
        <is>
          <t>Nemesis Volt Air 11" Tablet</t>
        </is>
      </c>
      <c r="T64" s="28" t="n">
        <v>734.99</v>
      </c>
      <c r="U64" s="26" t="inlineStr">
        <is>
          <t>Nemesis Volt Air Flagship Smartphone</t>
        </is>
      </c>
      <c r="V64" s="28" t="n">
        <v>811.99</v>
      </c>
      <c r="W64" s="26" t="inlineStr">
        <is>
          <t>Nemesis Volt Ultra Flip Foldable Phone</t>
        </is>
      </c>
      <c r="X64" s="28" t="n">
        <v>1091.99</v>
      </c>
      <c r="Y64" s="26" t="inlineStr">
        <is>
          <t>Nemesis Titan Max Pro Max Smartphone</t>
        </is>
      </c>
      <c r="Z64" s="28" t="n">
        <v>1379.99</v>
      </c>
      <c r="AA64" s="26" t="inlineStr">
        <is>
          <t>Nemesis Titan Lite 13" Pro Tablet</t>
        </is>
      </c>
      <c r="AB64" s="28" t="n">
        <v>1820.99</v>
      </c>
      <c r="AC64" s="37">
        <f>MIN(J64,L64,N64,P64,R64,T64,V64,X64,Z64,AB64)</f>
        <v/>
      </c>
      <c r="AD64" s="37">
        <f>MAX(J64,L64,N64,P64,R64,T64,V64,X64,Z64,AB64)</f>
        <v/>
      </c>
      <c r="AE64" s="37">
        <f>AVERAGE(J64,L64,N64,P64,R64,T64,V64,X64,Z64,AB64)</f>
        <v/>
      </c>
      <c r="AF64" s="0" t="n">
        <v>15</v>
      </c>
    </row>
    <row r="65" ht="15.75" customHeight="1" s="51">
      <c r="A65" s="26" t="n">
        <v>52</v>
      </c>
      <c r="B65" s="32" t="inlineStr">
        <is>
          <t>Hecate</t>
        </is>
      </c>
      <c r="C65" s="26" t="inlineStr">
        <is>
          <t>Smartphones &amp; Tablets</t>
        </is>
      </c>
      <c r="D65" s="26" t="inlineStr">
        <is>
          <t>Hecate Mobile; HECATE; Hecaate; Hecatee</t>
        </is>
      </c>
      <c r="E65" s="26" t="inlineStr">
        <is>
          <t>1 year limited</t>
        </is>
      </c>
      <c r="F65" s="26" t="inlineStr">
        <is>
          <t>ISO 9001, ISO 45001, ISO 14001</t>
        </is>
      </c>
      <c r="G65" s="26" t="inlineStr">
        <is>
          <t>reading, travel, school, streaming</t>
        </is>
      </c>
      <c r="H65" s="26" t="inlineStr">
        <is>
          <t>Smartphone, Tablet</t>
        </is>
      </c>
      <c r="I65" s="26" t="inlineStr">
        <is>
          <t>Hecate Zen Pro Kids Tablet</t>
        </is>
      </c>
      <c r="J65" s="28" t="n">
        <v>98.98999999999999</v>
      </c>
      <c r="K65" s="26" t="inlineStr">
        <is>
          <t>Hecate Prism Lite Budget Smartphone</t>
        </is>
      </c>
      <c r="L65" s="28" t="n">
        <v>206.99</v>
      </c>
      <c r="M65" s="26" t="inlineStr">
        <is>
          <t>Hecate Vibe Plus 8" Mini Tablet</t>
        </is>
      </c>
      <c r="N65" s="28" t="n">
        <v>235.99</v>
      </c>
      <c r="O65" s="26" t="inlineStr">
        <is>
          <t>Hecate Apex Air E-Ink Note Tablet</t>
        </is>
      </c>
      <c r="P65" s="28" t="n">
        <v>486.99</v>
      </c>
      <c r="Q65" s="26" t="inlineStr">
        <is>
          <t>Hecate Lumen Lite Rugged Smartphone</t>
        </is>
      </c>
      <c r="R65" s="28" t="n">
        <v>625.99</v>
      </c>
      <c r="S65" s="26" t="inlineStr">
        <is>
          <t>Hecate Vibe SE 11" Tablet</t>
        </is>
      </c>
      <c r="T65" s="28" t="n">
        <v>721.99</v>
      </c>
      <c r="U65" s="26" t="inlineStr">
        <is>
          <t>Hecate Rift 5G Tablet</t>
        </is>
      </c>
      <c r="V65" s="28" t="n">
        <v>1012.99</v>
      </c>
      <c r="W65" s="26" t="inlineStr">
        <is>
          <t>Hecate Nova Ultra Pro Max Smartphone</t>
        </is>
      </c>
      <c r="X65" s="28" t="n">
        <v>1426.99</v>
      </c>
      <c r="Y65" s="26" t="inlineStr">
        <is>
          <t>Hecate Vibe Air Foldable Phone</t>
        </is>
      </c>
      <c r="Z65" s="28" t="n">
        <v>1650.99</v>
      </c>
      <c r="AA65" s="26" t="inlineStr">
        <is>
          <t>Hecate Flux Air 13" Pro Tablet</t>
        </is>
      </c>
      <c r="AB65" s="28" t="n">
        <v>1849.99</v>
      </c>
      <c r="AC65" s="37">
        <f>MIN(J65,L65,N65,P65,R65,T65,V65,X65,Z65,AB65)</f>
        <v/>
      </c>
      <c r="AD65" s="37">
        <f>MAX(J65,L65,N65,P65,R65,T65,V65,X65,Z65,AB65)</f>
        <v/>
      </c>
      <c r="AE65" s="37">
        <f>AVERAGE(J65,L65,N65,P65,R65,T65,V65,X65,Z65,AB65)</f>
        <v/>
      </c>
      <c r="AF65" s="0" t="n">
        <v>60</v>
      </c>
    </row>
    <row r="66" ht="15.75" customHeight="1" s="51">
      <c r="A66" s="26" t="n">
        <v>53</v>
      </c>
      <c r="B66" s="32" t="inlineStr">
        <is>
          <t>Phobos</t>
        </is>
      </c>
      <c r="C66" s="26" t="inlineStr">
        <is>
          <t>Smartphones &amp; Tablets</t>
        </is>
      </c>
      <c r="D66" s="26" t="inlineStr">
        <is>
          <t>Phobos Mobile; PHOBOS; Phboos; Phobbos</t>
        </is>
      </c>
      <c r="E66" s="26" t="inlineStr">
        <is>
          <t>1 year limited</t>
        </is>
      </c>
      <c r="F66" s="26" t="inlineStr">
        <is>
          <t>ISO 9001, WEEE Registered, RoHS Compliant</t>
        </is>
      </c>
      <c r="G66" s="26" t="inlineStr">
        <is>
          <t>everyday, travel, drawing, kids</t>
        </is>
      </c>
      <c r="H66" s="26" t="inlineStr">
        <is>
          <t>Smartphone, Tablet</t>
        </is>
      </c>
      <c r="I66" s="26" t="inlineStr">
        <is>
          <t>Phobos Echo X Kids Tablet</t>
        </is>
      </c>
      <c r="J66" s="28" t="n">
        <v>88.98999999999999</v>
      </c>
      <c r="K66" s="26" t="inlineStr">
        <is>
          <t>Phobos Aria 8" Mini Tablet</t>
        </is>
      </c>
      <c r="L66" s="28" t="n">
        <v>219.99</v>
      </c>
      <c r="M66" s="26" t="inlineStr">
        <is>
          <t>Phobos Aria X Budget Smartphone</t>
        </is>
      </c>
      <c r="N66" s="28" t="n">
        <v>300.99</v>
      </c>
      <c r="O66" s="26" t="inlineStr">
        <is>
          <t>Phobos Drift Pro 5G Tablet</t>
        </is>
      </c>
      <c r="P66" s="28" t="n">
        <v>769.99</v>
      </c>
      <c r="Q66" s="26" t="inlineStr">
        <is>
          <t>Phobos Lumen SE Compact Smartphone</t>
        </is>
      </c>
      <c r="R66" s="28" t="n">
        <v>890.99</v>
      </c>
      <c r="S66" s="26" t="inlineStr">
        <is>
          <t>Phobos Titan Flip Foldable Phone</t>
        </is>
      </c>
      <c r="T66" s="28" t="n">
        <v>1112.99</v>
      </c>
      <c r="U66" s="26" t="inlineStr">
        <is>
          <t>Phobos Quanta X Drawing Tablet with Stylus</t>
        </is>
      </c>
      <c r="V66" s="28" t="n">
        <v>1135.99</v>
      </c>
      <c r="W66" s="26" t="inlineStr">
        <is>
          <t>Phobos Apex X Pro Max Smartphone</t>
        </is>
      </c>
      <c r="X66" s="28" t="n">
        <v>1185.99</v>
      </c>
      <c r="Y66" s="26" t="inlineStr">
        <is>
          <t>Phobos Drift Lite 13" Pro Tablet</t>
        </is>
      </c>
      <c r="Z66" s="28" t="n">
        <v>1512.99</v>
      </c>
      <c r="AA66" s="26" t="inlineStr">
        <is>
          <t>Phobos Lumen Lite Foldable Phone</t>
        </is>
      </c>
      <c r="AB66" s="28" t="n">
        <v>1904.99</v>
      </c>
      <c r="AC66" s="37">
        <f>MIN(J66,L66,N66,P66,R66,T66,V66,X66,Z66,AB66)</f>
        <v/>
      </c>
      <c r="AD66" s="37">
        <f>MAX(J66,L66,N66,P66,R66,T66,V66,X66,Z66,AB66)</f>
        <v/>
      </c>
      <c r="AE66" s="37">
        <f>AVERAGE(J66,L66,N66,P66,R66,T66,V66,X66,Z66,AB66)</f>
        <v/>
      </c>
      <c r="AF66" s="0" t="n">
        <v>30</v>
      </c>
    </row>
    <row r="67" ht="15.75" customHeight="1" s="51">
      <c r="A67" s="26" t="n">
        <v>54</v>
      </c>
      <c r="B67" s="32" t="inlineStr">
        <is>
          <t>Arete</t>
        </is>
      </c>
      <c r="C67" s="26" t="inlineStr">
        <is>
          <t>Smartphones &amp; Tablets</t>
        </is>
      </c>
      <c r="D67" s="26" t="inlineStr">
        <is>
          <t>Arete Mobile; ARETE; Aret; Artee</t>
        </is>
      </c>
      <c r="E67" s="26" t="inlineStr">
        <is>
          <t>1 year limited</t>
        </is>
      </c>
      <c r="F67" s="26" t="inlineStr">
        <is>
          <t>ISO 9001, WEEE Registered, ISO/IEC 27001</t>
        </is>
      </c>
      <c r="G67" s="26" t="inlineStr">
        <is>
          <t>everyday, reading, travel, streaming</t>
        </is>
      </c>
      <c r="H67" s="26" t="inlineStr">
        <is>
          <t>Smartphone, Tablet</t>
        </is>
      </c>
      <c r="I67" s="26" t="inlineStr">
        <is>
          <t>Arete Echo Lite Kids Tablet</t>
        </is>
      </c>
      <c r="J67" s="28" t="n">
        <v>166.99</v>
      </c>
      <c r="K67" s="26" t="inlineStr">
        <is>
          <t>Arete Orbit Air Budget Smartphone</t>
        </is>
      </c>
      <c r="L67" s="28" t="n">
        <v>317.99</v>
      </c>
      <c r="M67" s="26" t="inlineStr">
        <is>
          <t>Arete Aeon 8" Mini Tablet</t>
        </is>
      </c>
      <c r="N67" s="28" t="n">
        <v>350.99</v>
      </c>
      <c r="O67" s="26" t="inlineStr">
        <is>
          <t>Arete Flux Max Rugged Smartphone</t>
        </is>
      </c>
      <c r="P67" s="28" t="n">
        <v>536.99</v>
      </c>
      <c r="Q67" s="26" t="inlineStr">
        <is>
          <t>Arete Halo Plus 11" Tablet</t>
        </is>
      </c>
      <c r="R67" s="28" t="n">
        <v>565.99</v>
      </c>
      <c r="S67" s="26" t="inlineStr">
        <is>
          <t>Arete Nimbus Lite 5G Tablet</t>
        </is>
      </c>
      <c r="T67" s="28" t="n">
        <v>851.99</v>
      </c>
      <c r="U67" s="26" t="inlineStr">
        <is>
          <t>Arete Vertex Ultra Flagship Smartphone</t>
        </is>
      </c>
      <c r="V67" s="28" t="n">
        <v>1023.99</v>
      </c>
      <c r="W67" s="26" t="inlineStr">
        <is>
          <t>Arete Zen Pro Pro Max Smartphone</t>
        </is>
      </c>
      <c r="X67" s="28" t="n">
        <v>1152.99</v>
      </c>
      <c r="Y67" s="26" t="inlineStr">
        <is>
          <t>Arete Vibe Plus 13" Pro Tablet</t>
        </is>
      </c>
      <c r="Z67" s="28" t="n">
        <v>1619.99</v>
      </c>
      <c r="AA67" s="26" t="inlineStr">
        <is>
          <t>Arete Axis Plus Foldable Phone</t>
        </is>
      </c>
      <c r="AB67" s="28" t="n">
        <v>2180.99</v>
      </c>
      <c r="AC67" s="37">
        <f>MIN(J67,L67,N67,P67,R67,T67,V67,X67,Z67,AB67)</f>
        <v/>
      </c>
      <c r="AD67" s="37">
        <f>MAX(J67,L67,N67,P67,R67,T67,V67,X67,Z67,AB67)</f>
        <v/>
      </c>
      <c r="AE67" s="37">
        <f>AVERAGE(J67,L67,N67,P67,R67,T67,V67,X67,Z67,AB67)</f>
        <v/>
      </c>
      <c r="AF67" s="0" t="n">
        <v>60</v>
      </c>
    </row>
    <row r="68" ht="15.75" customHeight="1" s="51">
      <c r="A68" s="26" t="n">
        <v>55</v>
      </c>
      <c r="B68" s="32" t="inlineStr">
        <is>
          <t>Tyche</t>
        </is>
      </c>
      <c r="C68" s="26" t="inlineStr">
        <is>
          <t>Smartphones &amp; Tablets</t>
        </is>
      </c>
      <c r="D68" s="26" t="inlineStr">
        <is>
          <t>Tyche Mobile; TYCHE; Tychee; Tyhce</t>
        </is>
      </c>
      <c r="E68" s="26" t="inlineStr">
        <is>
          <t>1 year limited</t>
        </is>
      </c>
      <c r="F68" s="26" t="inlineStr">
        <is>
          <t>ISO 9001, ISO 14001, RoHS Compliant</t>
        </is>
      </c>
      <c r="G68" s="26" t="inlineStr">
        <is>
          <t>everyday, reading, school, streaming</t>
        </is>
      </c>
      <c r="H68" s="26" t="inlineStr">
        <is>
          <t>Smartphone, Tablet</t>
        </is>
      </c>
      <c r="I68" s="26" t="inlineStr">
        <is>
          <t>Tyche Echo Max E-Ink Note Tablet</t>
        </is>
      </c>
      <c r="J68" s="28" t="n">
        <v>272.99</v>
      </c>
      <c r="K68" s="26" t="inlineStr">
        <is>
          <t>Tyche Rift X Budget Smartphone</t>
        </is>
      </c>
      <c r="L68" s="28" t="n">
        <v>295.99</v>
      </c>
      <c r="M68" s="26" t="inlineStr">
        <is>
          <t>Tyche Nova SE Rugged Smartphone</t>
        </is>
      </c>
      <c r="N68" s="28" t="n">
        <v>309.99</v>
      </c>
      <c r="O68" s="26" t="inlineStr">
        <is>
          <t>Tyche Strata Lite 11" Tablet</t>
        </is>
      </c>
      <c r="P68" s="28" t="n">
        <v>455.99</v>
      </c>
      <c r="Q68" s="26" t="inlineStr">
        <is>
          <t>Tyche Zen Pro Compact Smartphone</t>
        </is>
      </c>
      <c r="R68" s="28" t="n">
        <v>867.99</v>
      </c>
      <c r="S68" s="26" t="inlineStr">
        <is>
          <t>Tyche Aeon Pro 5G Tablet</t>
        </is>
      </c>
      <c r="T68" s="28" t="n">
        <v>1015.99</v>
      </c>
      <c r="U68" s="26" t="inlineStr">
        <is>
          <t>Tyche Aeon Ultra Flagship Smartphone</t>
        </is>
      </c>
      <c r="V68" s="28" t="n">
        <v>1061.99</v>
      </c>
      <c r="W68" s="26" t="inlineStr">
        <is>
          <t>Tyche Lumen Plus 13" Pro Tablet</t>
        </is>
      </c>
      <c r="X68" s="28" t="n">
        <v>1218.99</v>
      </c>
      <c r="Y68" s="26" t="inlineStr">
        <is>
          <t>Tyche Wave Ultra Pro Max Smartphone</t>
        </is>
      </c>
      <c r="Z68" s="28" t="n">
        <v>1488.99</v>
      </c>
      <c r="AA68" s="26" t="inlineStr">
        <is>
          <t>Tyche Prism Ultra Foldable Phone</t>
        </is>
      </c>
      <c r="AB68" s="28" t="n">
        <v>2198.99</v>
      </c>
      <c r="AC68" s="37">
        <f>MIN(J68,L68,N68,P68,R68,T68,V68,X68,Z68,AB68)</f>
        <v/>
      </c>
      <c r="AD68" s="37">
        <f>MAX(J68,L68,N68,P68,R68,T68,V68,X68,Z68,AB68)</f>
        <v/>
      </c>
      <c r="AE68" s="37">
        <f>AVERAGE(J68,L68,N68,P68,R68,T68,V68,X68,Z68,AB68)</f>
        <v/>
      </c>
      <c r="AF68" s="0" t="n">
        <v>30</v>
      </c>
    </row>
    <row r="69" ht="15.75" customHeight="1" s="51">
      <c r="A69" s="26" t="n">
        <v>56</v>
      </c>
      <c r="B69" s="32" t="inlineStr">
        <is>
          <t>Eunomia</t>
        </is>
      </c>
      <c r="C69" s="26" t="inlineStr">
        <is>
          <t>Smartphones &amp; Tablets</t>
        </is>
      </c>
      <c r="D69" s="26" t="inlineStr">
        <is>
          <t>Eunomia Mobile; EUNOMIA; Euunomia; Eunnomia</t>
        </is>
      </c>
      <c r="E69" s="26" t="inlineStr">
        <is>
          <t>1 year limited</t>
        </is>
      </c>
      <c r="F69" s="26" t="inlineStr">
        <is>
          <t>ISO 9001, ISO 14001, ISO 45001</t>
        </is>
      </c>
      <c r="G69" s="26" t="inlineStr">
        <is>
          <t>reading, everyday, school, streaming</t>
        </is>
      </c>
      <c r="H69" s="26" t="inlineStr">
        <is>
          <t>Smartphone, Tablet</t>
        </is>
      </c>
      <c r="I69" s="26" t="inlineStr">
        <is>
          <t>Eunomia Echo SE Kids Tablet</t>
        </is>
      </c>
      <c r="J69" s="28" t="n">
        <v>124.99</v>
      </c>
      <c r="K69" s="26" t="inlineStr">
        <is>
          <t>Eunomia Flux SE Budget Smartphone</t>
        </is>
      </c>
      <c r="L69" s="28" t="n">
        <v>193.99</v>
      </c>
      <c r="M69" s="26" t="inlineStr">
        <is>
          <t>Eunomia Quanta Max 11" Tablet</t>
        </is>
      </c>
      <c r="N69" s="28" t="n">
        <v>396.99</v>
      </c>
      <c r="O69" s="26" t="inlineStr">
        <is>
          <t>Eunomia Aria X Rugged Smartphone</t>
        </is>
      </c>
      <c r="P69" s="28" t="n">
        <v>441.99</v>
      </c>
      <c r="Q69" s="26" t="inlineStr">
        <is>
          <t>Eunomia Lumen Air Drawing Tablet with Stylus</t>
        </is>
      </c>
      <c r="R69" s="28" t="n">
        <v>450.99</v>
      </c>
      <c r="S69" s="26" t="inlineStr">
        <is>
          <t>Eunomia Volt SE 8" Mini Tablet</t>
        </is>
      </c>
      <c r="T69" s="28" t="n">
        <v>570.99</v>
      </c>
      <c r="U69" s="26" t="inlineStr">
        <is>
          <t>Eunomia Crest E-Ink Note Tablet</t>
        </is>
      </c>
      <c r="V69" s="28" t="n">
        <v>596.99</v>
      </c>
      <c r="W69" s="26" t="inlineStr">
        <is>
          <t>Eunomia Volt Air 5G Tablet</t>
        </is>
      </c>
      <c r="X69" s="28" t="n">
        <v>697.99</v>
      </c>
      <c r="Y69" s="26" t="inlineStr">
        <is>
          <t>Eunomia Aeon Air Flagship Smartphone</t>
        </is>
      </c>
      <c r="Z69" s="28" t="n">
        <v>1056.99</v>
      </c>
      <c r="AA69" s="26" t="inlineStr">
        <is>
          <t>Eunomia Nova SE Foldable Phone</t>
        </is>
      </c>
      <c r="AB69" s="28" t="n">
        <v>1593.99</v>
      </c>
      <c r="AC69" s="37">
        <f>MIN(J69,L69,N69,P69,R69,T69,V69,X69,Z69,AB69)</f>
        <v/>
      </c>
      <c r="AD69" s="37">
        <f>MAX(J69,L69,N69,P69,R69,T69,V69,X69,Z69,AB69)</f>
        <v/>
      </c>
      <c r="AE69" s="37">
        <f>AVERAGE(J69,L69,N69,P69,R69,T69,V69,X69,Z69,AB69)</f>
        <v/>
      </c>
      <c r="AF69" s="0" t="n">
        <v>30</v>
      </c>
    </row>
    <row r="70" ht="15.75" customHeight="1" s="51">
      <c r="A70" s="26" t="n">
        <v>57</v>
      </c>
      <c r="B70" s="32" t="inlineStr">
        <is>
          <t>Pallas</t>
        </is>
      </c>
      <c r="C70" s="26" t="inlineStr">
        <is>
          <t>Smartphones &amp; Tablets</t>
        </is>
      </c>
      <c r="D70" s="26" t="inlineStr">
        <is>
          <t>Pallas Mobile; PALLAS; Palla; Palllas</t>
        </is>
      </c>
      <c r="E70" s="26" t="inlineStr">
        <is>
          <t>1 year limited</t>
        </is>
      </c>
      <c r="F70" s="26" t="inlineStr">
        <is>
          <t>ISO 9001, ISO/IEC 27001, RoHS Compliant</t>
        </is>
      </c>
      <c r="G70" s="26" t="inlineStr">
        <is>
          <t>everyday, reading, note-taking, school</t>
        </is>
      </c>
      <c r="H70" s="26" t="inlineStr">
        <is>
          <t>Smartphone, Tablet</t>
        </is>
      </c>
      <c r="I70" s="26" t="inlineStr">
        <is>
          <t>Pallas Vibe Plus E-Ink Note Tablet</t>
        </is>
      </c>
      <c r="J70" s="28" t="n">
        <v>267.99</v>
      </c>
      <c r="K70" s="26" t="inlineStr">
        <is>
          <t>Pallas Lumen Plus Budget Smartphone</t>
        </is>
      </c>
      <c r="L70" s="28" t="n">
        <v>281.99</v>
      </c>
      <c r="M70" s="26" t="inlineStr">
        <is>
          <t>Pallas Spark 11" Tablet</t>
        </is>
      </c>
      <c r="N70" s="28" t="n">
        <v>481.99</v>
      </c>
      <c r="O70" s="26" t="inlineStr">
        <is>
          <t>Pallas Zen X Drawing Tablet with Stylus</t>
        </is>
      </c>
      <c r="P70" s="28" t="n">
        <v>541.99</v>
      </c>
      <c r="Q70" s="26" t="inlineStr">
        <is>
          <t>Pallas Spark X Rugged Smartphone</t>
        </is>
      </c>
      <c r="R70" s="28" t="n">
        <v>570.99</v>
      </c>
      <c r="S70" s="26" t="inlineStr">
        <is>
          <t>Pallas Wave SE Compact Smartphone</t>
        </is>
      </c>
      <c r="T70" s="28" t="n">
        <v>661.99</v>
      </c>
      <c r="U70" s="26" t="inlineStr">
        <is>
          <t>Pallas Orbit Ultra 5G Tablet</t>
        </is>
      </c>
      <c r="V70" s="28" t="n">
        <v>983.99</v>
      </c>
      <c r="W70" s="26" t="inlineStr">
        <is>
          <t>Pallas Echo Flip Foldable Phone</t>
        </is>
      </c>
      <c r="X70" s="28" t="n">
        <v>1054.99</v>
      </c>
      <c r="Y70" s="26" t="inlineStr">
        <is>
          <t>Pallas Crest Air 13" Pro Tablet</t>
        </is>
      </c>
      <c r="Z70" s="28" t="n">
        <v>1150.99</v>
      </c>
      <c r="AA70" s="26" t="inlineStr">
        <is>
          <t>Pallas Aria Air Foldable Phone</t>
        </is>
      </c>
      <c r="AB70" s="28" t="n">
        <v>1817.99</v>
      </c>
      <c r="AC70" s="37">
        <f>MIN(J70,L70,N70,P70,R70,T70,V70,X70,Z70,AB70)</f>
        <v/>
      </c>
      <c r="AD70" s="37">
        <f>MAX(J70,L70,N70,P70,R70,T70,V70,X70,Z70,AB70)</f>
        <v/>
      </c>
      <c r="AE70" s="37">
        <f>AVERAGE(J70,L70,N70,P70,R70,T70,V70,X70,Z70,AB70)</f>
        <v/>
      </c>
      <c r="AF70" s="0" t="n">
        <v>14</v>
      </c>
    </row>
    <row r="71" ht="15.75" customHeight="1" s="51">
      <c r="A71" s="26" t="n">
        <v>58</v>
      </c>
      <c r="B71" s="32" t="inlineStr">
        <is>
          <t>Styx</t>
        </is>
      </c>
      <c r="C71" s="26" t="inlineStr">
        <is>
          <t>Smartphones &amp; Tablets</t>
        </is>
      </c>
      <c r="D71" s="26" t="inlineStr">
        <is>
          <t>Styx Mobile; STYX; Styyx; Sttyx</t>
        </is>
      </c>
      <c r="E71" s="26" t="inlineStr">
        <is>
          <t>1 year limited</t>
        </is>
      </c>
      <c r="F71" s="26" t="inlineStr">
        <is>
          <t>ISO 9001, ISO 14001, ISO 45001</t>
        </is>
      </c>
      <c r="G71" s="26" t="inlineStr">
        <is>
          <t>everyday, photography, business, kids</t>
        </is>
      </c>
      <c r="H71" s="26" t="inlineStr">
        <is>
          <t>Smartphone, Tablet</t>
        </is>
      </c>
      <c r="I71" s="26" t="inlineStr">
        <is>
          <t>Styx Spark Lite Kids Tablet</t>
        </is>
      </c>
      <c r="J71" s="28" t="n">
        <v>152.99</v>
      </c>
      <c r="K71" s="26" t="inlineStr">
        <is>
          <t>Styx Vertex Lite Budget Smartphone</t>
        </is>
      </c>
      <c r="L71" s="28" t="n">
        <v>288.99</v>
      </c>
      <c r="M71" s="26" t="inlineStr">
        <is>
          <t>Styx Aria SE Rugged Smartphone</t>
        </is>
      </c>
      <c r="N71" s="28" t="n">
        <v>694.99</v>
      </c>
      <c r="O71" s="26" t="inlineStr">
        <is>
          <t>Styx Axis Pro Compact Smartphone</t>
        </is>
      </c>
      <c r="P71" s="28" t="n">
        <v>709.99</v>
      </c>
      <c r="Q71" s="26" t="inlineStr">
        <is>
          <t>Styx Lumen Flagship Smartphone</t>
        </is>
      </c>
      <c r="R71" s="28" t="n">
        <v>814.99</v>
      </c>
      <c r="S71" s="26" t="inlineStr">
        <is>
          <t>Styx Arc 5G Tablet</t>
        </is>
      </c>
      <c r="T71" s="28" t="n">
        <v>1089.99</v>
      </c>
      <c r="U71" s="26" t="inlineStr">
        <is>
          <t>Styx Sable X Flip Foldable Phone</t>
        </is>
      </c>
      <c r="V71" s="28" t="n">
        <v>1133.99</v>
      </c>
      <c r="W71" s="26" t="inlineStr">
        <is>
          <t>Styx Pulse Ultra 13" Pro Tablet</t>
        </is>
      </c>
      <c r="X71" s="28" t="n">
        <v>1193.99</v>
      </c>
      <c r="Y71" s="26" t="inlineStr">
        <is>
          <t>Styx Drift X Pro Max Smartphone</t>
        </is>
      </c>
      <c r="Z71" s="28" t="n">
        <v>1366.99</v>
      </c>
      <c r="AA71" s="26" t="inlineStr">
        <is>
          <t>Styx Aria Pro Foldable Phone</t>
        </is>
      </c>
      <c r="AB71" s="28" t="n">
        <v>1449.99</v>
      </c>
      <c r="AC71" s="37">
        <f>MIN(J71,L71,N71,P71,R71,T71,V71,X71,Z71,AB71)</f>
        <v/>
      </c>
      <c r="AD71" s="37">
        <f>MAX(J71,L71,N71,P71,R71,T71,V71,X71,Z71,AB71)</f>
        <v/>
      </c>
      <c r="AE71" s="37">
        <f>AVERAGE(J71,L71,N71,P71,R71,T71,V71,X71,Z71,AB71)</f>
        <v/>
      </c>
      <c r="AF71" s="0" t="n">
        <v>30</v>
      </c>
    </row>
    <row r="72" ht="15.75" customHeight="1" s="51">
      <c r="A72" s="26" t="n">
        <v>59</v>
      </c>
      <c r="B72" s="32" t="inlineStr">
        <is>
          <t>Hypnos</t>
        </is>
      </c>
      <c r="C72" s="26" t="inlineStr">
        <is>
          <t>Smartphones &amp; Tablets</t>
        </is>
      </c>
      <c r="D72" s="26" t="inlineStr">
        <is>
          <t>Hypnos Mobile; HYPNOS; Hyypnos; Hypons</t>
        </is>
      </c>
      <c r="E72" s="26" t="inlineStr">
        <is>
          <t>1 year limited</t>
        </is>
      </c>
      <c r="F72" s="26" t="inlineStr">
        <is>
          <t>ISO 9001, RoHS Compliant, ISO 14001</t>
        </is>
      </c>
      <c r="G72" s="26" t="inlineStr">
        <is>
          <t>everyday, reading, school, business</t>
        </is>
      </c>
      <c r="H72" s="26" t="inlineStr">
        <is>
          <t>Smartphone, Tablet</t>
        </is>
      </c>
      <c r="I72" s="26" t="inlineStr">
        <is>
          <t>Hypnos Spark Plus Kids Tablet</t>
        </is>
      </c>
      <c r="J72" s="28" t="n">
        <v>118.99</v>
      </c>
      <c r="K72" s="26" t="inlineStr">
        <is>
          <t>Hypnos Arc Max Budget Smartphone</t>
        </is>
      </c>
      <c r="L72" s="28" t="n">
        <v>280.99</v>
      </c>
      <c r="M72" s="26" t="inlineStr">
        <is>
          <t>Hypnos Titan Plus 8" Mini Tablet</t>
        </is>
      </c>
      <c r="N72" s="28" t="n">
        <v>373.99</v>
      </c>
      <c r="O72" s="26" t="inlineStr">
        <is>
          <t>Hypnos Nimbus Plus Rugged Smartphone</t>
        </is>
      </c>
      <c r="P72" s="28" t="n">
        <v>567.99</v>
      </c>
      <c r="Q72" s="26" t="inlineStr">
        <is>
          <t>Hypnos Axis Ultra E-Ink Note Tablet</t>
        </is>
      </c>
      <c r="R72" s="28" t="n">
        <v>601.99</v>
      </c>
      <c r="S72" s="26" t="inlineStr">
        <is>
          <t>Hypnos Core Air Compact Smartphone</t>
        </is>
      </c>
      <c r="T72" s="28" t="n">
        <v>624.99</v>
      </c>
      <c r="U72" s="26" t="inlineStr">
        <is>
          <t>Hypnos Onyx Max 11" Tablet</t>
        </is>
      </c>
      <c r="V72" s="28" t="n">
        <v>674.99</v>
      </c>
      <c r="W72" s="26" t="inlineStr">
        <is>
          <t>Hypnos Spark Pro Flagship Smartphone</t>
        </is>
      </c>
      <c r="X72" s="28" t="n">
        <v>1110.99</v>
      </c>
      <c r="Y72" s="26" t="inlineStr">
        <is>
          <t>Hypnos Aeon Air 13" Pro Tablet</t>
        </is>
      </c>
      <c r="Z72" s="28" t="n">
        <v>1175.99</v>
      </c>
      <c r="AA72" s="26" t="inlineStr">
        <is>
          <t>Hypnos Prism Pro Foldable Phone</t>
        </is>
      </c>
      <c r="AB72" s="28" t="n">
        <v>2087.99</v>
      </c>
      <c r="AC72" s="37">
        <f>MIN(J72,L72,N72,P72,R72,T72,V72,X72,Z72,AB72)</f>
        <v/>
      </c>
      <c r="AD72" s="37">
        <f>MAX(J72,L72,N72,P72,R72,T72,V72,X72,Z72,AB72)</f>
        <v/>
      </c>
      <c r="AE72" s="37">
        <f>AVERAGE(J72,L72,N72,P72,R72,T72,V72,X72,Z72,AB72)</f>
        <v/>
      </c>
      <c r="AF72" s="0" t="n">
        <v>30</v>
      </c>
    </row>
    <row r="73" ht="15.75" customHeight="1" s="51">
      <c r="A73" s="26" t="n">
        <v>60</v>
      </c>
      <c r="B73" s="32" t="inlineStr">
        <is>
          <t>Oceanus</t>
        </is>
      </c>
      <c r="C73" s="26" t="inlineStr">
        <is>
          <t>Smartphones &amp; Tablets</t>
        </is>
      </c>
      <c r="D73" s="26" t="inlineStr">
        <is>
          <t>Oceanus Mobile; OCEANUS; Oceanos; Oceeanus</t>
        </is>
      </c>
      <c r="E73" s="26" t="inlineStr">
        <is>
          <t>1 year limited</t>
        </is>
      </c>
      <c r="F73" s="26" t="inlineStr">
        <is>
          <t>ISO 9001, ISO 14001, RoHS Compliant</t>
        </is>
      </c>
      <c r="G73" s="26" t="inlineStr">
        <is>
          <t>everyday, note-taking, drawing, kids</t>
        </is>
      </c>
      <c r="H73" s="26" t="inlineStr">
        <is>
          <t>Smartphone, Tablet</t>
        </is>
      </c>
      <c r="I73" s="26" t="inlineStr">
        <is>
          <t>Oceanus Aria Air Kids Tablet</t>
        </is>
      </c>
      <c r="J73" s="28" t="n">
        <v>103.99</v>
      </c>
      <c r="K73" s="26" t="inlineStr">
        <is>
          <t>Oceanus Crest X Budget Smartphone</t>
        </is>
      </c>
      <c r="L73" s="28" t="n">
        <v>183.99</v>
      </c>
      <c r="M73" s="26" t="inlineStr">
        <is>
          <t>Oceanus Nova Plus E-Ink Note Tablet</t>
        </is>
      </c>
      <c r="N73" s="28" t="n">
        <v>613.99</v>
      </c>
      <c r="O73" s="26" t="inlineStr">
        <is>
          <t>Oceanus Arc Compact Smartphone</t>
        </is>
      </c>
      <c r="P73" s="28" t="n">
        <v>620.99</v>
      </c>
      <c r="Q73" s="26" t="inlineStr">
        <is>
          <t>Oceanus Core Lite Rugged Smartphone</t>
        </is>
      </c>
      <c r="R73" s="28" t="n">
        <v>654.99</v>
      </c>
      <c r="S73" s="26" t="inlineStr">
        <is>
          <t>Oceanus Drift Max Drawing Tablet with Stylus</t>
        </is>
      </c>
      <c r="T73" s="28" t="n">
        <v>850.99</v>
      </c>
      <c r="U73" s="26" t="inlineStr">
        <is>
          <t>Oceanus Quanta Air 5G Tablet</t>
        </is>
      </c>
      <c r="V73" s="28" t="n">
        <v>1183.99</v>
      </c>
      <c r="W73" s="26" t="inlineStr">
        <is>
          <t>Oceanus Rift Air Pro Max Smartphone</t>
        </is>
      </c>
      <c r="X73" s="28" t="n">
        <v>1236.99</v>
      </c>
      <c r="Y73" s="26" t="inlineStr">
        <is>
          <t>Oceanus Echo Max 13" Pro Tablet</t>
        </is>
      </c>
      <c r="Z73" s="28" t="n">
        <v>1295.99</v>
      </c>
      <c r="AA73" s="26" t="inlineStr">
        <is>
          <t>Oceanus Spark Pro Foldable Phone</t>
        </is>
      </c>
      <c r="AB73" s="28" t="n">
        <v>2063.99</v>
      </c>
      <c r="AC73" s="37">
        <f>MIN(J73,L73,N73,P73,R73,T73,V73,X73,Z73,AB73)</f>
        <v/>
      </c>
      <c r="AD73" s="37">
        <f>MAX(J73,L73,N73,P73,R73,T73,V73,X73,Z73,AB73)</f>
        <v/>
      </c>
      <c r="AE73" s="37">
        <f>AVERAGE(J73,L73,N73,P73,R73,T73,V73,X73,Z73,AB73)</f>
        <v/>
      </c>
      <c r="AF73" s="0" t="n">
        <v>30</v>
      </c>
    </row>
    <row r="74" ht="15.75" customHeight="1" s="51">
      <c r="A74" s="26" t="n">
        <v>61</v>
      </c>
      <c r="B74" s="32" t="inlineStr">
        <is>
          <t>Mnemosyne</t>
        </is>
      </c>
      <c r="C74" s="26" t="inlineStr">
        <is>
          <t>Smartphones &amp; Tablets</t>
        </is>
      </c>
      <c r="D74" s="26" t="inlineStr">
        <is>
          <t>Mnemosyne Mobile; MNEMOSYNE; Mneomsyne; Mnemsoyne</t>
        </is>
      </c>
      <c r="E74" s="26" t="inlineStr">
        <is>
          <t>1 year limited</t>
        </is>
      </c>
      <c r="F74" s="26" t="inlineStr">
        <is>
          <t>ISO 9001, WEEE Registered, ISO 14001</t>
        </is>
      </c>
      <c r="G74" s="26" t="inlineStr">
        <is>
          <t>everyday, reading, note-taking, school</t>
        </is>
      </c>
      <c r="H74" s="26" t="inlineStr">
        <is>
          <t>Smartphone, Tablet</t>
        </is>
      </c>
      <c r="I74" s="26" t="inlineStr">
        <is>
          <t>Mnemosyne Wave SE Kids Tablet</t>
        </is>
      </c>
      <c r="J74" s="28" t="n">
        <v>196.99</v>
      </c>
      <c r="K74" s="26" t="inlineStr">
        <is>
          <t>Mnemosyne Pulse Air Budget Smartphone</t>
        </is>
      </c>
      <c r="L74" s="28" t="n">
        <v>198.99</v>
      </c>
      <c r="M74" s="26" t="inlineStr">
        <is>
          <t>Mnemosyne Aria SE E-Ink Note Tablet</t>
        </is>
      </c>
      <c r="N74" s="28" t="n">
        <v>266.99</v>
      </c>
      <c r="O74" s="26" t="inlineStr">
        <is>
          <t>Mnemosyne Drift Rugged Smartphone</t>
        </is>
      </c>
      <c r="P74" s="28" t="n">
        <v>444.99</v>
      </c>
      <c r="Q74" s="26" t="inlineStr">
        <is>
          <t>Mnemosyne Titan 11" Tablet</t>
        </is>
      </c>
      <c r="R74" s="28" t="n">
        <v>446.99</v>
      </c>
      <c r="S74" s="26" t="inlineStr">
        <is>
          <t>Mnemosyne Vertex Lite Drawing Tablet with Stylus</t>
        </is>
      </c>
      <c r="T74" s="28" t="n">
        <v>577.99</v>
      </c>
      <c r="U74" s="26" t="inlineStr">
        <is>
          <t>Mnemosyne Drift Pro Flagship Smartphone</t>
        </is>
      </c>
      <c r="V74" s="28" t="n">
        <v>1042.99</v>
      </c>
      <c r="W74" s="26" t="inlineStr">
        <is>
          <t>Mnemosyne Rift Ultra 5G Tablet</t>
        </is>
      </c>
      <c r="X74" s="28" t="n">
        <v>1166.99</v>
      </c>
      <c r="Y74" s="26" t="inlineStr">
        <is>
          <t>Mnemosyne Nova X Flip Foldable Phone</t>
        </is>
      </c>
      <c r="Z74" s="28" t="n">
        <v>1191.99</v>
      </c>
      <c r="AA74" s="26" t="inlineStr">
        <is>
          <t>Mnemosyne Prism Plus Pro Max Smartphone</t>
        </is>
      </c>
      <c r="AB74" s="28" t="n">
        <v>1485.99</v>
      </c>
      <c r="AC74" s="37">
        <f>MIN(J74,L74,N74,P74,R74,T74,V74,X74,Z74,AB74)</f>
        <v/>
      </c>
      <c r="AD74" s="37">
        <f>MAX(J74,L74,N74,P74,R74,T74,V74,X74,Z74,AB74)</f>
        <v/>
      </c>
      <c r="AE74" s="37">
        <f>AVERAGE(J74,L74,N74,P74,R74,T74,V74,X74,Z74,AB74)</f>
        <v/>
      </c>
      <c r="AF74" s="0" t="n">
        <v>14</v>
      </c>
    </row>
    <row r="75" ht="15.75" customHeight="1" s="51">
      <c r="A75" s="26" t="n">
        <v>62</v>
      </c>
      <c r="B75" s="32" t="inlineStr">
        <is>
          <t>Clotho</t>
        </is>
      </c>
      <c r="C75" s="26" t="inlineStr">
        <is>
          <t>Smartphones &amp; Tablets</t>
        </is>
      </c>
      <c r="D75" s="26" t="inlineStr">
        <is>
          <t>Clotho Mobile; CLOTHO; Clootho; Cloto</t>
        </is>
      </c>
      <c r="E75" s="26" t="inlineStr">
        <is>
          <t>1 year limited</t>
        </is>
      </c>
      <c r="F75" s="26" t="inlineStr">
        <is>
          <t>ISO 9001, ISO 14001, RoHS Compliant</t>
        </is>
      </c>
      <c r="G75" s="26" t="inlineStr">
        <is>
          <t>reading, travel, school, streaming</t>
        </is>
      </c>
      <c r="H75" s="26" t="inlineStr">
        <is>
          <t>Smartphone, Tablet</t>
        </is>
      </c>
      <c r="I75" s="26" t="inlineStr">
        <is>
          <t>Clotho Core Lite Kids Tablet</t>
        </is>
      </c>
      <c r="J75" s="28" t="n">
        <v>160.99</v>
      </c>
      <c r="K75" s="26" t="inlineStr">
        <is>
          <t>Clotho Wave Ultra 8" Mini Tablet</t>
        </is>
      </c>
      <c r="L75" s="28" t="n">
        <v>367.99</v>
      </c>
      <c r="M75" s="26" t="inlineStr">
        <is>
          <t>Clotho Prism Ultra E-Ink Note Tablet</t>
        </is>
      </c>
      <c r="N75" s="28" t="n">
        <v>419.99</v>
      </c>
      <c r="O75" s="26" t="inlineStr">
        <is>
          <t>Clotho Blaze Plus 5G Tablet</t>
        </is>
      </c>
      <c r="P75" s="28" t="n">
        <v>512.99</v>
      </c>
      <c r="Q75" s="26" t="inlineStr">
        <is>
          <t>Clotho Titan Air 11" Tablet</t>
        </is>
      </c>
      <c r="R75" s="28" t="n">
        <v>656.99</v>
      </c>
      <c r="S75" s="26" t="inlineStr">
        <is>
          <t>Clotho Prism X Rugged Smartphone</t>
        </is>
      </c>
      <c r="T75" s="28" t="n">
        <v>702.99</v>
      </c>
      <c r="U75" s="26" t="inlineStr">
        <is>
          <t>Clotho Quanta Lite Compact Smartphone</t>
        </is>
      </c>
      <c r="V75" s="28" t="n">
        <v>750.99</v>
      </c>
      <c r="W75" s="26" t="inlineStr">
        <is>
          <t>Clotho Halo Flagship Smartphone</t>
        </is>
      </c>
      <c r="X75" s="28" t="n">
        <v>937.99</v>
      </c>
      <c r="Y75" s="26" t="inlineStr">
        <is>
          <t>Clotho Onyx Pro 13" Pro Tablet</t>
        </is>
      </c>
      <c r="Z75" s="28" t="n">
        <v>1688.99</v>
      </c>
      <c r="AA75" s="26" t="inlineStr">
        <is>
          <t>Clotho Orbit Ultra Foldable Phone</t>
        </is>
      </c>
      <c r="AB75" s="28" t="n">
        <v>2169.99</v>
      </c>
      <c r="AC75" s="37">
        <f>MIN(J75,L75,N75,P75,R75,T75,V75,X75,Z75,AB75)</f>
        <v/>
      </c>
      <c r="AD75" s="37">
        <f>MAX(J75,L75,N75,P75,R75,T75,V75,X75,Z75,AB75)</f>
        <v/>
      </c>
      <c r="AE75" s="37">
        <f>AVERAGE(J75,L75,N75,P75,R75,T75,V75,X75,Z75,AB75)</f>
        <v/>
      </c>
      <c r="AF75" s="0" t="n">
        <v>30</v>
      </c>
    </row>
    <row r="76" ht="15.75" customHeight="1" s="51">
      <c r="A76" s="26" t="n">
        <v>63</v>
      </c>
      <c r="B76" s="32" t="inlineStr">
        <is>
          <t>Pontus</t>
        </is>
      </c>
      <c r="C76" s="26" t="inlineStr">
        <is>
          <t>Smartphones &amp; Tablets</t>
        </is>
      </c>
      <c r="D76" s="26" t="inlineStr">
        <is>
          <t>Pontus Mobile; PONTUS; Ponuts; Ponttus</t>
        </is>
      </c>
      <c r="E76" s="26" t="inlineStr">
        <is>
          <t>1 year limited</t>
        </is>
      </c>
      <c r="F76" s="26" t="inlineStr">
        <is>
          <t>ISO 9001, RoHS Compliant, ISO 14001</t>
        </is>
      </c>
      <c r="G76" s="26" t="inlineStr">
        <is>
          <t>everyday, reading, note-taking, drawing</t>
        </is>
      </c>
      <c r="H76" s="26" t="inlineStr">
        <is>
          <t>Smartphone, Tablet</t>
        </is>
      </c>
      <c r="I76" s="26" t="inlineStr">
        <is>
          <t>Pontus Core SE Kids Tablet</t>
        </is>
      </c>
      <c r="J76" s="28" t="n">
        <v>78.98999999999999</v>
      </c>
      <c r="K76" s="26" t="inlineStr">
        <is>
          <t>Pontus Aeon Max Budget Smartphone</t>
        </is>
      </c>
      <c r="L76" s="28" t="n">
        <v>188.99</v>
      </c>
      <c r="M76" s="26" t="inlineStr">
        <is>
          <t>Pontus Nimbus Air E-Ink Note Tablet</t>
        </is>
      </c>
      <c r="N76" s="28" t="n">
        <v>329.99</v>
      </c>
      <c r="O76" s="26" t="inlineStr">
        <is>
          <t>Pontus Rift Pro 8" Mini Tablet</t>
        </is>
      </c>
      <c r="P76" s="28" t="n">
        <v>363.99</v>
      </c>
      <c r="Q76" s="26" t="inlineStr">
        <is>
          <t>Pontus Aeon Max Rugged Smartphone</t>
        </is>
      </c>
      <c r="R76" s="28" t="n">
        <v>418.99</v>
      </c>
      <c r="S76" s="26" t="inlineStr">
        <is>
          <t>Pontus Vibe Ultra Compact Smartphone</t>
        </is>
      </c>
      <c r="T76" s="28" t="n">
        <v>592.99</v>
      </c>
      <c r="U76" s="26" t="inlineStr">
        <is>
          <t>Pontus Prism X Drawing Tablet with Stylus</t>
        </is>
      </c>
      <c r="V76" s="28" t="n">
        <v>735.99</v>
      </c>
      <c r="W76" s="26" t="inlineStr">
        <is>
          <t>Pontus Drift Plus Flip Foldable Phone</t>
        </is>
      </c>
      <c r="X76" s="28" t="n">
        <v>931.99</v>
      </c>
      <c r="Y76" s="26" t="inlineStr">
        <is>
          <t>Pontus Arc Flagship Smartphone</t>
        </is>
      </c>
      <c r="Z76" s="28" t="n">
        <v>1152.99</v>
      </c>
      <c r="AA76" s="26" t="inlineStr">
        <is>
          <t>Pontus Lumen 13" Pro Tablet</t>
        </is>
      </c>
      <c r="AB76" s="28" t="n">
        <v>1738.99</v>
      </c>
      <c r="AC76" s="37">
        <f>MIN(J76,L76,N76,P76,R76,T76,V76,X76,Z76,AB76)</f>
        <v/>
      </c>
      <c r="AD76" s="37">
        <f>MAX(J76,L76,N76,P76,R76,T76,V76,X76,Z76,AB76)</f>
        <v/>
      </c>
      <c r="AE76" s="37">
        <f>AVERAGE(J76,L76,N76,P76,R76,T76,V76,X76,Z76,AB76)</f>
        <v/>
      </c>
      <c r="AF76" s="0" t="n">
        <v>45</v>
      </c>
    </row>
    <row r="77" ht="15.75" customHeight="1" s="51">
      <c r="A77" s="26" t="n">
        <v>64</v>
      </c>
      <c r="B77" s="32" t="inlineStr">
        <is>
          <t>Athena</t>
        </is>
      </c>
      <c r="C77" s="26" t="inlineStr">
        <is>
          <t>Smartphones &amp; Tablets</t>
        </is>
      </c>
      <c r="D77" s="26" t="inlineStr">
        <is>
          <t>Athena Mobile; ATHENA; Atehna; Athen</t>
        </is>
      </c>
      <c r="E77" s="26" t="inlineStr">
        <is>
          <t>1 year limited</t>
        </is>
      </c>
      <c r="F77" s="26" t="inlineStr">
        <is>
          <t>ISO 9001, ISO 45001, ISO/IEC 27001</t>
        </is>
      </c>
      <c r="G77" s="26" t="inlineStr">
        <is>
          <t>everyday, reading, note-taking, school</t>
        </is>
      </c>
      <c r="H77" s="26" t="inlineStr">
        <is>
          <t>Smartphone, Tablet</t>
        </is>
      </c>
      <c r="I77" s="26" t="inlineStr">
        <is>
          <t>Athena Rift X Kids Tablet</t>
        </is>
      </c>
      <c r="J77" s="28" t="n">
        <v>87.98999999999999</v>
      </c>
      <c r="K77" s="26" t="inlineStr">
        <is>
          <t>Athena Echo Air Rugged Smartphone</t>
        </is>
      </c>
      <c r="L77" s="28" t="n">
        <v>355.99</v>
      </c>
      <c r="M77" s="26" t="inlineStr">
        <is>
          <t>Athena Axis Plus Budget Smartphone</t>
        </is>
      </c>
      <c r="N77" s="28" t="n">
        <v>398.99</v>
      </c>
      <c r="O77" s="26" t="inlineStr">
        <is>
          <t>Athena Vertex Air E-Ink Note Tablet</t>
        </is>
      </c>
      <c r="P77" s="28" t="n">
        <v>439.99</v>
      </c>
      <c r="Q77" s="26" t="inlineStr">
        <is>
          <t>Athena Aeon X Drawing Tablet with Stylus</t>
        </is>
      </c>
      <c r="R77" s="28" t="n">
        <v>554.99</v>
      </c>
      <c r="S77" s="26" t="inlineStr">
        <is>
          <t>Athena Apex X 5G Tablet</t>
        </is>
      </c>
      <c r="T77" s="28" t="n">
        <v>751.99</v>
      </c>
      <c r="U77" s="26" t="inlineStr">
        <is>
          <t>Athena Orbit Pro 11" Tablet</t>
        </is>
      </c>
      <c r="V77" s="28" t="n">
        <v>790.99</v>
      </c>
      <c r="W77" s="26" t="inlineStr">
        <is>
          <t>Athena Orbit Ultra Flip Foldable Phone</t>
        </is>
      </c>
      <c r="X77" s="28" t="n">
        <v>839.99</v>
      </c>
      <c r="Y77" s="26" t="inlineStr">
        <is>
          <t>Athena Apex Pro Pro Max Smartphone</t>
        </is>
      </c>
      <c r="Z77" s="28" t="n">
        <v>1508.99</v>
      </c>
      <c r="AA77" s="26" t="inlineStr">
        <is>
          <t>Athena Onyx Air Foldable Phone</t>
        </is>
      </c>
      <c r="AB77" s="28" t="n">
        <v>1780.99</v>
      </c>
      <c r="AC77" s="37">
        <f>MIN(J77,L77,N77,P77,R77,T77,V77,X77,Z77,AB77)</f>
        <v/>
      </c>
      <c r="AD77" s="37">
        <f>MAX(J77,L77,N77,P77,R77,T77,V77,X77,Z77,AB77)</f>
        <v/>
      </c>
      <c r="AE77" s="37">
        <f>AVERAGE(J77,L77,N77,P77,R77,T77,V77,X77,Z77,AB77)</f>
        <v/>
      </c>
      <c r="AF77" s="0" t="n">
        <v>30</v>
      </c>
    </row>
    <row r="78" ht="15.75" customHeight="1" s="51">
      <c r="A78" s="26" t="n">
        <v>65</v>
      </c>
      <c r="B78" s="32" t="inlineStr">
        <is>
          <t>Amphitrite</t>
        </is>
      </c>
      <c r="C78" s="26" t="inlineStr">
        <is>
          <t>Smartphones &amp; Tablets</t>
        </is>
      </c>
      <c r="D78" s="26" t="inlineStr">
        <is>
          <t>Amphitrite Mobile; AMPHITRITE; Amphitrrite; Ampihtrite</t>
        </is>
      </c>
      <c r="E78" s="26" t="inlineStr">
        <is>
          <t>1 year limited</t>
        </is>
      </c>
      <c r="F78" s="26" t="inlineStr">
        <is>
          <t>ISO 9001, WEEE Registered, RoHS Compliant</t>
        </is>
      </c>
      <c r="G78" s="26" t="inlineStr">
        <is>
          <t>reading, everyday, note-taking, school</t>
        </is>
      </c>
      <c r="H78" s="26" t="inlineStr">
        <is>
          <t>Smartphone, Tablet</t>
        </is>
      </c>
      <c r="I78" s="26" t="inlineStr">
        <is>
          <t>Amphitrite Titan Ultra E-Ink Note Tablet</t>
        </is>
      </c>
      <c r="J78" s="28" t="n">
        <v>277.99</v>
      </c>
      <c r="K78" s="26" t="inlineStr">
        <is>
          <t>Amphitrite Lumen Ultra 8" Mini Tablet</t>
        </is>
      </c>
      <c r="L78" s="28" t="n">
        <v>565.99</v>
      </c>
      <c r="M78" s="26" t="inlineStr">
        <is>
          <t>Amphitrite Sable Max 11" Tablet</t>
        </is>
      </c>
      <c r="N78" s="28" t="n">
        <v>672.99</v>
      </c>
      <c r="O78" s="26" t="inlineStr">
        <is>
          <t>Amphitrite Sable Compact Smartphone</t>
        </is>
      </c>
      <c r="P78" s="28" t="n">
        <v>726.99</v>
      </c>
      <c r="Q78" s="26" t="inlineStr">
        <is>
          <t>Amphitrite Aria 5G Tablet</t>
        </is>
      </c>
      <c r="R78" s="28" t="n">
        <v>758.99</v>
      </c>
      <c r="S78" s="26" t="inlineStr">
        <is>
          <t>Amphitrite Vibe Air Drawing Tablet with Stylus</t>
        </is>
      </c>
      <c r="T78" s="28" t="n">
        <v>862.99</v>
      </c>
      <c r="U78" s="26" t="inlineStr">
        <is>
          <t>Amphitrite Aeon X Flip Foldable Phone</t>
        </is>
      </c>
      <c r="V78" s="28" t="n">
        <v>1010.99</v>
      </c>
      <c r="W78" s="26" t="inlineStr">
        <is>
          <t>Amphitrite Quanta Air 13" Pro Tablet</t>
        </is>
      </c>
      <c r="X78" s="28" t="n">
        <v>1091.99</v>
      </c>
      <c r="Y78" s="26" t="inlineStr">
        <is>
          <t>Amphitrite Pulse SE Flagship Smartphone</t>
        </is>
      </c>
      <c r="Z78" s="28" t="n">
        <v>1168.99</v>
      </c>
      <c r="AA78" s="26" t="inlineStr">
        <is>
          <t>Amphitrite Halo X Pro Max Smartphone</t>
        </is>
      </c>
      <c r="AB78" s="28" t="n">
        <v>1479.99</v>
      </c>
      <c r="AC78" s="37">
        <f>MIN(J78,L78,N78,P78,R78,T78,V78,X78,Z78,AB78)</f>
        <v/>
      </c>
      <c r="AD78" s="37">
        <f>MAX(J78,L78,N78,P78,R78,T78,V78,X78,Z78,AB78)</f>
        <v/>
      </c>
      <c r="AE78" s="37">
        <f>AVERAGE(J78,L78,N78,P78,R78,T78,V78,X78,Z78,AB78)</f>
        <v/>
      </c>
      <c r="AF78" s="0" t="n">
        <v>15</v>
      </c>
    </row>
    <row r="79" ht="15.75" customHeight="1" s="51">
      <c r="A79" s="26" t="n">
        <v>66</v>
      </c>
      <c r="B79" s="32" t="inlineStr">
        <is>
          <t>Paean</t>
        </is>
      </c>
      <c r="C79" s="26" t="inlineStr">
        <is>
          <t>Smartphones &amp; Tablets</t>
        </is>
      </c>
      <c r="D79" s="26" t="inlineStr">
        <is>
          <t>Paean Mobile; PAEAN; Paaen; Paeann</t>
        </is>
      </c>
      <c r="E79" s="26" t="inlineStr">
        <is>
          <t>1 year limited</t>
        </is>
      </c>
      <c r="F79" s="26" t="inlineStr">
        <is>
          <t>ISO 9001, ISO 14001, WEEE Registered</t>
        </is>
      </c>
      <c r="G79" s="26" t="inlineStr">
        <is>
          <t>everyday, reading, note-taking, school</t>
        </is>
      </c>
      <c r="H79" s="26" t="inlineStr">
        <is>
          <t>Smartphone, Tablet</t>
        </is>
      </c>
      <c r="I79" s="26" t="inlineStr">
        <is>
          <t>Paean Aria Budget Smartphone</t>
        </is>
      </c>
      <c r="J79" s="28" t="n">
        <v>242.99</v>
      </c>
      <c r="K79" s="26" t="inlineStr">
        <is>
          <t>Paean Wave Air E-Ink Note Tablet</t>
        </is>
      </c>
      <c r="L79" s="28" t="n">
        <v>308.99</v>
      </c>
      <c r="M79" s="26" t="inlineStr">
        <is>
          <t>Paean Quanta SE Rugged Smartphone</t>
        </is>
      </c>
      <c r="N79" s="28" t="n">
        <v>489.99</v>
      </c>
      <c r="O79" s="26" t="inlineStr">
        <is>
          <t>Paean Orbit Lite 11" Tablet</t>
        </is>
      </c>
      <c r="P79" s="28" t="n">
        <v>529.99</v>
      </c>
      <c r="Q79" s="26" t="inlineStr">
        <is>
          <t>Paean Nova Air 5G Tablet</t>
        </is>
      </c>
      <c r="R79" s="28" t="n">
        <v>882.99</v>
      </c>
      <c r="S79" s="26" t="inlineStr">
        <is>
          <t>Paean Strata SE Flip Foldable Phone</t>
        </is>
      </c>
      <c r="T79" s="28" t="n">
        <v>1027.99</v>
      </c>
      <c r="U79" s="26" t="inlineStr">
        <is>
          <t>Paean Drift Plus 13" Pro Tablet</t>
        </is>
      </c>
      <c r="V79" s="28" t="n">
        <v>1134.99</v>
      </c>
      <c r="W79" s="26" t="inlineStr">
        <is>
          <t>Paean Pulse Max Drawing Tablet with Stylus</t>
        </is>
      </c>
      <c r="X79" s="28" t="n">
        <v>1172.99</v>
      </c>
      <c r="Y79" s="26" t="inlineStr">
        <is>
          <t>Paean Vibe SE Flagship Smartphone</t>
        </is>
      </c>
      <c r="Z79" s="28" t="n">
        <v>1191.99</v>
      </c>
      <c r="AA79" s="26" t="inlineStr">
        <is>
          <t>Paean Vertex Lite Pro Max Smartphone</t>
        </is>
      </c>
      <c r="AB79" s="28" t="n">
        <v>1244.99</v>
      </c>
      <c r="AC79" s="37">
        <f>MIN(J79,L79,N79,P79,R79,T79,V79,X79,Z79,AB79)</f>
        <v/>
      </c>
      <c r="AD79" s="37">
        <f>MAX(J79,L79,N79,P79,R79,T79,V79,X79,Z79,AB79)</f>
        <v/>
      </c>
      <c r="AE79" s="37">
        <f>AVERAGE(J79,L79,N79,P79,R79,T79,V79,X79,Z79,AB79)</f>
        <v/>
      </c>
      <c r="AF79" s="0" t="n">
        <v>15</v>
      </c>
    </row>
    <row r="80" ht="15.75" customHeight="1" s="51">
      <c r="A80" s="26" t="n">
        <v>67</v>
      </c>
      <c r="B80" s="32" t="inlineStr">
        <is>
          <t>Clymene</t>
        </is>
      </c>
      <c r="C80" s="26" t="inlineStr">
        <is>
          <t>Smartphones &amp; Tablets</t>
        </is>
      </c>
      <c r="D80" s="26" t="inlineStr">
        <is>
          <t>Clymene Mobile; CLYMENE; Clymmene; Clmyene</t>
        </is>
      </c>
      <c r="E80" s="26" t="inlineStr">
        <is>
          <t>1 year limited</t>
        </is>
      </c>
      <c r="F80" s="26" t="inlineStr">
        <is>
          <t>ISO 9001, ISO 45001, WEEE Registered</t>
        </is>
      </c>
      <c r="G80" s="26" t="inlineStr">
        <is>
          <t>reading, note-taking, school, travel</t>
        </is>
      </c>
      <c r="H80" s="26" t="inlineStr">
        <is>
          <t>Smartphone, Tablet</t>
        </is>
      </c>
      <c r="I80" s="26" t="inlineStr">
        <is>
          <t>Clymene Halo Kids Tablet</t>
        </is>
      </c>
      <c r="J80" s="28" t="n">
        <v>113.99</v>
      </c>
      <c r="K80" s="26" t="inlineStr">
        <is>
          <t>Clymene Crest E-Ink Note Tablet</t>
        </is>
      </c>
      <c r="L80" s="28" t="n">
        <v>299.99</v>
      </c>
      <c r="M80" s="26" t="inlineStr">
        <is>
          <t>Clymene Halo Rugged Smartphone</t>
        </is>
      </c>
      <c r="N80" s="28" t="n">
        <v>421.99</v>
      </c>
      <c r="O80" s="26" t="inlineStr">
        <is>
          <t>Clymene Crest 8" Mini Tablet</t>
        </is>
      </c>
      <c r="P80" s="28" t="n">
        <v>426.99</v>
      </c>
      <c r="Q80" s="26" t="inlineStr">
        <is>
          <t>Clymene Sable SE Drawing Tablet with Stylus</t>
        </is>
      </c>
      <c r="R80" s="28" t="n">
        <v>430.99</v>
      </c>
      <c r="S80" s="26" t="inlineStr">
        <is>
          <t>Clymene Volt Lite 11" Tablet</t>
        </is>
      </c>
      <c r="T80" s="28" t="n">
        <v>563.99</v>
      </c>
      <c r="U80" s="26" t="inlineStr">
        <is>
          <t>Clymene Blaze 5G Tablet</t>
        </is>
      </c>
      <c r="V80" s="28" t="n">
        <v>748.99</v>
      </c>
      <c r="W80" s="26" t="inlineStr">
        <is>
          <t>Clymene Halo Flip Foldable Phone</t>
        </is>
      </c>
      <c r="X80" s="28" t="n">
        <v>1074.99</v>
      </c>
      <c r="Y80" s="26" t="inlineStr">
        <is>
          <t>Clymene Aeon Pro Pro Max Smartphone</t>
        </is>
      </c>
      <c r="Z80" s="28" t="n">
        <v>1303.99</v>
      </c>
      <c r="AA80" s="26" t="inlineStr">
        <is>
          <t>Clymene Onyx 13" Pro Tablet</t>
        </is>
      </c>
      <c r="AB80" s="28" t="n">
        <v>1627.99</v>
      </c>
      <c r="AC80" s="37">
        <f>MIN(J80,L80,N80,P80,R80,T80,V80,X80,Z80,AB80)</f>
        <v/>
      </c>
      <c r="AD80" s="37">
        <f>MAX(J80,L80,N80,P80,R80,T80,V80,X80,Z80,AB80)</f>
        <v/>
      </c>
      <c r="AE80" s="37">
        <f>AVERAGE(J80,L80,N80,P80,R80,T80,V80,X80,Z80,AB80)</f>
        <v/>
      </c>
      <c r="AF80" s="0" t="n">
        <v>15</v>
      </c>
    </row>
    <row r="81" ht="15.75" customHeight="1" s="51">
      <c r="A81" s="26" t="n">
        <v>68</v>
      </c>
      <c r="B81" s="32" t="inlineStr">
        <is>
          <t>Circe</t>
        </is>
      </c>
      <c r="C81" s="26" t="inlineStr">
        <is>
          <t>Smartphones &amp; Tablets</t>
        </is>
      </c>
      <c r="D81" s="26" t="inlineStr">
        <is>
          <t>Circe Mobile; CIRCE; Cirrce; Ciirce</t>
        </is>
      </c>
      <c r="E81" s="26" t="inlineStr">
        <is>
          <t>1 year limited</t>
        </is>
      </c>
      <c r="F81" s="26" t="inlineStr">
        <is>
          <t>ISO 9001, ISO/IEC 27001, RoHS Compliant</t>
        </is>
      </c>
      <c r="G81" s="26" t="inlineStr">
        <is>
          <t>everyday, reading, travel, budget</t>
        </is>
      </c>
      <c r="H81" s="26" t="inlineStr">
        <is>
          <t>Smartphone, Tablet</t>
        </is>
      </c>
      <c r="I81" s="26" t="inlineStr">
        <is>
          <t>Circe Drift SE Budget Smartphone</t>
        </is>
      </c>
      <c r="J81" s="28" t="n">
        <v>217.99</v>
      </c>
      <c r="K81" s="26" t="inlineStr">
        <is>
          <t>Circe Spark 8" Mini Tablet</t>
        </is>
      </c>
      <c r="L81" s="28" t="n">
        <v>482.99</v>
      </c>
      <c r="M81" s="26" t="inlineStr">
        <is>
          <t>Circe Orbit Plus E-Ink Note Tablet</t>
        </is>
      </c>
      <c r="N81" s="28" t="n">
        <v>650.99</v>
      </c>
      <c r="O81" s="26" t="inlineStr">
        <is>
          <t>Circe Titan Ultra Rugged Smartphone</t>
        </is>
      </c>
      <c r="P81" s="28" t="n">
        <v>684.99</v>
      </c>
      <c r="Q81" s="26" t="inlineStr">
        <is>
          <t>Circe Nimbus Lite 5G Tablet</t>
        </is>
      </c>
      <c r="R81" s="28" t="n">
        <v>805.99</v>
      </c>
      <c r="S81" s="26" t="inlineStr">
        <is>
          <t>Circe Orbit Pro Compact Smartphone</t>
        </is>
      </c>
      <c r="T81" s="28" t="n">
        <v>836.99</v>
      </c>
      <c r="U81" s="26" t="inlineStr">
        <is>
          <t>Circe Drift SE Flip Foldable Phone</t>
        </is>
      </c>
      <c r="V81" s="28" t="n">
        <v>974.99</v>
      </c>
      <c r="W81" s="26" t="inlineStr">
        <is>
          <t>Circe Titan X Foldable Phone</t>
        </is>
      </c>
      <c r="X81" s="28" t="n">
        <v>1360.99</v>
      </c>
      <c r="Y81" s="26" t="inlineStr">
        <is>
          <t>Circe Prism Max 13" Pro Tablet</t>
        </is>
      </c>
      <c r="Z81" s="28" t="n">
        <v>1421.99</v>
      </c>
      <c r="AA81" s="26" t="inlineStr">
        <is>
          <t>Circe Vertex SE Pro Max Smartphone</t>
        </is>
      </c>
      <c r="AB81" s="28" t="n">
        <v>1454.99</v>
      </c>
      <c r="AC81" s="37">
        <f>MIN(J81,L81,N81,P81,R81,T81,V81,X81,Z81,AB81)</f>
        <v/>
      </c>
      <c r="AD81" s="37">
        <f>MAX(J81,L81,N81,P81,R81,T81,V81,X81,Z81,AB81)</f>
        <v/>
      </c>
      <c r="AE81" s="37">
        <f>AVERAGE(J81,L81,N81,P81,R81,T81,V81,X81,Z81,AB81)</f>
        <v/>
      </c>
      <c r="AF81" s="0" t="n">
        <v>14</v>
      </c>
    </row>
    <row r="82" ht="15.75" customHeight="1" s="51">
      <c r="A82" s="26" t="n">
        <v>69</v>
      </c>
      <c r="B82" s="32" t="inlineStr">
        <is>
          <t>Panacea</t>
        </is>
      </c>
      <c r="C82" s="26" t="inlineStr">
        <is>
          <t>Smartphones &amp; Tablets</t>
        </is>
      </c>
      <c r="D82" s="26" t="inlineStr">
        <is>
          <t>Panacea Mobile; PANACEA; Pnaacea; Panaeca</t>
        </is>
      </c>
      <c r="E82" s="26" t="inlineStr">
        <is>
          <t>1 year limited</t>
        </is>
      </c>
      <c r="F82" s="26" t="inlineStr">
        <is>
          <t>ISO 9001, RoHS Compliant, WEEE Registered</t>
        </is>
      </c>
      <c r="G82" s="26" t="inlineStr">
        <is>
          <t>everyday, reading, note-taking, school</t>
        </is>
      </c>
      <c r="H82" s="26" t="inlineStr">
        <is>
          <t>Smartphone, Tablet</t>
        </is>
      </c>
      <c r="I82" s="26" t="inlineStr">
        <is>
          <t>Panacea Nimbus Pro Budget Smartphone</t>
        </is>
      </c>
      <c r="J82" s="28" t="n">
        <v>196.99</v>
      </c>
      <c r="K82" s="26" t="inlineStr">
        <is>
          <t>Panacea Strata E-Ink Note Tablet</t>
        </is>
      </c>
      <c r="L82" s="28" t="n">
        <v>268.99</v>
      </c>
      <c r="M82" s="26" t="inlineStr">
        <is>
          <t>Panacea Sable X Drawing Tablet with Stylus</t>
        </is>
      </c>
      <c r="N82" s="28" t="n">
        <v>590.99</v>
      </c>
      <c r="O82" s="26" t="inlineStr">
        <is>
          <t>Panacea Crest X Rugged Smartphone</t>
        </is>
      </c>
      <c r="P82" s="28" t="n">
        <v>642.99</v>
      </c>
      <c r="Q82" s="26" t="inlineStr">
        <is>
          <t>Panacea Nova Air Compact Smartphone</t>
        </is>
      </c>
      <c r="R82" s="28" t="n">
        <v>687.99</v>
      </c>
      <c r="S82" s="26" t="inlineStr">
        <is>
          <t>Panacea Aria Pro 11" Tablet</t>
        </is>
      </c>
      <c r="T82" s="28" t="n">
        <v>698.99</v>
      </c>
      <c r="U82" s="26" t="inlineStr">
        <is>
          <t>Panacea Halo Plus 5G Tablet</t>
        </is>
      </c>
      <c r="V82" s="28" t="n">
        <v>759.99</v>
      </c>
      <c r="W82" s="26" t="inlineStr">
        <is>
          <t>Panacea Core SE Flagship Smartphone</t>
        </is>
      </c>
      <c r="X82" s="28" t="n">
        <v>824.99</v>
      </c>
      <c r="Y82" s="26" t="inlineStr">
        <is>
          <t>Panacea Apex Air Flip Foldable Phone</t>
        </is>
      </c>
      <c r="Z82" s="28" t="n">
        <v>1168.99</v>
      </c>
      <c r="AA82" s="26" t="inlineStr">
        <is>
          <t>Panacea Nova Ultra Foldable Phone</t>
        </is>
      </c>
      <c r="AB82" s="28" t="n">
        <v>1960.99</v>
      </c>
      <c r="AC82" s="37">
        <f>MIN(J82,L82,N82,P82,R82,T82,V82,X82,Z82,AB82)</f>
        <v/>
      </c>
      <c r="AD82" s="37">
        <f>MAX(J82,L82,N82,P82,R82,T82,V82,X82,Z82,AB82)</f>
        <v/>
      </c>
      <c r="AE82" s="37">
        <f>AVERAGE(J82,L82,N82,P82,R82,T82,V82,X82,Z82,AB82)</f>
        <v/>
      </c>
      <c r="AF82" s="0" t="n">
        <v>30</v>
      </c>
    </row>
    <row r="83" ht="15.75" customHeight="1" s="51">
      <c r="A83" s="26" t="n">
        <v>70</v>
      </c>
      <c r="B83" s="32" t="inlineStr">
        <is>
          <t>Proteus</t>
        </is>
      </c>
      <c r="C83" s="26" t="inlineStr">
        <is>
          <t>Smartphones &amp; Tablets</t>
        </is>
      </c>
      <c r="D83" s="26" t="inlineStr">
        <is>
          <t>Proteus Mobile; PROTEUS; Proteeus; Proetus</t>
        </is>
      </c>
      <c r="E83" s="26" t="inlineStr">
        <is>
          <t>1 year limited</t>
        </is>
      </c>
      <c r="F83" s="26" t="inlineStr">
        <is>
          <t>ISO 9001, WEEE Registered, ISO/IEC 27001</t>
        </is>
      </c>
      <c r="G83" s="26" t="inlineStr">
        <is>
          <t>everyday, drawing, streaming, photography</t>
        </is>
      </c>
      <c r="H83" s="26" t="inlineStr">
        <is>
          <t>Smartphone, Tablet</t>
        </is>
      </c>
      <c r="I83" s="26" t="inlineStr">
        <is>
          <t>Proteus Sable Ultra Kids Tablet</t>
        </is>
      </c>
      <c r="J83" s="28" t="n">
        <v>90.98999999999999</v>
      </c>
      <c r="K83" s="26" t="inlineStr">
        <is>
          <t>Proteus Rift Pro Budget Smartphone</t>
        </is>
      </c>
      <c r="L83" s="28" t="n">
        <v>373.99</v>
      </c>
      <c r="M83" s="26" t="inlineStr">
        <is>
          <t>Proteus Volt Air Drawing Tablet with Stylus</t>
        </is>
      </c>
      <c r="N83" s="28" t="n">
        <v>665.99</v>
      </c>
      <c r="O83" s="26" t="inlineStr">
        <is>
          <t>Proteus Crest Pro 11" Tablet</t>
        </is>
      </c>
      <c r="P83" s="28" t="n">
        <v>684.99</v>
      </c>
      <c r="Q83" s="26" t="inlineStr">
        <is>
          <t>Proteus Rift Pro 5G Tablet</t>
        </is>
      </c>
      <c r="R83" s="28" t="n">
        <v>904.99</v>
      </c>
      <c r="S83" s="26" t="inlineStr">
        <is>
          <t>Proteus Zen Max Flip Foldable Phone</t>
        </is>
      </c>
      <c r="T83" s="28" t="n">
        <v>1080.99</v>
      </c>
      <c r="U83" s="26" t="inlineStr">
        <is>
          <t>Proteus Volt Max Flagship Smartphone</t>
        </is>
      </c>
      <c r="V83" s="28" t="n">
        <v>1130.99</v>
      </c>
      <c r="W83" s="26" t="inlineStr">
        <is>
          <t>Proteus Spark Ultra Pro Max Smartphone</t>
        </is>
      </c>
      <c r="X83" s="28" t="n">
        <v>1549.99</v>
      </c>
      <c r="Y83" s="26" t="inlineStr">
        <is>
          <t>Proteus Aeon Air Foldable Phone</t>
        </is>
      </c>
      <c r="Z83" s="28" t="n">
        <v>1687.99</v>
      </c>
      <c r="AA83" s="26" t="inlineStr">
        <is>
          <t>Proteus Aria Plus 13" Pro Tablet</t>
        </is>
      </c>
      <c r="AB83" s="28" t="n">
        <v>1777.99</v>
      </c>
      <c r="AC83" s="37">
        <f>MIN(J83,L83,N83,P83,R83,T83,V83,X83,Z83,AB83)</f>
        <v/>
      </c>
      <c r="AD83" s="37">
        <f>MAX(J83,L83,N83,P83,R83,T83,V83,X83,Z83,AB83)</f>
        <v/>
      </c>
      <c r="AE83" s="37">
        <f>AVERAGE(J83,L83,N83,P83,R83,T83,V83,X83,Z83,AB83)</f>
        <v/>
      </c>
      <c r="AF83" s="0" t="n">
        <v>30</v>
      </c>
    </row>
    <row r="84" ht="15.75" customHeight="1" s="51">
      <c r="A84" s="26" t="n">
        <v>71</v>
      </c>
      <c r="B84" s="32" t="inlineStr">
        <is>
          <t>Lachesis</t>
        </is>
      </c>
      <c r="C84" s="26" t="inlineStr">
        <is>
          <t>Smartphones &amp; Tablets</t>
        </is>
      </c>
      <c r="D84" s="26" t="inlineStr">
        <is>
          <t>Lachesis Mobile; LACHESIS; Lachessis; Lachhesis</t>
        </is>
      </c>
      <c r="E84" s="26" t="inlineStr">
        <is>
          <t>1 year limited</t>
        </is>
      </c>
      <c r="F84" s="26" t="inlineStr">
        <is>
          <t>ISO 9001, ISO 14001, ISO/IEC 27001</t>
        </is>
      </c>
      <c r="G84" s="26" t="inlineStr">
        <is>
          <t>everyday, reading, travel, school</t>
        </is>
      </c>
      <c r="H84" s="26" t="inlineStr">
        <is>
          <t>Smartphone, Tablet</t>
        </is>
      </c>
      <c r="I84" s="26" t="inlineStr">
        <is>
          <t>Lachesis Vibe Air 8" Mini Tablet</t>
        </is>
      </c>
      <c r="J84" s="28" t="n">
        <v>284.99</v>
      </c>
      <c r="K84" s="26" t="inlineStr">
        <is>
          <t>Lachesis Prism Lite Budget Smartphone</t>
        </is>
      </c>
      <c r="L84" s="28" t="n">
        <v>341.99</v>
      </c>
      <c r="M84" s="26" t="inlineStr">
        <is>
          <t>Lachesis Lumen Pro E-Ink Note Tablet</t>
        </is>
      </c>
      <c r="N84" s="28" t="n">
        <v>442.99</v>
      </c>
      <c r="O84" s="26" t="inlineStr">
        <is>
          <t>Lachesis Titan Plus Rugged Smartphone</t>
        </is>
      </c>
      <c r="P84" s="28" t="n">
        <v>553.99</v>
      </c>
      <c r="Q84" s="26" t="inlineStr">
        <is>
          <t>Lachesis Wave Air 11" Tablet</t>
        </is>
      </c>
      <c r="R84" s="28" t="n">
        <v>578.99</v>
      </c>
      <c r="S84" s="26" t="inlineStr">
        <is>
          <t>Lachesis Wave Plus Compact Smartphone</t>
        </is>
      </c>
      <c r="T84" s="28" t="n">
        <v>733.99</v>
      </c>
      <c r="U84" s="26" t="inlineStr">
        <is>
          <t>Lachesis Zen Pro Flip Foldable Phone</t>
        </is>
      </c>
      <c r="V84" s="28" t="n">
        <v>898.99</v>
      </c>
      <c r="W84" s="26" t="inlineStr">
        <is>
          <t>Lachesis Onyx Ultra Flagship Smartphone</t>
        </is>
      </c>
      <c r="X84" s="28" t="n">
        <v>929.99</v>
      </c>
      <c r="Y84" s="26" t="inlineStr">
        <is>
          <t>Lachesis Blaze Ultra 5G Tablet</t>
        </is>
      </c>
      <c r="Z84" s="28" t="n">
        <v>1155.99</v>
      </c>
      <c r="AA84" s="26" t="inlineStr">
        <is>
          <t>Lachesis Echo Air Foldable Phone</t>
        </is>
      </c>
      <c r="AB84" s="28" t="n">
        <v>1955.99</v>
      </c>
      <c r="AC84" s="37">
        <f>MIN(J84,L84,N84,P84,R84,T84,V84,X84,Z84,AB84)</f>
        <v/>
      </c>
      <c r="AD84" s="37">
        <f>MAX(J84,L84,N84,P84,R84,T84,V84,X84,Z84,AB84)</f>
        <v/>
      </c>
      <c r="AE84" s="37">
        <f>AVERAGE(J84,L84,N84,P84,R84,T84,V84,X84,Z84,AB84)</f>
        <v/>
      </c>
      <c r="AF84" s="0" t="n">
        <v>30</v>
      </c>
    </row>
    <row r="85" ht="15.75" customHeight="1" s="51">
      <c r="A85" s="26" t="n">
        <v>72</v>
      </c>
      <c r="B85" s="32" t="inlineStr">
        <is>
          <t>Pothos</t>
        </is>
      </c>
      <c r="C85" s="26" t="inlineStr">
        <is>
          <t>Smartphones &amp; Tablets</t>
        </is>
      </c>
      <c r="D85" s="26" t="inlineStr">
        <is>
          <t>Pothos Mobile; POTHOS; Pothoss; Potthos</t>
        </is>
      </c>
      <c r="E85" s="26" t="inlineStr">
        <is>
          <t>1 year limited</t>
        </is>
      </c>
      <c r="F85" s="26" t="inlineStr">
        <is>
          <t>ISO 9001, ISO 45001, ISO 14001</t>
        </is>
      </c>
      <c r="G85" s="26" t="inlineStr">
        <is>
          <t>everyday, note-taking, photography, drawing</t>
        </is>
      </c>
      <c r="H85" s="26" t="inlineStr">
        <is>
          <t>Smartphone, Tablet</t>
        </is>
      </c>
      <c r="I85" s="26" t="inlineStr">
        <is>
          <t>Pothos Volt Kids Tablet</t>
        </is>
      </c>
      <c r="J85" s="28" t="n">
        <v>136.99</v>
      </c>
      <c r="K85" s="26" t="inlineStr">
        <is>
          <t>Pothos Pulse Air Rugged Smartphone</t>
        </is>
      </c>
      <c r="L85" s="28" t="n">
        <v>306.99</v>
      </c>
      <c r="M85" s="26" t="inlineStr">
        <is>
          <t>Pothos Aria SE E-Ink Note Tablet</t>
        </is>
      </c>
      <c r="N85" s="28" t="n">
        <v>505.99</v>
      </c>
      <c r="O85" s="26" t="inlineStr">
        <is>
          <t>Pothos Vertex Compact Smartphone</t>
        </is>
      </c>
      <c r="P85" s="28" t="n">
        <v>780.99</v>
      </c>
      <c r="Q85" s="26" t="inlineStr">
        <is>
          <t>Pothos Axis Lite Flagship Smartphone</t>
        </is>
      </c>
      <c r="R85" s="28" t="n">
        <v>832.99</v>
      </c>
      <c r="S85" s="26" t="inlineStr">
        <is>
          <t>Pothos Apex Ultra Drawing Tablet with Stylus</t>
        </is>
      </c>
      <c r="T85" s="28" t="n">
        <v>892.99</v>
      </c>
      <c r="U85" s="26" t="inlineStr">
        <is>
          <t>Pothos Orbit Max 13" Pro Tablet</t>
        </is>
      </c>
      <c r="V85" s="28" t="n">
        <v>1015.99</v>
      </c>
      <c r="W85" s="26" t="inlineStr">
        <is>
          <t>Pothos Prism Flip Foldable Phone</t>
        </is>
      </c>
      <c r="X85" s="28" t="n">
        <v>1072.99</v>
      </c>
      <c r="Y85" s="26" t="inlineStr">
        <is>
          <t>Pothos Halo Air Pro Max Smartphone</t>
        </is>
      </c>
      <c r="Z85" s="28" t="n">
        <v>1102.99</v>
      </c>
      <c r="AA85" s="26" t="inlineStr">
        <is>
          <t>Pothos Drift X 5G Tablet</t>
        </is>
      </c>
      <c r="AB85" s="28" t="n">
        <v>1130.99</v>
      </c>
      <c r="AC85" s="37">
        <f>MIN(J85,L85,N85,P85,R85,T85,V85,X85,Z85,AB85)</f>
        <v/>
      </c>
      <c r="AD85" s="37">
        <f>MAX(J85,L85,N85,P85,R85,T85,V85,X85,Z85,AB85)</f>
        <v/>
      </c>
      <c r="AE85" s="37">
        <f>AVERAGE(J85,L85,N85,P85,R85,T85,V85,X85,Z85,AB85)</f>
        <v/>
      </c>
      <c r="AF85" s="0" t="n">
        <v>30</v>
      </c>
    </row>
    <row r="86" ht="15.75" customHeight="1" s="51">
      <c r="A86" s="26" t="n">
        <v>73</v>
      </c>
      <c r="B86" s="32" t="inlineStr">
        <is>
          <t>Helios</t>
        </is>
      </c>
      <c r="C86" s="26" t="inlineStr">
        <is>
          <t>Smartphones &amp; Tablets</t>
        </is>
      </c>
      <c r="D86" s="26" t="inlineStr">
        <is>
          <t>Helios Mobile; HELIOS; Helioss; Helioos</t>
        </is>
      </c>
      <c r="E86" s="26" t="inlineStr">
        <is>
          <t>1 year limited</t>
        </is>
      </c>
      <c r="F86" s="26" t="inlineStr">
        <is>
          <t>ISO 9001, ISO 14001, WEEE Registered</t>
        </is>
      </c>
      <c r="G86" s="26" t="inlineStr">
        <is>
          <t>everyday, note-taking, drawing, kids</t>
        </is>
      </c>
      <c r="H86" s="26" t="inlineStr">
        <is>
          <t>Smartphone, Tablet</t>
        </is>
      </c>
      <c r="I86" s="26" t="inlineStr">
        <is>
          <t>Helios Nimbus Air Kids Tablet</t>
        </is>
      </c>
      <c r="J86" s="28" t="n">
        <v>126.99</v>
      </c>
      <c r="K86" s="26" t="inlineStr">
        <is>
          <t>Helios Nova SE Budget Smartphone</t>
        </is>
      </c>
      <c r="L86" s="28" t="n">
        <v>144.99</v>
      </c>
      <c r="M86" s="26" t="inlineStr">
        <is>
          <t>Helios Aria Plus E-Ink Note Tablet</t>
        </is>
      </c>
      <c r="N86" s="28" t="n">
        <v>377.99</v>
      </c>
      <c r="O86" s="26" t="inlineStr">
        <is>
          <t>Helios Sable SE Compact Smartphone</t>
        </is>
      </c>
      <c r="P86" s="28" t="n">
        <v>634.99</v>
      </c>
      <c r="Q86" s="26" t="inlineStr">
        <is>
          <t>Helios Lumen Pro Drawing Tablet with Stylus</t>
        </is>
      </c>
      <c r="R86" s="28" t="n">
        <v>868.99</v>
      </c>
      <c r="S86" s="26" t="inlineStr">
        <is>
          <t>Helios Volt SE Pro Max Smartphone</t>
        </is>
      </c>
      <c r="T86" s="28" t="n">
        <v>1138.99</v>
      </c>
      <c r="U86" s="26" t="inlineStr">
        <is>
          <t>Helios Wave Flip Foldable Phone</t>
        </is>
      </c>
      <c r="V86" s="28" t="n">
        <v>1157.99</v>
      </c>
      <c r="W86" s="26" t="inlineStr">
        <is>
          <t>Helios Aria 5G Tablet</t>
        </is>
      </c>
      <c r="X86" s="28" t="n">
        <v>1198.99</v>
      </c>
      <c r="Y86" s="26" t="inlineStr">
        <is>
          <t>Helios Arc Max 13" Pro Tablet</t>
        </is>
      </c>
      <c r="Z86" s="28" t="n">
        <v>1711.99</v>
      </c>
      <c r="AA86" s="26" t="inlineStr">
        <is>
          <t>Helios Echo Foldable Phone</t>
        </is>
      </c>
      <c r="AB86" s="28" t="n">
        <v>1785.99</v>
      </c>
      <c r="AC86" s="37">
        <f>MIN(J86,L86,N86,P86,R86,T86,V86,X86,Z86,AB86)</f>
        <v/>
      </c>
      <c r="AD86" s="37">
        <f>MAX(J86,L86,N86,P86,R86,T86,V86,X86,Z86,AB86)</f>
        <v/>
      </c>
      <c r="AE86" s="37">
        <f>AVERAGE(J86,L86,N86,P86,R86,T86,V86,X86,Z86,AB86)</f>
        <v/>
      </c>
      <c r="AF86" s="0" t="n">
        <v>30</v>
      </c>
    </row>
    <row r="87" ht="15.75" customHeight="1" s="51">
      <c r="A87" s="26" t="n">
        <v>74</v>
      </c>
      <c r="B87" s="32" t="inlineStr">
        <is>
          <t>Elpis</t>
        </is>
      </c>
      <c r="C87" s="26" t="inlineStr">
        <is>
          <t>Smartphones &amp; Tablets</t>
        </is>
      </c>
      <c r="D87" s="26" t="inlineStr">
        <is>
          <t>Elpis Mobile; ELPIS; Elpiis; Elips</t>
        </is>
      </c>
      <c r="E87" s="26" t="inlineStr">
        <is>
          <t>1 year limited</t>
        </is>
      </c>
      <c r="F87" s="26" t="inlineStr">
        <is>
          <t>ISO 9001, ISO 14001, ISO 45001</t>
        </is>
      </c>
      <c r="G87" s="26" t="inlineStr">
        <is>
          <t>reading, school, everyday, photography</t>
        </is>
      </c>
      <c r="H87" s="26" t="inlineStr">
        <is>
          <t>Smartphone, Tablet</t>
        </is>
      </c>
      <c r="I87" s="26" t="inlineStr">
        <is>
          <t>Elpis Titan X Kids Tablet</t>
        </is>
      </c>
      <c r="J87" s="28" t="n">
        <v>193.99</v>
      </c>
      <c r="K87" s="26" t="inlineStr">
        <is>
          <t>Elpis Pulse Pro 8" Mini Tablet</t>
        </is>
      </c>
      <c r="L87" s="28" t="n">
        <v>359.99</v>
      </c>
      <c r="M87" s="26" t="inlineStr">
        <is>
          <t>Elpis Aria SE E-Ink Note Tablet</t>
        </is>
      </c>
      <c r="N87" s="28" t="n">
        <v>538.99</v>
      </c>
      <c r="O87" s="26" t="inlineStr">
        <is>
          <t>Elpis Core 11" Tablet</t>
        </is>
      </c>
      <c r="P87" s="28" t="n">
        <v>571.99</v>
      </c>
      <c r="Q87" s="26" t="inlineStr">
        <is>
          <t>Elpis Nova Max Rugged Smartphone</t>
        </is>
      </c>
      <c r="R87" s="28" t="n">
        <v>771.99</v>
      </c>
      <c r="S87" s="26" t="inlineStr">
        <is>
          <t>Elpis Echo Lite Flip Foldable Phone</t>
        </is>
      </c>
      <c r="T87" s="28" t="n">
        <v>1134.99</v>
      </c>
      <c r="U87" s="26" t="inlineStr">
        <is>
          <t>Elpis Lumen Pro 13" Pro Tablet</t>
        </is>
      </c>
      <c r="V87" s="28" t="n">
        <v>1164.99</v>
      </c>
      <c r="W87" s="26" t="inlineStr">
        <is>
          <t>Elpis Nova Max Flagship Smartphone</t>
        </is>
      </c>
      <c r="X87" s="28" t="n">
        <v>1273.99</v>
      </c>
      <c r="Y87" s="26" t="inlineStr">
        <is>
          <t>Elpis Vibe SE Pro Max Smartphone</t>
        </is>
      </c>
      <c r="Z87" s="28" t="n">
        <v>1398.99</v>
      </c>
      <c r="AA87" s="26" t="inlineStr">
        <is>
          <t>Elpis Quanta Air Foldable Phone</t>
        </is>
      </c>
      <c r="AB87" s="28" t="n">
        <v>1991.99</v>
      </c>
      <c r="AC87" s="37">
        <f>MIN(J87,L87,N87,P87,R87,T87,V87,X87,Z87,AB87)</f>
        <v/>
      </c>
      <c r="AD87" s="37">
        <f>MAX(J87,L87,N87,P87,R87,T87,V87,X87,Z87,AB87)</f>
        <v/>
      </c>
      <c r="AE87" s="37">
        <f>AVERAGE(J87,L87,N87,P87,R87,T87,V87,X87,Z87,AB87)</f>
        <v/>
      </c>
      <c r="AF87" s="0" t="n">
        <v>30</v>
      </c>
    </row>
    <row r="88" ht="15.75" customHeight="1" s="51">
      <c r="A88" s="26" t="n">
        <v>75</v>
      </c>
      <c r="B88" s="32" t="inlineStr">
        <is>
          <t>Coeus</t>
        </is>
      </c>
      <c r="C88" s="26" t="inlineStr">
        <is>
          <t>Smartphones &amp; Tablets</t>
        </is>
      </c>
      <c r="D88" s="26" t="inlineStr">
        <is>
          <t>Coeus Mobile; COEUS; Coeuss; Koeus</t>
        </is>
      </c>
      <c r="E88" s="26" t="inlineStr">
        <is>
          <t>1 year limited</t>
        </is>
      </c>
      <c r="F88" s="26" t="inlineStr">
        <is>
          <t>ISO 9001, RoHS Compliant, WEEE Registered</t>
        </is>
      </c>
      <c r="G88" s="26" t="inlineStr">
        <is>
          <t>everyday, note-taking, drawing, photography</t>
        </is>
      </c>
      <c r="H88" s="26" t="inlineStr">
        <is>
          <t>Smartphone, Tablet</t>
        </is>
      </c>
      <c r="I88" s="26" t="inlineStr">
        <is>
          <t>Coeus Sable Pro Budget Smartphone</t>
        </is>
      </c>
      <c r="J88" s="28" t="n">
        <v>279.99</v>
      </c>
      <c r="K88" s="26" t="inlineStr">
        <is>
          <t>Coeus Onyx X E-Ink Note Tablet</t>
        </is>
      </c>
      <c r="L88" s="28" t="n">
        <v>291.99</v>
      </c>
      <c r="M88" s="26" t="inlineStr">
        <is>
          <t>Coeus Crest X Rugged Smartphone</t>
        </is>
      </c>
      <c r="N88" s="28" t="n">
        <v>472.99</v>
      </c>
      <c r="O88" s="26" t="inlineStr">
        <is>
          <t>Coeus Drift Max Compact Smartphone</t>
        </is>
      </c>
      <c r="P88" s="28" t="n">
        <v>513.99</v>
      </c>
      <c r="Q88" s="26" t="inlineStr">
        <is>
          <t>Coeus Vertex Lite 5G Tablet</t>
        </is>
      </c>
      <c r="R88" s="28" t="n">
        <v>882.99</v>
      </c>
      <c r="S88" s="26" t="inlineStr">
        <is>
          <t>Coeus Aria Flip Foldable Phone</t>
        </is>
      </c>
      <c r="T88" s="28" t="n">
        <v>916.99</v>
      </c>
      <c r="U88" s="26" t="inlineStr">
        <is>
          <t>Coeus Nimbus Plus Drawing Tablet with Stylus</t>
        </is>
      </c>
      <c r="V88" s="28" t="n">
        <v>1007.99</v>
      </c>
      <c r="W88" s="26" t="inlineStr">
        <is>
          <t>Coeus Lumen SE Flagship Smartphone</t>
        </is>
      </c>
      <c r="X88" s="28" t="n">
        <v>1146.99</v>
      </c>
      <c r="Y88" s="26" t="inlineStr">
        <is>
          <t>Coeus Volt Air 13" Pro Tablet</t>
        </is>
      </c>
      <c r="Z88" s="28" t="n">
        <v>1231.99</v>
      </c>
      <c r="AA88" s="26" t="inlineStr">
        <is>
          <t>Coeus Aeon Ultra Pro Max Smartphone</t>
        </is>
      </c>
      <c r="AB88" s="28" t="n">
        <v>1499.99</v>
      </c>
      <c r="AC88" s="37">
        <f>MIN(J88,L88,N88,P88,R88,T88,V88,X88,Z88,AB88)</f>
        <v/>
      </c>
      <c r="AD88" s="37">
        <f>MAX(J88,L88,N88,P88,R88,T88,V88,X88,Z88,AB88)</f>
        <v/>
      </c>
      <c r="AE88" s="37">
        <f>AVERAGE(J88,L88,N88,P88,R88,T88,V88,X88,Z88,AB88)</f>
        <v/>
      </c>
      <c r="AF88" s="0" t="n">
        <v>30</v>
      </c>
    </row>
    <row r="89" ht="15.75" customHeight="1" s="51">
      <c r="A89" s="26" t="n">
        <v>76</v>
      </c>
      <c r="B89" s="32" t="inlineStr">
        <is>
          <t>Hephaestus</t>
        </is>
      </c>
      <c r="C89" s="26" t="inlineStr">
        <is>
          <t>Smartphones &amp; Tablets</t>
        </is>
      </c>
      <c r="D89" s="26" t="inlineStr">
        <is>
          <t>Hephaestus Mobile; HEPHAESTUS; Hpehaestus; Heephaestus</t>
        </is>
      </c>
      <c r="E89" s="26" t="inlineStr">
        <is>
          <t>1 year limited</t>
        </is>
      </c>
      <c r="F89" s="26" t="inlineStr">
        <is>
          <t>ISO 9001, ISO/IEC 27001, ISO 14001</t>
        </is>
      </c>
      <c r="G89" s="26" t="inlineStr">
        <is>
          <t>everyday, reading, note-taking, school</t>
        </is>
      </c>
      <c r="H89" s="26" t="inlineStr">
        <is>
          <t>Smartphone, Tablet</t>
        </is>
      </c>
      <c r="I89" s="26" t="inlineStr">
        <is>
          <t>Hephaestus Crest X Budget Smartphone</t>
        </is>
      </c>
      <c r="J89" s="28" t="n">
        <v>175.99</v>
      </c>
      <c r="K89" s="26" t="inlineStr">
        <is>
          <t>Hephaestus Flux 8" Mini Tablet</t>
        </is>
      </c>
      <c r="L89" s="28" t="n">
        <v>406.99</v>
      </c>
      <c r="M89" s="26" t="inlineStr">
        <is>
          <t>Hephaestus Onyx Max E-Ink Note Tablet</t>
        </is>
      </c>
      <c r="N89" s="28" t="n">
        <v>432.99</v>
      </c>
      <c r="O89" s="26" t="inlineStr">
        <is>
          <t>Hephaestus Titan Air Rugged Smartphone</t>
        </is>
      </c>
      <c r="P89" s="28" t="n">
        <v>583.99</v>
      </c>
      <c r="Q89" s="26" t="inlineStr">
        <is>
          <t>Hephaestus Vertex Ultra Compact Smartphone</t>
        </is>
      </c>
      <c r="R89" s="28" t="n">
        <v>593.99</v>
      </c>
      <c r="S89" s="26" t="inlineStr">
        <is>
          <t>Hephaestus Zen SE 11" Tablet</t>
        </is>
      </c>
      <c r="T89" s="28" t="n">
        <v>729.99</v>
      </c>
      <c r="U89" s="26" t="inlineStr">
        <is>
          <t>Hephaestus Flux Drawing Tablet with Stylus</t>
        </is>
      </c>
      <c r="V89" s="28" t="n">
        <v>767.99</v>
      </c>
      <c r="W89" s="26" t="inlineStr">
        <is>
          <t>Hephaestus Volt Air Flip Foldable Phone</t>
        </is>
      </c>
      <c r="X89" s="28" t="n">
        <v>843.99</v>
      </c>
      <c r="Y89" s="26" t="inlineStr">
        <is>
          <t>Hephaestus Prism Ultra Pro Max Smartphone</t>
        </is>
      </c>
      <c r="Z89" s="28" t="n">
        <v>1100.99</v>
      </c>
      <c r="AA89" s="26" t="inlineStr">
        <is>
          <t>Hephaestus Vibe Foldable Phone</t>
        </is>
      </c>
      <c r="AB89" s="28" t="n">
        <v>1402.99</v>
      </c>
      <c r="AC89" s="37">
        <f>MIN(J89,L89,N89,P89,R89,T89,V89,X89,Z89,AB89)</f>
        <v/>
      </c>
      <c r="AD89" s="37">
        <f>MAX(J89,L89,N89,P89,R89,T89,V89,X89,Z89,AB89)</f>
        <v/>
      </c>
      <c r="AE89" s="37">
        <f>AVERAGE(J89,L89,N89,P89,R89,T89,V89,X89,Z89,AB89)</f>
        <v/>
      </c>
      <c r="AF89" s="0" t="n">
        <v>30</v>
      </c>
    </row>
    <row r="90" ht="15.75" customHeight="1" s="51">
      <c r="A90" s="26" t="n">
        <v>77</v>
      </c>
      <c r="B90" s="32" t="inlineStr">
        <is>
          <t>Leto</t>
        </is>
      </c>
      <c r="C90" s="26" t="inlineStr">
        <is>
          <t>Smartphones &amp; Tablets</t>
        </is>
      </c>
      <c r="D90" s="26" t="inlineStr">
        <is>
          <t>Leto Mobile; LETO; Lteo; Let</t>
        </is>
      </c>
      <c r="E90" s="26" t="inlineStr">
        <is>
          <t>1 year limited</t>
        </is>
      </c>
      <c r="F90" s="26" t="inlineStr">
        <is>
          <t>ISO 9001, RoHS Compliant, ISO 45001</t>
        </is>
      </c>
      <c r="G90" s="26" t="inlineStr">
        <is>
          <t>everyday, reading, drawing, note-taking</t>
        </is>
      </c>
      <c r="H90" s="26" t="inlineStr">
        <is>
          <t>Smartphone, Tablet</t>
        </is>
      </c>
      <c r="I90" s="26" t="inlineStr">
        <is>
          <t>Leto Crest Pro Kids Tablet</t>
        </is>
      </c>
      <c r="J90" s="28" t="n">
        <v>154.99</v>
      </c>
      <c r="K90" s="26" t="inlineStr">
        <is>
          <t>Leto Core Pro Budget Smartphone</t>
        </is>
      </c>
      <c r="L90" s="28" t="n">
        <v>312.99</v>
      </c>
      <c r="M90" s="26" t="inlineStr">
        <is>
          <t>Leto Flux Lite 8" Mini Tablet</t>
        </is>
      </c>
      <c r="N90" s="28" t="n">
        <v>432.99</v>
      </c>
      <c r="O90" s="26" t="inlineStr">
        <is>
          <t>Leto Spark Lite Rugged Smartphone</t>
        </is>
      </c>
      <c r="P90" s="28" t="n">
        <v>435.99</v>
      </c>
      <c r="Q90" s="26" t="inlineStr">
        <is>
          <t>Leto Wave SE Drawing Tablet with Stylus</t>
        </is>
      </c>
      <c r="R90" s="28" t="n">
        <v>462.99</v>
      </c>
      <c r="S90" s="26" t="inlineStr">
        <is>
          <t>Leto Drift Ultra E-Ink Note Tablet</t>
        </is>
      </c>
      <c r="T90" s="28" t="n">
        <v>617.99</v>
      </c>
      <c r="U90" s="26" t="inlineStr">
        <is>
          <t>Leto Nimbus Lite Flagship Smartphone</t>
        </is>
      </c>
      <c r="V90" s="28" t="n">
        <v>1148.99</v>
      </c>
      <c r="W90" s="26" t="inlineStr">
        <is>
          <t>Leto Vertex Max Pro Max Smartphone</t>
        </is>
      </c>
      <c r="X90" s="28" t="n">
        <v>1239.99</v>
      </c>
      <c r="Y90" s="26" t="inlineStr">
        <is>
          <t>Leto Core Max Foldable Phone</t>
        </is>
      </c>
      <c r="Z90" s="28" t="n">
        <v>1440.99</v>
      </c>
      <c r="AA90" s="26" t="inlineStr">
        <is>
          <t>Leto Sable 13" Pro Tablet</t>
        </is>
      </c>
      <c r="AB90" s="28" t="n">
        <v>1493.99</v>
      </c>
      <c r="AC90" s="37">
        <f>MIN(J90,L90,N90,P90,R90,T90,V90,X90,Z90,AB90)</f>
        <v/>
      </c>
      <c r="AD90" s="37">
        <f>MAX(J90,L90,N90,P90,R90,T90,V90,X90,Z90,AB90)</f>
        <v/>
      </c>
      <c r="AE90" s="37">
        <f>AVERAGE(J90,L90,N90,P90,R90,T90,V90,X90,Z90,AB90)</f>
        <v/>
      </c>
      <c r="AF90" s="0" t="n">
        <v>15</v>
      </c>
    </row>
    <row r="91" ht="15.75" customHeight="1" s="51">
      <c r="A91" s="26" t="n">
        <v>78</v>
      </c>
      <c r="B91" s="32" t="inlineStr">
        <is>
          <t>Comus</t>
        </is>
      </c>
      <c r="C91" s="26" t="inlineStr">
        <is>
          <t>Smartphones &amp; Tablets</t>
        </is>
      </c>
      <c r="D91" s="26" t="inlineStr">
        <is>
          <t>Comus Mobile; COMUS; Komus; Comuus</t>
        </is>
      </c>
      <c r="E91" s="26" t="inlineStr">
        <is>
          <t>1 year limited</t>
        </is>
      </c>
      <c r="F91" s="26" t="inlineStr">
        <is>
          <t>ISO 9001, WEEE Registered, RoHS Compliant</t>
        </is>
      </c>
      <c r="G91" s="26" t="inlineStr">
        <is>
          <t>everyday, business, drawing, kids</t>
        </is>
      </c>
      <c r="H91" s="26" t="inlineStr">
        <is>
          <t>Smartphone, Tablet</t>
        </is>
      </c>
      <c r="I91" s="26" t="inlineStr">
        <is>
          <t>Comus Sable Pro Kids Tablet</t>
        </is>
      </c>
      <c r="J91" s="28" t="n">
        <v>151.99</v>
      </c>
      <c r="K91" s="26" t="inlineStr">
        <is>
          <t>Comus Nimbus Max Budget Smartphone</t>
        </is>
      </c>
      <c r="L91" s="28" t="n">
        <v>294.99</v>
      </c>
      <c r="M91" s="26" t="inlineStr">
        <is>
          <t>Comus Zen Max 8" Mini Tablet</t>
        </is>
      </c>
      <c r="N91" s="28" t="n">
        <v>401.99</v>
      </c>
      <c r="O91" s="26" t="inlineStr">
        <is>
          <t>Comus Axis Pro Rugged Smartphone</t>
        </is>
      </c>
      <c r="P91" s="28" t="n">
        <v>606.99</v>
      </c>
      <c r="Q91" s="26" t="inlineStr">
        <is>
          <t>Comus Volt Compact Smartphone</t>
        </is>
      </c>
      <c r="R91" s="28" t="n">
        <v>699.99</v>
      </c>
      <c r="S91" s="26" t="inlineStr">
        <is>
          <t>Comus Prism Plus Flagship Smartphone</t>
        </is>
      </c>
      <c r="T91" s="28" t="n">
        <v>867.99</v>
      </c>
      <c r="U91" s="26" t="inlineStr">
        <is>
          <t>Comus Zen Lite Flip Foldable Phone</t>
        </is>
      </c>
      <c r="V91" s="28" t="n">
        <v>1043.99</v>
      </c>
      <c r="W91" s="26" t="inlineStr">
        <is>
          <t>Comus Axis Ultra Drawing Tablet with Stylus</t>
        </is>
      </c>
      <c r="X91" s="28" t="n">
        <v>1150.99</v>
      </c>
      <c r="Y91" s="26" t="inlineStr">
        <is>
          <t>Comus Halo X 13" Pro Tablet</t>
        </is>
      </c>
      <c r="Z91" s="28" t="n">
        <v>1575.99</v>
      </c>
      <c r="AA91" s="26" t="inlineStr">
        <is>
          <t>Comus Aria X Foldable Phone</t>
        </is>
      </c>
      <c r="AB91" s="28" t="n">
        <v>2133.99</v>
      </c>
      <c r="AC91" s="37">
        <f>MIN(J91,L91,N91,P91,R91,T91,V91,X91,Z91,AB91)</f>
        <v/>
      </c>
      <c r="AD91" s="37">
        <f>MAX(J91,L91,N91,P91,R91,T91,V91,X91,Z91,AB91)</f>
        <v/>
      </c>
      <c r="AE91" s="37">
        <f>AVERAGE(J91,L91,N91,P91,R91,T91,V91,X91,Z91,AB91)</f>
        <v/>
      </c>
      <c r="AF91" s="0" t="n">
        <v>15</v>
      </c>
    </row>
    <row r="92" ht="15.75" customHeight="1" s="51">
      <c r="A92" s="26" t="n">
        <v>79</v>
      </c>
      <c r="B92" s="32" t="inlineStr">
        <is>
          <t>Aglaea</t>
        </is>
      </c>
      <c r="C92" s="26" t="inlineStr">
        <is>
          <t>Smartphones &amp; Tablets</t>
        </is>
      </c>
      <c r="D92" s="26" t="inlineStr">
        <is>
          <t>Aglaea Mobile; AGLAEA; Aglea; Aglaeaa</t>
        </is>
      </c>
      <c r="E92" s="26" t="inlineStr">
        <is>
          <t>1 year limited</t>
        </is>
      </c>
      <c r="F92" s="26" t="inlineStr">
        <is>
          <t>ISO 9001, RoHS Compliant, ISO/IEC 27001</t>
        </is>
      </c>
      <c r="G92" s="26" t="inlineStr">
        <is>
          <t>reading, everyday, school, streaming</t>
        </is>
      </c>
      <c r="H92" s="26" t="inlineStr">
        <is>
          <t>Smartphone, Tablet</t>
        </is>
      </c>
      <c r="I92" s="26" t="inlineStr">
        <is>
          <t>Aglaea Prism Pro Kids Tablet</t>
        </is>
      </c>
      <c r="J92" s="28" t="n">
        <v>159.99</v>
      </c>
      <c r="K92" s="26" t="inlineStr">
        <is>
          <t>Aglaea Aeon X 11" Tablet</t>
        </is>
      </c>
      <c r="L92" s="28" t="n">
        <v>365.99</v>
      </c>
      <c r="M92" s="26" t="inlineStr">
        <is>
          <t>Aglaea Lumen SE Budget Smartphone</t>
        </is>
      </c>
      <c r="N92" s="28" t="n">
        <v>373.99</v>
      </c>
      <c r="O92" s="26" t="inlineStr">
        <is>
          <t>Aglaea Echo Plus E-Ink Note Tablet</t>
        </is>
      </c>
      <c r="P92" s="28" t="n">
        <v>526.99</v>
      </c>
      <c r="Q92" s="26" t="inlineStr">
        <is>
          <t>Aglaea Quanta Air 8" Mini Tablet</t>
        </is>
      </c>
      <c r="R92" s="28" t="n">
        <v>557.99</v>
      </c>
      <c r="S92" s="26" t="inlineStr">
        <is>
          <t>Aglaea Apex Lite 5G Tablet</t>
        </is>
      </c>
      <c r="T92" s="28" t="n">
        <v>756.99</v>
      </c>
      <c r="U92" s="26" t="inlineStr">
        <is>
          <t>Aglaea Spark Lite Compact Smartphone</t>
        </is>
      </c>
      <c r="V92" s="28" t="n">
        <v>842.99</v>
      </c>
      <c r="W92" s="26" t="inlineStr">
        <is>
          <t>Aglaea Orbit SE Drawing Tablet with Stylus</t>
        </is>
      </c>
      <c r="X92" s="28" t="n">
        <v>945.99</v>
      </c>
      <c r="Y92" s="26" t="inlineStr">
        <is>
          <t>Aglaea Vertex SE Flagship Smartphone</t>
        </is>
      </c>
      <c r="Z92" s="28" t="n">
        <v>1164.99</v>
      </c>
      <c r="AA92" s="26" t="inlineStr">
        <is>
          <t>Aglaea Strata SE 13" Pro Tablet</t>
        </is>
      </c>
      <c r="AB92" s="28" t="n">
        <v>1836.99</v>
      </c>
      <c r="AC92" s="37">
        <f>MIN(J92,L92,N92,P92,R92,T92,V92,X92,Z92,AB92)</f>
        <v/>
      </c>
      <c r="AD92" s="37">
        <f>MAX(J92,L92,N92,P92,R92,T92,V92,X92,Z92,AB92)</f>
        <v/>
      </c>
      <c r="AE92" s="37">
        <f>AVERAGE(J92,L92,N92,P92,R92,T92,V92,X92,Z92,AB92)</f>
        <v/>
      </c>
      <c r="AF92" s="0" t="n">
        <v>30</v>
      </c>
    </row>
    <row r="93" ht="15.75" customHeight="1" s="51">
      <c r="A93" s="26" t="n">
        <v>80</v>
      </c>
      <c r="B93" s="32" t="inlineStr">
        <is>
          <t>Aether</t>
        </is>
      </c>
      <c r="C93" s="26" t="inlineStr">
        <is>
          <t>Smartphones &amp; Tablets</t>
        </is>
      </c>
      <c r="D93" s="26" t="inlineStr">
        <is>
          <t>Aether Mobile; AETHER; Aetehr; Aethher</t>
        </is>
      </c>
      <c r="E93" s="26" t="inlineStr">
        <is>
          <t>1 year limited</t>
        </is>
      </c>
      <c r="F93" s="26" t="inlineStr">
        <is>
          <t>ISO 9001, WEEE Registered, ISO 14001</t>
        </is>
      </c>
      <c r="G93" s="26" t="inlineStr">
        <is>
          <t>everyday, drawing, photography, business</t>
        </is>
      </c>
      <c r="H93" s="26" t="inlineStr">
        <is>
          <t>Smartphone, Tablet</t>
        </is>
      </c>
      <c r="I93" s="26" t="inlineStr">
        <is>
          <t>Aether Zen SE Kids Tablet</t>
        </is>
      </c>
      <c r="J93" s="28" t="n">
        <v>174.99</v>
      </c>
      <c r="K93" s="26" t="inlineStr">
        <is>
          <t>Aether Titan X Budget Smartphone</t>
        </is>
      </c>
      <c r="L93" s="28" t="n">
        <v>393.99</v>
      </c>
      <c r="M93" s="26" t="inlineStr">
        <is>
          <t>Aether Drift SE 8" Mini Tablet</t>
        </is>
      </c>
      <c r="N93" s="28" t="n">
        <v>486.99</v>
      </c>
      <c r="O93" s="26" t="inlineStr">
        <is>
          <t>Aether Arc Air Drawing Tablet with Stylus</t>
        </is>
      </c>
      <c r="P93" s="28" t="n">
        <v>662.99</v>
      </c>
      <c r="Q93" s="26" t="inlineStr">
        <is>
          <t>Aether Volt SE Compact Smartphone</t>
        </is>
      </c>
      <c r="R93" s="28" t="n">
        <v>726.99</v>
      </c>
      <c r="S93" s="26" t="inlineStr">
        <is>
          <t>Aether Pulse Ultra Flagship Smartphone</t>
        </is>
      </c>
      <c r="T93" s="28" t="n">
        <v>974.99</v>
      </c>
      <c r="U93" s="26" t="inlineStr">
        <is>
          <t>Aether Lumen Pro Flip Foldable Phone</t>
        </is>
      </c>
      <c r="V93" s="28" t="n">
        <v>1150.99</v>
      </c>
      <c r="W93" s="26" t="inlineStr">
        <is>
          <t>Aether Pulse Pro Max Smartphone</t>
        </is>
      </c>
      <c r="X93" s="28" t="n">
        <v>1152.99</v>
      </c>
      <c r="Y93" s="26" t="inlineStr">
        <is>
          <t>Aether Onyx X 13" Pro Tablet</t>
        </is>
      </c>
      <c r="Z93" s="28" t="n">
        <v>1472.99</v>
      </c>
      <c r="AA93" s="26" t="inlineStr">
        <is>
          <t>Aether Orbit Lite Foldable Phone</t>
        </is>
      </c>
      <c r="AB93" s="28" t="n">
        <v>2005.99</v>
      </c>
      <c r="AC93" s="37">
        <f>MIN(J93,L93,N93,P93,R93,T93,V93,X93,Z93,AB93)</f>
        <v/>
      </c>
      <c r="AD93" s="37">
        <f>MAX(J93,L93,N93,P93,R93,T93,V93,X93,Z93,AB93)</f>
        <v/>
      </c>
      <c r="AE93" s="37">
        <f>AVERAGE(J93,L93,N93,P93,R93,T93,V93,X93,Z93,AB93)</f>
        <v/>
      </c>
      <c r="AF93" s="0" t="n">
        <v>30</v>
      </c>
    </row>
    <row r="94" ht="15.75" customHeight="1" s="51">
      <c r="A94" s="26" t="n">
        <v>81</v>
      </c>
      <c r="B94" s="32" t="inlineStr">
        <is>
          <t>Theia</t>
        </is>
      </c>
      <c r="C94" s="26" t="inlineStr">
        <is>
          <t>Smartphones &amp; Tablets</t>
        </is>
      </c>
      <c r="D94" s="26" t="inlineStr">
        <is>
          <t>Theia Mobile; THEIA; Teia; Thheia</t>
        </is>
      </c>
      <c r="E94" s="26" t="inlineStr">
        <is>
          <t>1 year limited</t>
        </is>
      </c>
      <c r="F94" s="26" t="inlineStr">
        <is>
          <t>ISO 9001, WEEE Registered, ISO/IEC 27001</t>
        </is>
      </c>
      <c r="G94" s="26" t="inlineStr">
        <is>
          <t>everyday, drawing, kids, learning</t>
        </is>
      </c>
      <c r="H94" s="26" t="inlineStr">
        <is>
          <t>Smartphone, Tablet</t>
        </is>
      </c>
      <c r="I94" s="26" t="inlineStr">
        <is>
          <t>Theia Sable Kids Tablet</t>
        </is>
      </c>
      <c r="J94" s="28" t="n">
        <v>83.98999999999999</v>
      </c>
      <c r="K94" s="26" t="inlineStr">
        <is>
          <t>Theia Titan SE Budget Smartphone</t>
        </is>
      </c>
      <c r="L94" s="28" t="n">
        <v>297.99</v>
      </c>
      <c r="M94" s="26" t="inlineStr">
        <is>
          <t>Theia Aeon Ultra Rugged Smartphone</t>
        </is>
      </c>
      <c r="N94" s="28" t="n">
        <v>347.99</v>
      </c>
      <c r="O94" s="26" t="inlineStr">
        <is>
          <t>Theia Strata Plus Compact Smartphone</t>
        </is>
      </c>
      <c r="P94" s="28" t="n">
        <v>509.99</v>
      </c>
      <c r="Q94" s="26" t="inlineStr">
        <is>
          <t>Theia Titan Lite Drawing Tablet with Stylus</t>
        </is>
      </c>
      <c r="R94" s="28" t="n">
        <v>576.99</v>
      </c>
      <c r="S94" s="26" t="inlineStr">
        <is>
          <t>Theia Nova Max 5G Tablet</t>
        </is>
      </c>
      <c r="T94" s="28" t="n">
        <v>824.99</v>
      </c>
      <c r="U94" s="26" t="inlineStr">
        <is>
          <t>Theia Flux Lite Flip Foldable Phone</t>
        </is>
      </c>
      <c r="V94" s="28" t="n">
        <v>1129.99</v>
      </c>
      <c r="W94" s="26" t="inlineStr">
        <is>
          <t>Theia Halo Air Pro Max Smartphone</t>
        </is>
      </c>
      <c r="X94" s="28" t="n">
        <v>1499.99</v>
      </c>
      <c r="Y94" s="26" t="inlineStr">
        <is>
          <t>Theia Arc Air 13" Pro Tablet</t>
        </is>
      </c>
      <c r="Z94" s="28" t="n">
        <v>1756.99</v>
      </c>
      <c r="AA94" s="26" t="inlineStr">
        <is>
          <t>Theia Volt Ultra Foldable Phone</t>
        </is>
      </c>
      <c r="AB94" s="28" t="n">
        <v>1792.99</v>
      </c>
      <c r="AC94" s="37">
        <f>MIN(J94,L94,N94,P94,R94,T94,V94,X94,Z94,AB94)</f>
        <v/>
      </c>
      <c r="AD94" s="37">
        <f>MAX(J94,L94,N94,P94,R94,T94,V94,X94,Z94,AB94)</f>
        <v/>
      </c>
      <c r="AE94" s="37">
        <f>AVERAGE(J94,L94,N94,P94,R94,T94,V94,X94,Z94,AB94)</f>
        <v/>
      </c>
      <c r="AF94" s="0" t="n">
        <v>30</v>
      </c>
    </row>
    <row r="95" ht="15.75" customHeight="1" s="51">
      <c r="A95" s="26" t="n">
        <v>82</v>
      </c>
      <c r="B95" s="32" t="inlineStr">
        <is>
          <t>Alpheus</t>
        </is>
      </c>
      <c r="C95" s="26" t="inlineStr">
        <is>
          <t>Smartphones &amp; Tablets</t>
        </is>
      </c>
      <c r="D95" s="26" t="inlineStr">
        <is>
          <t>Alpheus Mobile; ALPHEUS; Alfeus; Alpheu</t>
        </is>
      </c>
      <c r="E95" s="26" t="inlineStr">
        <is>
          <t>1 year limited</t>
        </is>
      </c>
      <c r="F95" s="26" t="inlineStr">
        <is>
          <t>ISO 9001, WEEE Registered, ISO 14001</t>
        </is>
      </c>
      <c r="G95" s="26" t="inlineStr">
        <is>
          <t>reading, everyday, note-taking, school</t>
        </is>
      </c>
      <c r="H95" s="26" t="inlineStr">
        <is>
          <t>Smartphone, Tablet</t>
        </is>
      </c>
      <c r="I95" s="26" t="inlineStr">
        <is>
          <t>Alpheus Onyx Kids Tablet</t>
        </is>
      </c>
      <c r="J95" s="28" t="n">
        <v>113.99</v>
      </c>
      <c r="K95" s="26" t="inlineStr">
        <is>
          <t>Alpheus Volt Plus 8" Mini Tablet</t>
        </is>
      </c>
      <c r="L95" s="28" t="n">
        <v>293.99</v>
      </c>
      <c r="M95" s="26" t="inlineStr">
        <is>
          <t>Alpheus Nimbus Budget Smartphone</t>
        </is>
      </c>
      <c r="N95" s="28" t="n">
        <v>347.99</v>
      </c>
      <c r="O95" s="26" t="inlineStr">
        <is>
          <t>Alpheus Apex Ultra E-Ink Note Tablet</t>
        </is>
      </c>
      <c r="P95" s="28" t="n">
        <v>382.99</v>
      </c>
      <c r="Q95" s="26" t="inlineStr">
        <is>
          <t>Alpheus Aeon Drawing Tablet with Stylus</t>
        </is>
      </c>
      <c r="R95" s="28" t="n">
        <v>599.99</v>
      </c>
      <c r="S95" s="26" t="inlineStr">
        <is>
          <t>Alpheus Halo Pro Rugged Smartphone</t>
        </is>
      </c>
      <c r="T95" s="28" t="n">
        <v>658.99</v>
      </c>
      <c r="U95" s="26" t="inlineStr">
        <is>
          <t>Alpheus Halo Ultra 11" Tablet</t>
        </is>
      </c>
      <c r="V95" s="28" t="n">
        <v>780.99</v>
      </c>
      <c r="W95" s="26" t="inlineStr">
        <is>
          <t>Alpheus Flux Air Compact Smartphone</t>
        </is>
      </c>
      <c r="X95" s="28" t="n">
        <v>793.99</v>
      </c>
      <c r="Y95" s="26" t="inlineStr">
        <is>
          <t>Alpheus Drift Plus Flagship Smartphone</t>
        </is>
      </c>
      <c r="Z95" s="28" t="n">
        <v>1068.99</v>
      </c>
      <c r="AA95" s="26" t="inlineStr">
        <is>
          <t>Alpheus Nimbus X Foldable Phone</t>
        </is>
      </c>
      <c r="AB95" s="28" t="n">
        <v>1909.99</v>
      </c>
      <c r="AC95" s="37">
        <f>MIN(J95,L95,N95,P95,R95,T95,V95,X95,Z95,AB95)</f>
        <v/>
      </c>
      <c r="AD95" s="37">
        <f>MAX(J95,L95,N95,P95,R95,T95,V95,X95,Z95,AB95)</f>
        <v/>
      </c>
      <c r="AE95" s="37">
        <f>AVERAGE(J95,L95,N95,P95,R95,T95,V95,X95,Z95,AB95)</f>
        <v/>
      </c>
      <c r="AF95" s="0" t="n">
        <v>45</v>
      </c>
    </row>
    <row r="96" ht="15.75" customHeight="1" s="51">
      <c r="A96" s="26" t="n">
        <v>83</v>
      </c>
      <c r="B96" s="32" t="inlineStr">
        <is>
          <t>Peitho</t>
        </is>
      </c>
      <c r="C96" s="26" t="inlineStr">
        <is>
          <t>Smartphones &amp; Tablets</t>
        </is>
      </c>
      <c r="D96" s="26" t="inlineStr">
        <is>
          <t>Peitho Mobile; PEITHO; Peittho; Peito</t>
        </is>
      </c>
      <c r="E96" s="26" t="inlineStr">
        <is>
          <t>1 year limited</t>
        </is>
      </c>
      <c r="F96" s="26" t="inlineStr">
        <is>
          <t>ISO 9001, WEEE Registered, ISO 45001</t>
        </is>
      </c>
      <c r="G96" s="26" t="inlineStr">
        <is>
          <t>reading, travel, school, streaming</t>
        </is>
      </c>
      <c r="H96" s="26" t="inlineStr">
        <is>
          <t>Smartphone, Tablet</t>
        </is>
      </c>
      <c r="I96" s="26" t="inlineStr">
        <is>
          <t>Peitho Axis Lite Kids Tablet</t>
        </is>
      </c>
      <c r="J96" s="28" t="n">
        <v>125.99</v>
      </c>
      <c r="K96" s="26" t="inlineStr">
        <is>
          <t>Peitho Apex Lite 8" Mini Tablet</t>
        </is>
      </c>
      <c r="L96" s="28" t="n">
        <v>241.99</v>
      </c>
      <c r="M96" s="26" t="inlineStr">
        <is>
          <t>Peitho Drift Air E-Ink Note Tablet</t>
        </is>
      </c>
      <c r="N96" s="28" t="n">
        <v>497.99</v>
      </c>
      <c r="O96" s="26" t="inlineStr">
        <is>
          <t>Peitho Nimbus SE 11" Tablet</t>
        </is>
      </c>
      <c r="P96" s="28" t="n">
        <v>589.99</v>
      </c>
      <c r="Q96" s="26" t="inlineStr">
        <is>
          <t>Peitho Crest X Rugged Smartphone</t>
        </is>
      </c>
      <c r="R96" s="28" t="n">
        <v>768.99</v>
      </c>
      <c r="S96" s="26" t="inlineStr">
        <is>
          <t>Peitho Vibe X Compact Smartphone</t>
        </is>
      </c>
      <c r="T96" s="28" t="n">
        <v>803.99</v>
      </c>
      <c r="U96" s="26" t="inlineStr">
        <is>
          <t>Peitho Vertex Lite 5G Tablet</t>
        </is>
      </c>
      <c r="V96" s="28" t="n">
        <v>890.99</v>
      </c>
      <c r="W96" s="26" t="inlineStr">
        <is>
          <t>Peitho Flux Lite Flip Foldable Phone</t>
        </is>
      </c>
      <c r="X96" s="28" t="n">
        <v>954.99</v>
      </c>
      <c r="Y96" s="26" t="inlineStr">
        <is>
          <t>Peitho Flux Pro Pro Max Smartphone</t>
        </is>
      </c>
      <c r="Z96" s="28" t="n">
        <v>1258.99</v>
      </c>
      <c r="AA96" s="26" t="inlineStr">
        <is>
          <t>Peitho Rift Lite 13" Pro Tablet</t>
        </is>
      </c>
      <c r="AB96" s="28" t="n">
        <v>1708.99</v>
      </c>
      <c r="AC96" s="37">
        <f>MIN(J96,L96,N96,P96,R96,T96,V96,X96,Z96,AB96)</f>
        <v/>
      </c>
      <c r="AD96" s="37">
        <f>MAX(J96,L96,N96,P96,R96,T96,V96,X96,Z96,AB96)</f>
        <v/>
      </c>
      <c r="AE96" s="37">
        <f>AVERAGE(J96,L96,N96,P96,R96,T96,V96,X96,Z96,AB96)</f>
        <v/>
      </c>
      <c r="AF96" s="0" t="n">
        <v>30</v>
      </c>
    </row>
    <row r="97" ht="15.75" customHeight="1" s="51">
      <c r="A97" s="26" t="n">
        <v>84</v>
      </c>
      <c r="B97" s="32" t="inlineStr">
        <is>
          <t>Eupheme</t>
        </is>
      </c>
      <c r="C97" s="26" t="inlineStr">
        <is>
          <t>Smartphones &amp; Tablets</t>
        </is>
      </c>
      <c r="D97" s="26" t="inlineStr">
        <is>
          <t>Eupheme Mobile; EUPHEME; Eupehme; Euphemee</t>
        </is>
      </c>
      <c r="E97" s="26" t="inlineStr">
        <is>
          <t>1 year limited</t>
        </is>
      </c>
      <c r="F97" s="26" t="inlineStr">
        <is>
          <t>ISO 9001, ISO/IEC 27001, RoHS Compliant</t>
        </is>
      </c>
      <c r="G97" s="26" t="inlineStr">
        <is>
          <t>everyday, reading, school, kids</t>
        </is>
      </c>
      <c r="H97" s="26" t="inlineStr">
        <is>
          <t>Smartphone, Tablet</t>
        </is>
      </c>
      <c r="I97" s="26" t="inlineStr">
        <is>
          <t>Eupheme Titan Max Kids Tablet</t>
        </is>
      </c>
      <c r="J97" s="28" t="n">
        <v>106.99</v>
      </c>
      <c r="K97" s="26" t="inlineStr">
        <is>
          <t>Eupheme Echo Max Budget Smartphone</t>
        </is>
      </c>
      <c r="L97" s="28" t="n">
        <v>277.99</v>
      </c>
      <c r="M97" s="26" t="inlineStr">
        <is>
          <t>Eupheme Axis Ultra 8" Mini Tablet</t>
        </is>
      </c>
      <c r="N97" s="28" t="n">
        <v>410.99</v>
      </c>
      <c r="O97" s="26" t="inlineStr">
        <is>
          <t>Eupheme Aria SE 11" Tablet</t>
        </is>
      </c>
      <c r="P97" s="28" t="n">
        <v>427.99</v>
      </c>
      <c r="Q97" s="26" t="inlineStr">
        <is>
          <t>Eupheme Apex Ultra E-Ink Note Tablet</t>
        </is>
      </c>
      <c r="R97" s="28" t="n">
        <v>457.99</v>
      </c>
      <c r="S97" s="26" t="inlineStr">
        <is>
          <t>Eupheme Spark Lite Compact Smartphone</t>
        </is>
      </c>
      <c r="T97" s="28" t="n">
        <v>502.99</v>
      </c>
      <c r="U97" s="26" t="inlineStr">
        <is>
          <t>Eupheme Pulse Pro Rugged Smartphone</t>
        </is>
      </c>
      <c r="V97" s="28" t="n">
        <v>587.99</v>
      </c>
      <c r="W97" s="26" t="inlineStr">
        <is>
          <t>Eupheme Wave Flip Foldable Phone</t>
        </is>
      </c>
      <c r="X97" s="28" t="n">
        <v>1048.99</v>
      </c>
      <c r="Y97" s="26" t="inlineStr">
        <is>
          <t>Eupheme Strata Plus 13" Pro Tablet</t>
        </is>
      </c>
      <c r="Z97" s="28" t="n">
        <v>1052.99</v>
      </c>
      <c r="AA97" s="26" t="inlineStr">
        <is>
          <t>Eupheme Orbit Ultra Foldable Phone</t>
        </is>
      </c>
      <c r="AB97" s="28" t="n">
        <v>1873.99</v>
      </c>
      <c r="AC97" s="37">
        <f>MIN(J97,L97,N97,P97,R97,T97,V97,X97,Z97,AB97)</f>
        <v/>
      </c>
      <c r="AD97" s="37">
        <f>MAX(J97,L97,N97,P97,R97,T97,V97,X97,Z97,AB97)</f>
        <v/>
      </c>
      <c r="AE97" s="37">
        <f>AVERAGE(J97,L97,N97,P97,R97,T97,V97,X97,Z97,AB97)</f>
        <v/>
      </c>
      <c r="AF97" s="0" t="n">
        <v>60</v>
      </c>
    </row>
    <row r="98" ht="15.75" customHeight="1" s="51">
      <c r="A98" s="26" t="n">
        <v>85</v>
      </c>
      <c r="B98" s="32" t="inlineStr">
        <is>
          <t>Erato</t>
        </is>
      </c>
      <c r="C98" s="26" t="inlineStr">
        <is>
          <t>Smartphones &amp; Tablets</t>
        </is>
      </c>
      <c r="D98" s="26" t="inlineStr">
        <is>
          <t>Erato Mobile; ERATO; Earto; Eratoo</t>
        </is>
      </c>
      <c r="E98" s="26" t="inlineStr">
        <is>
          <t>1 year limited</t>
        </is>
      </c>
      <c r="F98" s="26" t="inlineStr">
        <is>
          <t>ISO 9001, ISO 45001, ISO/IEC 27001</t>
        </is>
      </c>
      <c r="G98" s="26" t="inlineStr">
        <is>
          <t>reading, travel, drawing, note-taking</t>
        </is>
      </c>
      <c r="H98" s="26" t="inlineStr">
        <is>
          <t>Smartphone, Tablet</t>
        </is>
      </c>
      <c r="I98" s="26" t="inlineStr">
        <is>
          <t>Erato Halo SE 8" Mini Tablet</t>
        </is>
      </c>
      <c r="J98" s="28" t="n">
        <v>477.99</v>
      </c>
      <c r="K98" s="26" t="inlineStr">
        <is>
          <t>Erato Blaze Pro Drawing Tablet with Stylus</t>
        </is>
      </c>
      <c r="L98" s="28" t="n">
        <v>502.99</v>
      </c>
      <c r="M98" s="26" t="inlineStr">
        <is>
          <t>Erato Aria E-Ink Note Tablet</t>
        </is>
      </c>
      <c r="N98" s="28" t="n">
        <v>525.99</v>
      </c>
      <c r="O98" s="26" t="inlineStr">
        <is>
          <t>Erato Blaze Ultra 11" Tablet</t>
        </is>
      </c>
      <c r="P98" s="28" t="n">
        <v>717.99</v>
      </c>
      <c r="Q98" s="26" t="inlineStr">
        <is>
          <t>Erato Halo X 5G Tablet</t>
        </is>
      </c>
      <c r="R98" s="28" t="n">
        <v>740.99</v>
      </c>
      <c r="S98" s="26" t="inlineStr">
        <is>
          <t>Erato Titan Plus Compact Smartphone</t>
        </is>
      </c>
      <c r="T98" s="28" t="n">
        <v>894.99</v>
      </c>
      <c r="U98" s="26" t="inlineStr">
        <is>
          <t>Erato Strata Flagship Smartphone</t>
        </is>
      </c>
      <c r="V98" s="28" t="n">
        <v>1022.99</v>
      </c>
      <c r="W98" s="26" t="inlineStr">
        <is>
          <t>Erato Strata 13" Pro Tablet</t>
        </is>
      </c>
      <c r="X98" s="28" t="n">
        <v>1302.99</v>
      </c>
      <c r="Y98" s="26" t="inlineStr">
        <is>
          <t>Erato Core Plus Pro Max Smartphone</t>
        </is>
      </c>
      <c r="Z98" s="28" t="n">
        <v>1328.99</v>
      </c>
      <c r="AA98" s="26" t="inlineStr">
        <is>
          <t>Erato Aria Foldable Phone</t>
        </is>
      </c>
      <c r="AB98" s="28" t="n">
        <v>2180.99</v>
      </c>
      <c r="AC98" s="37">
        <f>MIN(J98,L98,N98,P98,R98,T98,V98,X98,Z98,AB98)</f>
        <v/>
      </c>
      <c r="AD98" s="37">
        <f>MAX(J98,L98,N98,P98,R98,T98,V98,X98,Z98,AB98)</f>
        <v/>
      </c>
      <c r="AE98" s="37">
        <f>AVERAGE(J98,L98,N98,P98,R98,T98,V98,X98,Z98,AB98)</f>
        <v/>
      </c>
      <c r="AF98" s="0" t="n">
        <v>30</v>
      </c>
    </row>
    <row r="99" ht="15.75" customHeight="1" s="51">
      <c r="A99" s="26" t="n">
        <v>86</v>
      </c>
      <c r="B99" s="32" t="inlineStr">
        <is>
          <t>Lethe</t>
        </is>
      </c>
      <c r="C99" s="26" t="inlineStr">
        <is>
          <t>Smartphones &amp; Tablets</t>
        </is>
      </c>
      <c r="D99" s="26" t="inlineStr">
        <is>
          <t>Lethe Mobile; LETHE; Lethhe; Lete</t>
        </is>
      </c>
      <c r="E99" s="26" t="inlineStr">
        <is>
          <t>1 year limited</t>
        </is>
      </c>
      <c r="F99" s="26" t="inlineStr">
        <is>
          <t>ISO 9001, ISO 14001, RoHS Compliant</t>
        </is>
      </c>
      <c r="G99" s="26" t="inlineStr">
        <is>
          <t>reading, travel, note-taking, everyday</t>
        </is>
      </c>
      <c r="H99" s="26" t="inlineStr">
        <is>
          <t>Smartphone, Tablet</t>
        </is>
      </c>
      <c r="I99" s="26" t="inlineStr">
        <is>
          <t>Lethe Echo Max Kids Tablet</t>
        </is>
      </c>
      <c r="J99" s="28" t="n">
        <v>195.99</v>
      </c>
      <c r="K99" s="26" t="inlineStr">
        <is>
          <t>Lethe Axis Max 8" Mini Tablet</t>
        </is>
      </c>
      <c r="L99" s="28" t="n">
        <v>363.99</v>
      </c>
      <c r="M99" s="26" t="inlineStr">
        <is>
          <t>Lethe Lumen Max Rugged Smartphone</t>
        </is>
      </c>
      <c r="N99" s="28" t="n">
        <v>446.99</v>
      </c>
      <c r="O99" s="26" t="inlineStr">
        <is>
          <t>Lethe Strata Lite E-Ink Note Tablet</t>
        </is>
      </c>
      <c r="P99" s="28" t="n">
        <v>607.99</v>
      </c>
      <c r="Q99" s="26" t="inlineStr">
        <is>
          <t>Lethe Quanta Compact Smartphone</t>
        </is>
      </c>
      <c r="R99" s="28" t="n">
        <v>761.99</v>
      </c>
      <c r="S99" s="26" t="inlineStr">
        <is>
          <t>Lethe Titan Max Flip Foldable Phone</t>
        </is>
      </c>
      <c r="T99" s="28" t="n">
        <v>977.99</v>
      </c>
      <c r="U99" s="26" t="inlineStr">
        <is>
          <t>Lethe Titan Lite 5G Tablet</t>
        </is>
      </c>
      <c r="V99" s="28" t="n">
        <v>1109.99</v>
      </c>
      <c r="W99" s="26" t="inlineStr">
        <is>
          <t>Lethe Onyx SE 13" Pro Tablet</t>
        </is>
      </c>
      <c r="X99" s="28" t="n">
        <v>1136.99</v>
      </c>
      <c r="Y99" s="26" t="inlineStr">
        <is>
          <t>Lethe Echo X Drawing Tablet with Stylus</t>
        </is>
      </c>
      <c r="Z99" s="28" t="n">
        <v>1222.99</v>
      </c>
      <c r="AA99" s="26" t="inlineStr">
        <is>
          <t>Lethe Drift Lite Pro Max Smartphone</t>
        </is>
      </c>
      <c r="AB99" s="28" t="n">
        <v>1541.99</v>
      </c>
      <c r="AC99" s="37">
        <f>MIN(J99,L99,N99,P99,R99,T99,V99,X99,Z99,AB99)</f>
        <v/>
      </c>
      <c r="AD99" s="37">
        <f>MAX(J99,L99,N99,P99,R99,T99,V99,X99,Z99,AB99)</f>
        <v/>
      </c>
      <c r="AE99" s="37">
        <f>AVERAGE(J99,L99,N99,P99,R99,T99,V99,X99,Z99,AB99)</f>
        <v/>
      </c>
      <c r="AF99" s="0" t="n">
        <v>30</v>
      </c>
    </row>
    <row r="100" ht="15.75" customHeight="1" s="51">
      <c r="A100" s="26" t="n">
        <v>87</v>
      </c>
      <c r="B100" s="32" t="inlineStr">
        <is>
          <t>Phorcys</t>
        </is>
      </c>
      <c r="C100" s="26" t="inlineStr">
        <is>
          <t>Smartphones &amp; Tablets</t>
        </is>
      </c>
      <c r="D100" s="26" t="inlineStr">
        <is>
          <t>Phorcys Mobile; PHORCYS; Pohrcys; Phorcyss</t>
        </is>
      </c>
      <c r="E100" s="26" t="inlineStr">
        <is>
          <t>1 year limited</t>
        </is>
      </c>
      <c r="F100" s="26" t="inlineStr">
        <is>
          <t>ISO 9001, ISO 45001, RoHS Compliant</t>
        </is>
      </c>
      <c r="G100" s="26" t="inlineStr">
        <is>
          <t>everyday, reading, note-taking, school</t>
        </is>
      </c>
      <c r="H100" s="26" t="inlineStr">
        <is>
          <t>Smartphone, Tablet</t>
        </is>
      </c>
      <c r="I100" s="26" t="inlineStr">
        <is>
          <t>Phorcys Nimbus Ultra Budget Smartphone</t>
        </is>
      </c>
      <c r="J100" s="28" t="n">
        <v>340.99</v>
      </c>
      <c r="K100" s="26" t="inlineStr">
        <is>
          <t>Phorcys Drift Compact Smartphone</t>
        </is>
      </c>
      <c r="L100" s="28" t="n">
        <v>536.99</v>
      </c>
      <c r="M100" s="26" t="inlineStr">
        <is>
          <t>Phorcys Pulse Rugged Smartphone</t>
        </is>
      </c>
      <c r="N100" s="28" t="n">
        <v>595.99</v>
      </c>
      <c r="O100" s="26" t="inlineStr">
        <is>
          <t>Phorcys Halo Ultra E-Ink Note Tablet</t>
        </is>
      </c>
      <c r="P100" s="28" t="n">
        <v>670.99</v>
      </c>
      <c r="Q100" s="26" t="inlineStr">
        <is>
          <t>Phorcys Aeon Plus 11" Tablet</t>
        </is>
      </c>
      <c r="R100" s="28" t="n">
        <v>702.99</v>
      </c>
      <c r="S100" s="26" t="inlineStr">
        <is>
          <t>Phorcys Orbit Max Drawing Tablet with Stylus</t>
        </is>
      </c>
      <c r="T100" s="28" t="n">
        <v>810.99</v>
      </c>
      <c r="U100" s="26" t="inlineStr">
        <is>
          <t>Phorcys Spark Plus 5G Tablet</t>
        </is>
      </c>
      <c r="V100" s="28" t="n">
        <v>963.99</v>
      </c>
      <c r="W100" s="26" t="inlineStr">
        <is>
          <t>Phorcys Rift Plus Flip Foldable Phone</t>
        </is>
      </c>
      <c r="X100" s="28" t="n">
        <v>1153.99</v>
      </c>
      <c r="Y100" s="26" t="inlineStr">
        <is>
          <t>Phorcys Nova Air Pro Max Smartphone</t>
        </is>
      </c>
      <c r="Z100" s="28" t="n">
        <v>1533.99</v>
      </c>
      <c r="AA100" s="26" t="inlineStr">
        <is>
          <t>Phorcys Halo SE Foldable Phone</t>
        </is>
      </c>
      <c r="AB100" s="28" t="n">
        <v>1705.99</v>
      </c>
      <c r="AC100" s="37">
        <f>MIN(J100,L100,N100,P100,R100,T100,V100,X100,Z100,AB100)</f>
        <v/>
      </c>
      <c r="AD100" s="37">
        <f>MAX(J100,L100,N100,P100,R100,T100,V100,X100,Z100,AB100)</f>
        <v/>
      </c>
      <c r="AE100" s="37">
        <f>AVERAGE(J100,L100,N100,P100,R100,T100,V100,X100,Z100,AB100)</f>
        <v/>
      </c>
      <c r="AF100" s="0" t="n">
        <v>14</v>
      </c>
    </row>
    <row r="101" ht="15.75" customHeight="1" s="51">
      <c r="A101" s="26" t="n">
        <v>88</v>
      </c>
      <c r="B101" s="32" t="inlineStr">
        <is>
          <t>Eurus</t>
        </is>
      </c>
      <c r="C101" s="26" t="inlineStr">
        <is>
          <t>Smartphones &amp; Tablets</t>
        </is>
      </c>
      <c r="D101" s="26" t="inlineStr">
        <is>
          <t>Eurus Mobile; EURUS; Euurs; Euruss</t>
        </is>
      </c>
      <c r="E101" s="26" t="inlineStr">
        <is>
          <t>1 year limited</t>
        </is>
      </c>
      <c r="F101" s="26" t="inlineStr">
        <is>
          <t>ISO 9001, ISO 45001, RoHS Compliant</t>
        </is>
      </c>
      <c r="G101" s="26" t="inlineStr">
        <is>
          <t>reading, everyday, travel, school</t>
        </is>
      </c>
      <c r="H101" s="26" t="inlineStr">
        <is>
          <t>Smartphone, Tablet</t>
        </is>
      </c>
      <c r="I101" s="26" t="inlineStr">
        <is>
          <t>Eurus Nimbus Max 8" Mini Tablet</t>
        </is>
      </c>
      <c r="J101" s="28" t="n">
        <v>224.99</v>
      </c>
      <c r="K101" s="26" t="inlineStr">
        <is>
          <t>Eurus Nova Plus 11" Tablet</t>
        </is>
      </c>
      <c r="L101" s="28" t="n">
        <v>456.99</v>
      </c>
      <c r="M101" s="26" t="inlineStr">
        <is>
          <t>Eurus Halo Lite E-Ink Note Tablet</t>
        </is>
      </c>
      <c r="N101" s="28" t="n">
        <v>467.99</v>
      </c>
      <c r="O101" s="26" t="inlineStr">
        <is>
          <t>Eurus Nova Plus Compact Smartphone</t>
        </is>
      </c>
      <c r="P101" s="28" t="n">
        <v>638.99</v>
      </c>
      <c r="Q101" s="26" t="inlineStr">
        <is>
          <t>Eurus Drift Lite Rugged Smartphone</t>
        </is>
      </c>
      <c r="R101" s="28" t="n">
        <v>760.99</v>
      </c>
      <c r="S101" s="26" t="inlineStr">
        <is>
          <t>Eurus Flux Lite Flip Foldable Phone</t>
        </is>
      </c>
      <c r="T101" s="28" t="n">
        <v>806.99</v>
      </c>
      <c r="U101" s="26" t="inlineStr">
        <is>
          <t>Eurus Aeon 5G Tablet</t>
        </is>
      </c>
      <c r="V101" s="28" t="n">
        <v>949.99</v>
      </c>
      <c r="W101" s="26" t="inlineStr">
        <is>
          <t>Eurus Axis Pro Flagship Smartphone</t>
        </is>
      </c>
      <c r="X101" s="28" t="n">
        <v>1169.99</v>
      </c>
      <c r="Y101" s="26" t="inlineStr">
        <is>
          <t>Eurus Flux Ultra Foldable Phone</t>
        </is>
      </c>
      <c r="Z101" s="28" t="n">
        <v>1345.99</v>
      </c>
      <c r="AA101" s="26" t="inlineStr">
        <is>
          <t>Eurus Prism Lite 13" Pro Tablet</t>
        </is>
      </c>
      <c r="AB101" s="28" t="n">
        <v>1663.99</v>
      </c>
      <c r="AC101" s="37">
        <f>MIN(J101,L101,N101,P101,R101,T101,V101,X101,Z101,AB101)</f>
        <v/>
      </c>
      <c r="AD101" s="37">
        <f>MAX(J101,L101,N101,P101,R101,T101,V101,X101,Z101,AB101)</f>
        <v/>
      </c>
      <c r="AE101" s="37">
        <f>AVERAGE(J101,L101,N101,P101,R101,T101,V101,X101,Z101,AB101)</f>
        <v/>
      </c>
      <c r="AF101" s="0" t="n">
        <v>30</v>
      </c>
    </row>
    <row r="102" ht="15.75" customHeight="1" s="51">
      <c r="A102" s="26" t="n">
        <v>89</v>
      </c>
      <c r="B102" s="32" t="inlineStr">
        <is>
          <t>Aletheia</t>
        </is>
      </c>
      <c r="C102" s="26" t="inlineStr">
        <is>
          <t>Smartphones &amp; Tablets</t>
        </is>
      </c>
      <c r="D102" s="26" t="inlineStr">
        <is>
          <t>Aletheia Mobile; ALETHEIA; Alethei; Aleteia</t>
        </is>
      </c>
      <c r="E102" s="26" t="inlineStr">
        <is>
          <t>1 year limited</t>
        </is>
      </c>
      <c r="F102" s="26" t="inlineStr">
        <is>
          <t>ISO 9001, RoHS Compliant, ISO/IEC 27001</t>
        </is>
      </c>
      <c r="G102" s="26" t="inlineStr">
        <is>
          <t>reading, everyday, school, note-taking</t>
        </is>
      </c>
      <c r="H102" s="26" t="inlineStr">
        <is>
          <t>Smartphone, Tablet</t>
        </is>
      </c>
      <c r="I102" s="26" t="inlineStr">
        <is>
          <t>Aletheia Pulse Plus Kids Tablet</t>
        </is>
      </c>
      <c r="J102" s="28" t="n">
        <v>79.98999999999999</v>
      </c>
      <c r="K102" s="26" t="inlineStr">
        <is>
          <t>Aletheia Blaze Budget Smartphone</t>
        </is>
      </c>
      <c r="L102" s="28" t="n">
        <v>173.99</v>
      </c>
      <c r="M102" s="26" t="inlineStr">
        <is>
          <t>Aletheia Vibe SE 8" Mini Tablet</t>
        </is>
      </c>
      <c r="N102" s="28" t="n">
        <v>351.99</v>
      </c>
      <c r="O102" s="26" t="inlineStr">
        <is>
          <t>Aletheia Zen Plus 11" Tablet</t>
        </is>
      </c>
      <c r="P102" s="28" t="n">
        <v>380.99</v>
      </c>
      <c r="Q102" s="26" t="inlineStr">
        <is>
          <t>Aletheia Orbit Ultra Rugged Smartphone</t>
        </is>
      </c>
      <c r="R102" s="28" t="n">
        <v>413.99</v>
      </c>
      <c r="S102" s="26" t="inlineStr">
        <is>
          <t>Aletheia Aria Lite E-Ink Note Tablet</t>
        </is>
      </c>
      <c r="T102" s="28" t="n">
        <v>644.99</v>
      </c>
      <c r="U102" s="26" t="inlineStr">
        <is>
          <t>Aletheia Arc SE Flagship Smartphone</t>
        </is>
      </c>
      <c r="V102" s="28" t="n">
        <v>834.99</v>
      </c>
      <c r="W102" s="26" t="inlineStr">
        <is>
          <t>Aletheia Vibe Ultra Drawing Tablet with Stylus</t>
        </is>
      </c>
      <c r="X102" s="28" t="n">
        <v>1108.99</v>
      </c>
      <c r="Y102" s="26" t="inlineStr">
        <is>
          <t>Aletheia Flux SE Pro Max Smartphone</t>
        </is>
      </c>
      <c r="Z102" s="28" t="n">
        <v>1516.99</v>
      </c>
      <c r="AA102" s="26" t="inlineStr">
        <is>
          <t>Aletheia Apex Lite Foldable Phone</t>
        </is>
      </c>
      <c r="AB102" s="28" t="n">
        <v>1954.99</v>
      </c>
      <c r="AC102" s="37">
        <f>MIN(J102,L102,N102,P102,R102,T102,V102,X102,Z102,AB102)</f>
        <v/>
      </c>
      <c r="AD102" s="37">
        <f>MAX(J102,L102,N102,P102,R102,T102,V102,X102,Z102,AB102)</f>
        <v/>
      </c>
      <c r="AE102" s="37">
        <f>AVERAGE(J102,L102,N102,P102,R102,T102,V102,X102,Z102,AB102)</f>
        <v/>
      </c>
      <c r="AF102" s="0" t="n">
        <v>60</v>
      </c>
    </row>
    <row r="103" ht="15.75" customHeight="1" s="51">
      <c r="A103" s="26" t="n">
        <v>90</v>
      </c>
      <c r="B103" s="32" t="inlineStr">
        <is>
          <t>Anteros</t>
        </is>
      </c>
      <c r="C103" s="26" t="inlineStr">
        <is>
          <t>Smartphones &amp; Tablets</t>
        </is>
      </c>
      <c r="D103" s="26" t="inlineStr">
        <is>
          <t>Anteros Mobile; ANTEROS; Anteeros; Anetros</t>
        </is>
      </c>
      <c r="E103" s="26" t="inlineStr">
        <is>
          <t>1 year limited</t>
        </is>
      </c>
      <c r="F103" s="26" t="inlineStr">
        <is>
          <t>ISO 9001, ISO/IEC 27001, WEEE Registered</t>
        </is>
      </c>
      <c r="G103" s="26" t="inlineStr">
        <is>
          <t>reading, everyday, travel, note-taking</t>
        </is>
      </c>
      <c r="H103" s="26" t="inlineStr">
        <is>
          <t>Smartphone, Tablet</t>
        </is>
      </c>
      <c r="I103" s="26" t="inlineStr">
        <is>
          <t>Anteros Nova 8" Mini Tablet</t>
        </is>
      </c>
      <c r="J103" s="28" t="n">
        <v>309.99</v>
      </c>
      <c r="K103" s="26" t="inlineStr">
        <is>
          <t>Anteros Drift E-Ink Note Tablet</t>
        </is>
      </c>
      <c r="L103" s="28" t="n">
        <v>389.99</v>
      </c>
      <c r="M103" s="26" t="inlineStr">
        <is>
          <t>Anteros Vertex Plus Compact Smartphone</t>
        </is>
      </c>
      <c r="N103" s="28" t="n">
        <v>677.99</v>
      </c>
      <c r="O103" s="26" t="inlineStr">
        <is>
          <t>Anteros Vibe Pro 11" Tablet</t>
        </is>
      </c>
      <c r="P103" s="28" t="n">
        <v>733.99</v>
      </c>
      <c r="Q103" s="26" t="inlineStr">
        <is>
          <t>Anteros Onyx Flagship Smartphone</t>
        </is>
      </c>
      <c r="R103" s="28" t="n">
        <v>869.99</v>
      </c>
      <c r="S103" s="26" t="inlineStr">
        <is>
          <t>Anteros Titan X Flip Foldable Phone</t>
        </is>
      </c>
      <c r="T103" s="28" t="n">
        <v>925.99</v>
      </c>
      <c r="U103" s="26" t="inlineStr">
        <is>
          <t>Anteros Blaze SE Drawing Tablet with Stylus</t>
        </is>
      </c>
      <c r="V103" s="28" t="n">
        <v>1001.99</v>
      </c>
      <c r="W103" s="26" t="inlineStr">
        <is>
          <t>Anteros Blaze X 5G Tablet</t>
        </is>
      </c>
      <c r="X103" s="28" t="n">
        <v>1112.99</v>
      </c>
      <c r="Y103" s="26" t="inlineStr">
        <is>
          <t>Anteros Blaze Lite Pro Max Smartphone</t>
        </is>
      </c>
      <c r="Z103" s="28" t="n">
        <v>1419.99</v>
      </c>
      <c r="AA103" s="26" t="inlineStr">
        <is>
          <t>Anteros Apex Ultra 13" Pro Tablet</t>
        </is>
      </c>
      <c r="AB103" s="28" t="n">
        <v>1628.99</v>
      </c>
      <c r="AC103" s="37">
        <f>MIN(J103,L103,N103,P103,R103,T103,V103,X103,Z103,AB103)</f>
        <v/>
      </c>
      <c r="AD103" s="37">
        <f>MAX(J103,L103,N103,P103,R103,T103,V103,X103,Z103,AB103)</f>
        <v/>
      </c>
      <c r="AE103" s="37">
        <f>AVERAGE(J103,L103,N103,P103,R103,T103,V103,X103,Z103,AB103)</f>
        <v/>
      </c>
      <c r="AF103" s="0" t="n">
        <v>14</v>
      </c>
    </row>
    <row r="104" ht="15.75" customHeight="1" s="51">
      <c r="A104" s="26" t="n">
        <v>91</v>
      </c>
      <c r="B104" s="32" t="inlineStr">
        <is>
          <t>Epimetheus</t>
        </is>
      </c>
      <c r="C104" s="26" t="inlineStr">
        <is>
          <t>Smartphones &amp; Tablets</t>
        </is>
      </c>
      <c r="D104" s="26" t="inlineStr">
        <is>
          <t>Epimetheus Mobile; EPIMETHEUS; Epimteheus; Epimetheeus</t>
        </is>
      </c>
      <c r="E104" s="26" t="inlineStr">
        <is>
          <t>1 year limited</t>
        </is>
      </c>
      <c r="F104" s="26" t="inlineStr">
        <is>
          <t>ISO 9001, ISO/IEC 27001, ISO 14001</t>
        </is>
      </c>
      <c r="G104" s="26" t="inlineStr">
        <is>
          <t>everyday, reading, note-taking, school</t>
        </is>
      </c>
      <c r="H104" s="26" t="inlineStr">
        <is>
          <t>Smartphone, Tablet</t>
        </is>
      </c>
      <c r="I104" s="26" t="inlineStr">
        <is>
          <t>Epimetheus Nimbus X Budget Smartphone</t>
        </is>
      </c>
      <c r="J104" s="28" t="n">
        <v>195.99</v>
      </c>
      <c r="K104" s="26" t="inlineStr">
        <is>
          <t>Epimetheus Nimbus E-Ink Note Tablet</t>
        </is>
      </c>
      <c r="L104" s="28" t="n">
        <v>501.99</v>
      </c>
      <c r="M104" s="26" t="inlineStr">
        <is>
          <t>Epimetheus Spark X Drawing Tablet with Stylus</t>
        </is>
      </c>
      <c r="N104" s="28" t="n">
        <v>644.99</v>
      </c>
      <c r="O104" s="26" t="inlineStr">
        <is>
          <t>Epimetheus Nova 11" Tablet</t>
        </is>
      </c>
      <c r="P104" s="28" t="n">
        <v>722.99</v>
      </c>
      <c r="Q104" s="26" t="inlineStr">
        <is>
          <t>Epimetheus Nova Compact Smartphone</t>
        </is>
      </c>
      <c r="R104" s="28" t="n">
        <v>798.99</v>
      </c>
      <c r="S104" s="26" t="inlineStr">
        <is>
          <t>Epimetheus Orbit Flagship Smartphone</t>
        </is>
      </c>
      <c r="T104" s="28" t="n">
        <v>834.99</v>
      </c>
      <c r="U104" s="26" t="inlineStr">
        <is>
          <t>Epimetheus Rift Plus 5G Tablet</t>
        </is>
      </c>
      <c r="V104" s="28" t="n">
        <v>867.99</v>
      </c>
      <c r="W104" s="26" t="inlineStr">
        <is>
          <t>Epimetheus Wave Ultra Flip Foldable Phone</t>
        </is>
      </c>
      <c r="X104" s="28" t="n">
        <v>1147.99</v>
      </c>
      <c r="Y104" s="26" t="inlineStr">
        <is>
          <t>Epimetheus Volt Air 13" Pro Tablet</t>
        </is>
      </c>
      <c r="Z104" s="28" t="n">
        <v>1428.99</v>
      </c>
      <c r="AA104" s="26" t="inlineStr">
        <is>
          <t>Epimetheus Echo Pro Foldable Phone</t>
        </is>
      </c>
      <c r="AB104" s="28" t="n">
        <v>1959.99</v>
      </c>
      <c r="AC104" s="37">
        <f>MIN(J104,L104,N104,P104,R104,T104,V104,X104,Z104,AB104)</f>
        <v/>
      </c>
      <c r="AD104" s="37">
        <f>MAX(J104,L104,N104,P104,R104,T104,V104,X104,Z104,AB104)</f>
        <v/>
      </c>
      <c r="AE104" s="37">
        <f>AVERAGE(J104,L104,N104,P104,R104,T104,V104,X104,Z104,AB104)</f>
        <v/>
      </c>
      <c r="AF104" s="0" t="n">
        <v>30</v>
      </c>
    </row>
    <row r="105" ht="15.75" customHeight="1" s="51">
      <c r="A105" s="26" t="n">
        <v>92</v>
      </c>
      <c r="B105" s="32" t="inlineStr">
        <is>
          <t>Triton</t>
        </is>
      </c>
      <c r="C105" s="26" t="inlineStr">
        <is>
          <t>Smartphones &amp; Tablets</t>
        </is>
      </c>
      <c r="D105" s="26" t="inlineStr">
        <is>
          <t>Triton Mobile; TRITON; Trito; Triotn</t>
        </is>
      </c>
      <c r="E105" s="26" t="inlineStr">
        <is>
          <t>1 year limited</t>
        </is>
      </c>
      <c r="F105" s="26" t="inlineStr">
        <is>
          <t>ISO 9001, ISO 14001, ISO 45001</t>
        </is>
      </c>
      <c r="G105" s="26" t="inlineStr">
        <is>
          <t>everyday, reading, travel, drawing</t>
        </is>
      </c>
      <c r="H105" s="26" t="inlineStr">
        <is>
          <t>Smartphone, Tablet</t>
        </is>
      </c>
      <c r="I105" s="26" t="inlineStr">
        <is>
          <t>Triton Nova Air Budget Smartphone</t>
        </is>
      </c>
      <c r="J105" s="28" t="n">
        <v>333.99</v>
      </c>
      <c r="K105" s="26" t="inlineStr">
        <is>
          <t>Triton Orbit Pro Rugged Smartphone</t>
        </is>
      </c>
      <c r="L105" s="28" t="n">
        <v>338.99</v>
      </c>
      <c r="M105" s="26" t="inlineStr">
        <is>
          <t>Triton Axis SE 8" Mini Tablet</t>
        </is>
      </c>
      <c r="N105" s="28" t="n">
        <v>356.99</v>
      </c>
      <c r="O105" s="26" t="inlineStr">
        <is>
          <t>Triton Nova Max Drawing Tablet with Stylus</t>
        </is>
      </c>
      <c r="P105" s="28" t="n">
        <v>682.99</v>
      </c>
      <c r="Q105" s="26" t="inlineStr">
        <is>
          <t>Triton Strata Pro 11" Tablet</t>
        </is>
      </c>
      <c r="R105" s="28" t="n">
        <v>701.99</v>
      </c>
      <c r="S105" s="26" t="inlineStr">
        <is>
          <t>Triton Nimbus X 5G Tablet</t>
        </is>
      </c>
      <c r="T105" s="28" t="n">
        <v>832.99</v>
      </c>
      <c r="U105" s="26" t="inlineStr">
        <is>
          <t>Triton Crest Lite Flagship Smartphone</t>
        </is>
      </c>
      <c r="V105" s="28" t="n">
        <v>1073.99</v>
      </c>
      <c r="W105" s="26" t="inlineStr">
        <is>
          <t>Triton Onyx Flip Foldable Phone</t>
        </is>
      </c>
      <c r="X105" s="28" t="n">
        <v>1122.99</v>
      </c>
      <c r="Y105" s="26" t="inlineStr">
        <is>
          <t>Triton Vibe Air 13" Pro Tablet</t>
        </is>
      </c>
      <c r="Z105" s="28" t="n">
        <v>1825.99</v>
      </c>
      <c r="AA105" s="26" t="inlineStr">
        <is>
          <t>Triton Vertex SE Foldable Phone</t>
        </is>
      </c>
      <c r="AB105" s="28" t="n">
        <v>2083.99</v>
      </c>
      <c r="AC105" s="37">
        <f>MIN(J105,L105,N105,P105,R105,T105,V105,X105,Z105,AB105)</f>
        <v/>
      </c>
      <c r="AD105" s="37">
        <f>MAX(J105,L105,N105,P105,R105,T105,V105,X105,Z105,AB105)</f>
        <v/>
      </c>
      <c r="AE105" s="37">
        <f>AVERAGE(J105,L105,N105,P105,R105,T105,V105,X105,Z105,AB105)</f>
        <v/>
      </c>
      <c r="AF105" s="0" t="n">
        <v>45</v>
      </c>
    </row>
    <row r="106" ht="15.75" customHeight="1" s="51">
      <c r="A106" s="26" t="n">
        <v>93</v>
      </c>
      <c r="B106" s="32" t="inlineStr">
        <is>
          <t>Thetis</t>
        </is>
      </c>
      <c r="C106" s="26" t="inlineStr">
        <is>
          <t>Smartphones &amp; Tablets</t>
        </is>
      </c>
      <c r="D106" s="26" t="inlineStr">
        <is>
          <t>Thetis Mobile; THETIS; Tehtis; Thhetis</t>
        </is>
      </c>
      <c r="E106" s="26" t="inlineStr">
        <is>
          <t>1 year limited</t>
        </is>
      </c>
      <c r="F106" s="26" t="inlineStr">
        <is>
          <t>ISO 9001, RoHS Compliant, ISO 45001</t>
        </is>
      </c>
      <c r="G106" s="26" t="inlineStr">
        <is>
          <t>everyday, reading, travel, streaming</t>
        </is>
      </c>
      <c r="H106" s="26" t="inlineStr">
        <is>
          <t>Smartphone, Tablet</t>
        </is>
      </c>
      <c r="I106" s="26" t="inlineStr">
        <is>
          <t>Thetis Wave Ultra Budget Smartphone</t>
        </is>
      </c>
      <c r="J106" s="28" t="n">
        <v>133.99</v>
      </c>
      <c r="K106" s="26" t="inlineStr">
        <is>
          <t>Thetis Axis X 8" Mini Tablet</t>
        </is>
      </c>
      <c r="L106" s="28" t="n">
        <v>332.99</v>
      </c>
      <c r="M106" s="26" t="inlineStr">
        <is>
          <t>Thetis Sable Max Rugged Smartphone</t>
        </is>
      </c>
      <c r="N106" s="28" t="n">
        <v>562.99</v>
      </c>
      <c r="O106" s="26" t="inlineStr">
        <is>
          <t>Thetis Volt Lite Drawing Tablet with Stylus</t>
        </is>
      </c>
      <c r="P106" s="28" t="n">
        <v>568.99</v>
      </c>
      <c r="Q106" s="26" t="inlineStr">
        <is>
          <t>Thetis Onyx 5G Tablet</t>
        </is>
      </c>
      <c r="R106" s="28" t="n">
        <v>618.99</v>
      </c>
      <c r="S106" s="26" t="inlineStr">
        <is>
          <t>Thetis Sable SE Compact Smartphone</t>
        </is>
      </c>
      <c r="T106" s="28" t="n">
        <v>669.99</v>
      </c>
      <c r="U106" s="26" t="inlineStr">
        <is>
          <t>Thetis Onyx Max 11" Tablet</t>
        </is>
      </c>
      <c r="V106" s="28" t="n">
        <v>711.99</v>
      </c>
      <c r="W106" s="26" t="inlineStr">
        <is>
          <t>Thetis Pulse Lite Flagship Smartphone</t>
        </is>
      </c>
      <c r="X106" s="28" t="n">
        <v>859.99</v>
      </c>
      <c r="Y106" s="26" t="inlineStr">
        <is>
          <t>Thetis Orbit Flip Foldable Phone</t>
        </is>
      </c>
      <c r="Z106" s="28" t="n">
        <v>937.99</v>
      </c>
      <c r="AA106" s="26" t="inlineStr">
        <is>
          <t>Thetis Volt Air Pro Max Smartphone</t>
        </is>
      </c>
      <c r="AB106" s="28" t="n">
        <v>1585.99</v>
      </c>
      <c r="AC106" s="37">
        <f>MIN(J106,L106,N106,P106,R106,T106,V106,X106,Z106,AB106)</f>
        <v/>
      </c>
      <c r="AD106" s="37">
        <f>MAX(J106,L106,N106,P106,R106,T106,V106,X106,Z106,AB106)</f>
        <v/>
      </c>
      <c r="AE106" s="37">
        <f>AVERAGE(J106,L106,N106,P106,R106,T106,V106,X106,Z106,AB106)</f>
        <v/>
      </c>
      <c r="AF106" s="0" t="n">
        <v>14</v>
      </c>
    </row>
    <row r="107" ht="15.75" customHeight="1" s="51">
      <c r="A107" s="26" t="n">
        <v>94</v>
      </c>
      <c r="B107" s="32" t="inlineStr">
        <is>
          <t>Adrastea</t>
        </is>
      </c>
      <c r="C107" s="26" t="inlineStr">
        <is>
          <t>Smartphones &amp; Tablets</t>
        </is>
      </c>
      <c r="D107" s="26" t="inlineStr">
        <is>
          <t>Adrastea Mobile; ADRASTEA; Adrasteea; Adrrastea</t>
        </is>
      </c>
      <c r="E107" s="26" t="inlineStr">
        <is>
          <t>1 year limited</t>
        </is>
      </c>
      <c r="F107" s="26" t="inlineStr">
        <is>
          <t>ISO 9001, WEEE Registered, ISO 45001</t>
        </is>
      </c>
      <c r="G107" s="26" t="inlineStr">
        <is>
          <t>everyday, reading, note-taking, school</t>
        </is>
      </c>
      <c r="H107" s="26" t="inlineStr">
        <is>
          <t>Smartphone, Tablet</t>
        </is>
      </c>
      <c r="I107" s="26" t="inlineStr">
        <is>
          <t>Adrastea Wave Max Kids Tablet</t>
        </is>
      </c>
      <c r="J107" s="28" t="n">
        <v>125.99</v>
      </c>
      <c r="K107" s="26" t="inlineStr">
        <is>
          <t>Adrastea Rift Budget Smartphone</t>
        </is>
      </c>
      <c r="L107" s="28" t="n">
        <v>219.99</v>
      </c>
      <c r="M107" s="26" t="inlineStr">
        <is>
          <t>Adrastea Zen Pro E-Ink Note Tablet</t>
        </is>
      </c>
      <c r="N107" s="28" t="n">
        <v>362.99</v>
      </c>
      <c r="O107" s="26" t="inlineStr">
        <is>
          <t>Adrastea Blaze Air Drawing Tablet with Stylus</t>
        </is>
      </c>
      <c r="P107" s="28" t="n">
        <v>631.99</v>
      </c>
      <c r="Q107" s="26" t="inlineStr">
        <is>
          <t>Adrastea Blaze 11" Tablet</t>
        </is>
      </c>
      <c r="R107" s="28" t="n">
        <v>673.99</v>
      </c>
      <c r="S107" s="26" t="inlineStr">
        <is>
          <t>Adrastea Echo Ultra Flip Foldable Phone</t>
        </is>
      </c>
      <c r="T107" s="28" t="n">
        <v>923.99</v>
      </c>
      <c r="U107" s="26" t="inlineStr">
        <is>
          <t>Adrastea Nimbus Lite Flagship Smartphone</t>
        </is>
      </c>
      <c r="V107" s="28" t="n">
        <v>984.99</v>
      </c>
      <c r="W107" s="26" t="inlineStr">
        <is>
          <t>Adrastea Echo 13" Pro Tablet</t>
        </is>
      </c>
      <c r="X107" s="28" t="n">
        <v>1000.99</v>
      </c>
      <c r="Y107" s="26" t="inlineStr">
        <is>
          <t>Adrastea Flux X Pro Max Smartphone</t>
        </is>
      </c>
      <c r="Z107" s="28" t="n">
        <v>1493.99</v>
      </c>
      <c r="AA107" s="26" t="inlineStr">
        <is>
          <t>Adrastea Sable SE Foldable Phone</t>
        </is>
      </c>
      <c r="AB107" s="28" t="n">
        <v>1864.99</v>
      </c>
      <c r="AC107" s="37">
        <f>MIN(J107,L107,N107,P107,R107,T107,V107,X107,Z107,AB107)</f>
        <v/>
      </c>
      <c r="AD107" s="37">
        <f>MAX(J107,L107,N107,P107,R107,T107,V107,X107,Z107,AB107)</f>
        <v/>
      </c>
      <c r="AE107" s="37">
        <f>AVERAGE(J107,L107,N107,P107,R107,T107,V107,X107,Z107,AB107)</f>
        <v/>
      </c>
      <c r="AF107" s="0" t="n">
        <v>14</v>
      </c>
    </row>
    <row r="108" ht="15.75" customHeight="1" s="51">
      <c r="A108" s="26" t="n">
        <v>95</v>
      </c>
      <c r="B108" s="32" t="inlineStr">
        <is>
          <t>Leucothea</t>
        </is>
      </c>
      <c r="C108" s="26" t="inlineStr">
        <is>
          <t>Smartphones &amp; Tablets</t>
        </is>
      </c>
      <c r="D108" s="26" t="inlineStr">
        <is>
          <t>Leucothea Mobile; LEUCOTHEA; Leucoothea; Leeucothea</t>
        </is>
      </c>
      <c r="E108" s="26" t="inlineStr">
        <is>
          <t>1 year limited</t>
        </is>
      </c>
      <c r="F108" s="26" t="inlineStr">
        <is>
          <t>ISO 9001, RoHS Compliant, WEEE Registered</t>
        </is>
      </c>
      <c r="G108" s="26" t="inlineStr">
        <is>
          <t>reading, drawing, note-taking, everyday</t>
        </is>
      </c>
      <c r="H108" s="26" t="inlineStr">
        <is>
          <t>Smartphone, Tablet</t>
        </is>
      </c>
      <c r="I108" s="26" t="inlineStr">
        <is>
          <t>Leucothea Prism X Kids Tablet</t>
        </is>
      </c>
      <c r="J108" s="28" t="n">
        <v>178.99</v>
      </c>
      <c r="K108" s="26" t="inlineStr">
        <is>
          <t>Leucothea Prism X 8" Mini Tablet</t>
        </is>
      </c>
      <c r="L108" s="28" t="n">
        <v>300.99</v>
      </c>
      <c r="M108" s="26" t="inlineStr">
        <is>
          <t>Leucothea Arc Air Rugged Smartphone</t>
        </is>
      </c>
      <c r="N108" s="28" t="n">
        <v>389.99</v>
      </c>
      <c r="O108" s="26" t="inlineStr">
        <is>
          <t>Leucothea Nimbus Drawing Tablet with Stylus</t>
        </is>
      </c>
      <c r="P108" s="28" t="n">
        <v>445.99</v>
      </c>
      <c r="Q108" s="26" t="inlineStr">
        <is>
          <t>Leucothea Pulse Plus E-Ink Note Tablet</t>
        </is>
      </c>
      <c r="R108" s="28" t="n">
        <v>481.99</v>
      </c>
      <c r="S108" s="26" t="inlineStr">
        <is>
          <t>Leucothea Strata Max Flip Foldable Phone</t>
        </is>
      </c>
      <c r="T108" s="28" t="n">
        <v>1036.99</v>
      </c>
      <c r="U108" s="26" t="inlineStr">
        <is>
          <t>Leucothea Spark Pro Flagship Smartphone</t>
        </is>
      </c>
      <c r="V108" s="28" t="n">
        <v>1100.99</v>
      </c>
      <c r="W108" s="26" t="inlineStr">
        <is>
          <t>Leucothea Aeon Plus 13" Pro Tablet</t>
        </is>
      </c>
      <c r="X108" s="28" t="n">
        <v>1246.99</v>
      </c>
      <c r="Y108" s="26" t="inlineStr">
        <is>
          <t>Leucothea Nova Air Pro Max Smartphone</t>
        </is>
      </c>
      <c r="Z108" s="28" t="n">
        <v>1265.99</v>
      </c>
      <c r="AA108" s="26" t="inlineStr">
        <is>
          <t>Leucothea Strata Max Foldable Phone</t>
        </is>
      </c>
      <c r="AB108" s="28" t="n">
        <v>2090.99</v>
      </c>
      <c r="AC108" s="37">
        <f>MIN(J108,L108,N108,P108,R108,T108,V108,X108,Z108,AB108)</f>
        <v/>
      </c>
      <c r="AD108" s="37">
        <f>MAX(J108,L108,N108,P108,R108,T108,V108,X108,Z108,AB108)</f>
        <v/>
      </c>
      <c r="AE108" s="37">
        <f>AVERAGE(J108,L108,N108,P108,R108,T108,V108,X108,Z108,AB108)</f>
        <v/>
      </c>
      <c r="AF108" s="0" t="n">
        <v>45</v>
      </c>
    </row>
    <row r="109" ht="15.75" customHeight="1" s="51">
      <c r="A109" s="26" t="n">
        <v>96</v>
      </c>
      <c r="B109" s="32" t="inlineStr">
        <is>
          <t>Iapetus</t>
        </is>
      </c>
      <c r="C109" s="26" t="inlineStr">
        <is>
          <t>Smartphones &amp; Tablets</t>
        </is>
      </c>
      <c r="D109" s="26" t="inlineStr">
        <is>
          <t>Iapetus Mobile; IAPETUS; Iapetuss; Iapeuts</t>
        </is>
      </c>
      <c r="E109" s="26" t="inlineStr">
        <is>
          <t>1 year limited</t>
        </is>
      </c>
      <c r="F109" s="26" t="inlineStr">
        <is>
          <t>ISO 9001, RoHS Compliant, ISO/IEC 27001</t>
        </is>
      </c>
      <c r="G109" s="26" t="inlineStr">
        <is>
          <t>everyday, drawing, photography, business</t>
        </is>
      </c>
      <c r="H109" s="26" t="inlineStr">
        <is>
          <t>Smartphone, Tablet</t>
        </is>
      </c>
      <c r="I109" s="26" t="inlineStr">
        <is>
          <t>Iapetus Blaze Kids Tablet</t>
        </is>
      </c>
      <c r="J109" s="28" t="n">
        <v>136.99</v>
      </c>
      <c r="K109" s="26" t="inlineStr">
        <is>
          <t>Iapetus Rift Pro 8" Mini Tablet</t>
        </is>
      </c>
      <c r="L109" s="28" t="n">
        <v>220.99</v>
      </c>
      <c r="M109" s="26" t="inlineStr">
        <is>
          <t>Iapetus Flux Pro Budget Smartphone</t>
        </is>
      </c>
      <c r="N109" s="28" t="n">
        <v>285.99</v>
      </c>
      <c r="O109" s="26" t="inlineStr">
        <is>
          <t>Iapetus Core Rugged Smartphone</t>
        </is>
      </c>
      <c r="P109" s="28" t="n">
        <v>662.99</v>
      </c>
      <c r="Q109" s="26" t="inlineStr">
        <is>
          <t>Iapetus Arc SE Compact Smartphone</t>
        </is>
      </c>
      <c r="R109" s="28" t="n">
        <v>769.99</v>
      </c>
      <c r="S109" s="26" t="inlineStr">
        <is>
          <t>Iapetus Aria Drawing Tablet with Stylus</t>
        </is>
      </c>
      <c r="T109" s="28" t="n">
        <v>1049.99</v>
      </c>
      <c r="U109" s="26" t="inlineStr">
        <is>
          <t>Iapetus Echo Lite Flagship Smartphone</t>
        </is>
      </c>
      <c r="V109" s="28" t="n">
        <v>1290.99</v>
      </c>
      <c r="W109" s="26" t="inlineStr">
        <is>
          <t>Iapetus Pulse SE 13" Pro Tablet</t>
        </is>
      </c>
      <c r="X109" s="28" t="n">
        <v>1341.99</v>
      </c>
      <c r="Y109" s="26" t="inlineStr">
        <is>
          <t>Iapetus Strata Air Pro Max Smartphone</t>
        </is>
      </c>
      <c r="Z109" s="28" t="n">
        <v>1557.99</v>
      </c>
      <c r="AA109" s="26" t="inlineStr">
        <is>
          <t>Iapetus Axis Plus Foldable Phone</t>
        </is>
      </c>
      <c r="AB109" s="28" t="n">
        <v>1720.99</v>
      </c>
      <c r="AC109" s="37">
        <f>MIN(J109,L109,N109,P109,R109,T109,V109,X109,Z109,AB109)</f>
        <v/>
      </c>
      <c r="AD109" s="37">
        <f>MAX(J109,L109,N109,P109,R109,T109,V109,X109,Z109,AB109)</f>
        <v/>
      </c>
      <c r="AE109" s="37">
        <f>AVERAGE(J109,L109,N109,P109,R109,T109,V109,X109,Z109,AB109)</f>
        <v/>
      </c>
      <c r="AF109" s="0" t="n">
        <v>14</v>
      </c>
    </row>
    <row r="110" ht="15.75" customHeight="1" s="51">
      <c r="A110" s="26" t="n">
        <v>97</v>
      </c>
      <c r="B110" s="32" t="inlineStr">
        <is>
          <t>Pan</t>
        </is>
      </c>
      <c r="C110" s="26" t="inlineStr">
        <is>
          <t>Smartphones &amp; Tablets</t>
        </is>
      </c>
      <c r="D110" s="26" t="inlineStr">
        <is>
          <t>Pan Mobile; PAN; Paan; Pann</t>
        </is>
      </c>
      <c r="E110" s="26" t="inlineStr">
        <is>
          <t>1 year limited</t>
        </is>
      </c>
      <c r="F110" s="26" t="inlineStr">
        <is>
          <t>ISO 9001, ISO/IEC 27001, RoHS Compliant</t>
        </is>
      </c>
      <c r="G110" s="26" t="inlineStr">
        <is>
          <t>everyday, reading, note-taking, photography</t>
        </is>
      </c>
      <c r="H110" s="26" t="inlineStr">
        <is>
          <t>Smartphone, Tablet</t>
        </is>
      </c>
      <c r="I110" s="26" t="inlineStr">
        <is>
          <t>Pan Aeon Ultra Budget Smartphone</t>
        </is>
      </c>
      <c r="J110" s="28" t="n">
        <v>212.99</v>
      </c>
      <c r="K110" s="26" t="inlineStr">
        <is>
          <t>Pan Onyx X E-Ink Note Tablet</t>
        </is>
      </c>
      <c r="L110" s="28" t="n">
        <v>317.99</v>
      </c>
      <c r="M110" s="26" t="inlineStr">
        <is>
          <t>Pan Prism Max 8" Mini Tablet</t>
        </is>
      </c>
      <c r="N110" s="28" t="n">
        <v>319.99</v>
      </c>
      <c r="O110" s="26" t="inlineStr">
        <is>
          <t>Pan Nova Pro Rugged Smartphone</t>
        </is>
      </c>
      <c r="P110" s="28" t="n">
        <v>417.99</v>
      </c>
      <c r="Q110" s="26" t="inlineStr">
        <is>
          <t>Pan Aeon Max Compact Smartphone</t>
        </is>
      </c>
      <c r="R110" s="28" t="n">
        <v>660.99</v>
      </c>
      <c r="S110" s="26" t="inlineStr">
        <is>
          <t>Pan Vibe Flagship Smartphone</t>
        </is>
      </c>
      <c r="T110" s="28" t="n">
        <v>853.99</v>
      </c>
      <c r="U110" s="26" t="inlineStr">
        <is>
          <t>Pan Volt Pro Drawing Tablet with Stylus</t>
        </is>
      </c>
      <c r="V110" s="28" t="n">
        <v>946.99</v>
      </c>
      <c r="W110" s="26" t="inlineStr">
        <is>
          <t>Pan Vertex Flip Foldable Phone</t>
        </is>
      </c>
      <c r="X110" s="28" t="n">
        <v>958.99</v>
      </c>
      <c r="Y110" s="26" t="inlineStr">
        <is>
          <t>Pan Zen SE Pro Max Smartphone</t>
        </is>
      </c>
      <c r="Z110" s="28" t="n">
        <v>1533.99</v>
      </c>
      <c r="AA110" s="26" t="inlineStr">
        <is>
          <t>Pan Aria Plus 13" Pro Tablet</t>
        </is>
      </c>
      <c r="AB110" s="28" t="n">
        <v>1715.99</v>
      </c>
      <c r="AC110" s="37">
        <f>MIN(J110,L110,N110,P110,R110,T110,V110,X110,Z110,AB110)</f>
        <v/>
      </c>
      <c r="AD110" s="37">
        <f>MAX(J110,L110,N110,P110,R110,T110,V110,X110,Z110,AB110)</f>
        <v/>
      </c>
      <c r="AE110" s="37">
        <f>AVERAGE(J110,L110,N110,P110,R110,T110,V110,X110,Z110,AB110)</f>
        <v/>
      </c>
      <c r="AF110" s="0" t="n">
        <v>14</v>
      </c>
    </row>
    <row r="111" ht="15.75" customHeight="1" s="51">
      <c r="A111" s="26" t="n">
        <v>98</v>
      </c>
      <c r="B111" s="32" t="inlineStr">
        <is>
          <t>Erebus</t>
        </is>
      </c>
      <c r="C111" s="26" t="inlineStr">
        <is>
          <t>Smartphones &amp; Tablets</t>
        </is>
      </c>
      <c r="D111" s="26" t="inlineStr">
        <is>
          <t>Erebus Mobile; EREBUS; Erebuss; Eerbus</t>
        </is>
      </c>
      <c r="E111" s="26" t="inlineStr">
        <is>
          <t>1 year limited</t>
        </is>
      </c>
      <c r="F111" s="26" t="inlineStr">
        <is>
          <t>ISO 9001, ISO 14001, ISO 45001</t>
        </is>
      </c>
      <c r="G111" s="26" t="inlineStr">
        <is>
          <t>reading, travel, note-taking, school</t>
        </is>
      </c>
      <c r="H111" s="26" t="inlineStr">
        <is>
          <t>Smartphone, Tablet</t>
        </is>
      </c>
      <c r="I111" s="26" t="inlineStr">
        <is>
          <t>Erebus Aria Lite 8" Mini Tablet</t>
        </is>
      </c>
      <c r="J111" s="28" t="n">
        <v>331.99</v>
      </c>
      <c r="K111" s="26" t="inlineStr">
        <is>
          <t>Erebus Nimbus Air E-Ink Note Tablet</t>
        </is>
      </c>
      <c r="L111" s="28" t="n">
        <v>430.99</v>
      </c>
      <c r="M111" s="26" t="inlineStr">
        <is>
          <t>Erebus Sable Lite Drawing Tablet with Stylus</t>
        </is>
      </c>
      <c r="N111" s="28" t="n">
        <v>502.99</v>
      </c>
      <c r="O111" s="26" t="inlineStr">
        <is>
          <t>Erebus Nimbus Ultra Compact Smartphone</t>
        </is>
      </c>
      <c r="P111" s="28" t="n">
        <v>513.99</v>
      </c>
      <c r="Q111" s="26" t="inlineStr">
        <is>
          <t>Erebus Blaze Air Rugged Smartphone</t>
        </is>
      </c>
      <c r="R111" s="28" t="n">
        <v>582.99</v>
      </c>
      <c r="S111" s="26" t="inlineStr">
        <is>
          <t>Erebus Nova Pro 5G Tablet</t>
        </is>
      </c>
      <c r="T111" s="28" t="n">
        <v>649.99</v>
      </c>
      <c r="U111" s="26" t="inlineStr">
        <is>
          <t>Erebus Axis X 11" Tablet</t>
        </is>
      </c>
      <c r="V111" s="28" t="n">
        <v>751.99</v>
      </c>
      <c r="W111" s="26" t="inlineStr">
        <is>
          <t>Erebus Flux Ultra Flip Foldable Phone</t>
        </is>
      </c>
      <c r="X111" s="28" t="n">
        <v>925.99</v>
      </c>
      <c r="Y111" s="26" t="inlineStr">
        <is>
          <t>Erebus Apex Max Pro Max Smartphone</t>
        </is>
      </c>
      <c r="Z111" s="28" t="n">
        <v>1123.99</v>
      </c>
      <c r="AA111" s="26" t="inlineStr">
        <is>
          <t>Erebus Halo Plus Foldable Phone</t>
        </is>
      </c>
      <c r="AB111" s="28" t="n">
        <v>1339.99</v>
      </c>
      <c r="AC111" s="37">
        <f>MIN(J111,L111,N111,P111,R111,T111,V111,X111,Z111,AB111)</f>
        <v/>
      </c>
      <c r="AD111" s="37">
        <f>MAX(J111,L111,N111,P111,R111,T111,V111,X111,Z111,AB111)</f>
        <v/>
      </c>
      <c r="AE111" s="37">
        <f>AVERAGE(J111,L111,N111,P111,R111,T111,V111,X111,Z111,AB111)</f>
        <v/>
      </c>
      <c r="AF111" s="0" t="n">
        <v>14</v>
      </c>
    </row>
    <row r="112" ht="15.75" customHeight="1" s="51">
      <c r="A112" s="26" t="n">
        <v>99</v>
      </c>
      <c r="B112" s="32" t="inlineStr">
        <is>
          <t>Dike</t>
        </is>
      </c>
      <c r="C112" s="26" t="inlineStr">
        <is>
          <t>Smartphones &amp; Tablets</t>
        </is>
      </c>
      <c r="D112" s="26" t="inlineStr">
        <is>
          <t>Dike Mobile; DIKE; Diike; Dkie</t>
        </is>
      </c>
      <c r="E112" s="26" t="inlineStr">
        <is>
          <t>1 year limited</t>
        </is>
      </c>
      <c r="F112" s="26" t="inlineStr">
        <is>
          <t>ISO 9001, ISO/IEC 27001, ISO 45001</t>
        </is>
      </c>
      <c r="G112" s="26" t="inlineStr">
        <is>
          <t>everyday, reading, note-taking, photography</t>
        </is>
      </c>
      <c r="H112" s="26" t="inlineStr">
        <is>
          <t>Smartphone, Tablet</t>
        </is>
      </c>
      <c r="I112" s="26" t="inlineStr">
        <is>
          <t>Dike Echo Ultra Kids Tablet</t>
        </is>
      </c>
      <c r="J112" s="28" t="n">
        <v>93.98999999999999</v>
      </c>
      <c r="K112" s="26" t="inlineStr">
        <is>
          <t>Dike Nova Pro E-Ink Note Tablet</t>
        </is>
      </c>
      <c r="L112" s="28" t="n">
        <v>259.99</v>
      </c>
      <c r="M112" s="26" t="inlineStr">
        <is>
          <t>Dike Wave X Rugged Smartphone</t>
        </is>
      </c>
      <c r="N112" s="28" t="n">
        <v>323.99</v>
      </c>
      <c r="O112" s="26" t="inlineStr">
        <is>
          <t>Dike Sable Lite Budget Smartphone</t>
        </is>
      </c>
      <c r="P112" s="28" t="n">
        <v>355.99</v>
      </c>
      <c r="Q112" s="26" t="inlineStr">
        <is>
          <t>Dike Aria SE 8" Mini Tablet</t>
        </is>
      </c>
      <c r="R112" s="28" t="n">
        <v>419.99</v>
      </c>
      <c r="S112" s="26" t="inlineStr">
        <is>
          <t>Dike Quanta Plus Compact Smartphone</t>
        </is>
      </c>
      <c r="T112" s="28" t="n">
        <v>545.99</v>
      </c>
      <c r="U112" s="26" t="inlineStr">
        <is>
          <t>Dike Pulse SE Flip Foldable Phone</t>
        </is>
      </c>
      <c r="V112" s="28" t="n">
        <v>1052.99</v>
      </c>
      <c r="W112" s="26" t="inlineStr">
        <is>
          <t>Dike Vertex Lite Drawing Tablet with Stylus</t>
        </is>
      </c>
      <c r="X112" s="28" t="n">
        <v>1097.99</v>
      </c>
      <c r="Y112" s="26" t="inlineStr">
        <is>
          <t>Dike Aria Flagship Smartphone</t>
        </is>
      </c>
      <c r="Z112" s="28" t="n">
        <v>1267.99</v>
      </c>
      <c r="AA112" s="26" t="inlineStr">
        <is>
          <t>Dike Lumen Max Pro Max Smartphone</t>
        </is>
      </c>
      <c r="AB112" s="28" t="n">
        <v>1396.99</v>
      </c>
      <c r="AC112" s="37">
        <f>MIN(J112,L112,N112,P112,R112,T112,V112,X112,Z112,AB112)</f>
        <v/>
      </c>
      <c r="AD112" s="37">
        <f>MAX(J112,L112,N112,P112,R112,T112,V112,X112,Z112,AB112)</f>
        <v/>
      </c>
      <c r="AE112" s="37">
        <f>AVERAGE(J112,L112,N112,P112,R112,T112,V112,X112,Z112,AB112)</f>
        <v/>
      </c>
      <c r="AF112" s="0" t="n">
        <v>30</v>
      </c>
    </row>
    <row r="113" ht="15.75" customHeight="1" s="51">
      <c r="A113" s="26" t="n">
        <v>100</v>
      </c>
      <c r="B113" s="32" t="inlineStr">
        <is>
          <t>Plutus</t>
        </is>
      </c>
      <c r="C113" s="26" t="inlineStr">
        <is>
          <t>Smartphones &amp; Tablets</t>
        </is>
      </c>
      <c r="D113" s="26" t="inlineStr">
        <is>
          <t>Plutus Mobile; PLUTUS; Pluuts; Pllutus</t>
        </is>
      </c>
      <c r="E113" s="26" t="inlineStr">
        <is>
          <t>1 year limited</t>
        </is>
      </c>
      <c r="F113" s="26" t="inlineStr">
        <is>
          <t>ISO 9001, ISO/IEC 27001, WEEE Registered</t>
        </is>
      </c>
      <c r="G113" s="26" t="inlineStr">
        <is>
          <t>everyday, reading, travel, streaming</t>
        </is>
      </c>
      <c r="H113" s="26" t="inlineStr">
        <is>
          <t>Smartphone, Tablet</t>
        </is>
      </c>
      <c r="I113" s="26" t="inlineStr">
        <is>
          <t>Plutus Halo Air Kids Tablet</t>
        </is>
      </c>
      <c r="J113" s="28" t="n">
        <v>131.99</v>
      </c>
      <c r="K113" s="26" t="inlineStr">
        <is>
          <t>Plutus Vertex Air Budget Smartphone</t>
        </is>
      </c>
      <c r="L113" s="28" t="n">
        <v>383.99</v>
      </c>
      <c r="M113" s="26" t="inlineStr">
        <is>
          <t>Plutus Titan Ultra 8" Mini Tablet</t>
        </is>
      </c>
      <c r="N113" s="28" t="n">
        <v>443.99</v>
      </c>
      <c r="O113" s="26" t="inlineStr">
        <is>
          <t>Plutus Drift Air 11" Tablet</t>
        </is>
      </c>
      <c r="P113" s="28" t="n">
        <v>455.99</v>
      </c>
      <c r="Q113" s="26" t="inlineStr">
        <is>
          <t>Plutus Echo Compact Smartphone</t>
        </is>
      </c>
      <c r="R113" s="28" t="n">
        <v>743.99</v>
      </c>
      <c r="S113" s="26" t="inlineStr">
        <is>
          <t>Plutus Rift X 5G Tablet</t>
        </is>
      </c>
      <c r="T113" s="28" t="n">
        <v>850.99</v>
      </c>
      <c r="U113" s="26" t="inlineStr">
        <is>
          <t>Plutus Arc Max Flip Foldable Phone</t>
        </is>
      </c>
      <c r="V113" s="28" t="n">
        <v>1113.99</v>
      </c>
      <c r="W113" s="26" t="inlineStr">
        <is>
          <t>Plutus Axis Plus Flagship Smartphone</t>
        </is>
      </c>
      <c r="X113" s="28" t="n">
        <v>1198.99</v>
      </c>
      <c r="Y113" s="26" t="inlineStr">
        <is>
          <t>Plutus Pulse SE Drawing Tablet with Stylus</t>
        </is>
      </c>
      <c r="Z113" s="28" t="n">
        <v>1211.99</v>
      </c>
      <c r="AA113" s="26" t="inlineStr">
        <is>
          <t>Plutus Nimbus Lite Foldable Phone</t>
        </is>
      </c>
      <c r="AB113" s="28" t="n">
        <v>1584.99</v>
      </c>
      <c r="AC113" s="37">
        <f>MIN(J113,L113,N113,P113,R113,T113,V113,X113,Z113,AB113)</f>
        <v/>
      </c>
      <c r="AD113" s="37">
        <f>MAX(J113,L113,N113,P113,R113,T113,V113,X113,Z113,AB113)</f>
        <v/>
      </c>
      <c r="AE113" s="37">
        <f>AVERAGE(J113,L113,N113,P113,R113,T113,V113,X113,Z113,AB113)</f>
        <v/>
      </c>
      <c r="AF113" s="0" t="n">
        <v>15</v>
      </c>
    </row>
    <row r="114" ht="15.75" customHeight="1" s="51">
      <c r="A114" s="30" t="n">
        <v>101</v>
      </c>
      <c r="B114" s="34" t="inlineStr">
        <is>
          <t>Perses</t>
        </is>
      </c>
      <c r="C114" s="30" t="inlineStr">
        <is>
          <t>Computer Hardware</t>
        </is>
      </c>
      <c r="D114" s="30" t="inlineStr">
        <is>
          <t>Perses Hardware; PERSES; Preses; Persess</t>
        </is>
      </c>
      <c r="E114" s="30" t="inlineStr">
        <is>
          <t>2 year limited</t>
        </is>
      </c>
      <c r="F114" s="30" t="inlineStr">
        <is>
          <t>ISO 9001, ISO 45001, RoHS Compliant</t>
        </is>
      </c>
      <c r="G114" s="30" t="inlineStr">
        <is>
          <t>gaming, PC building, streaming, content creation</t>
        </is>
      </c>
      <c r="H114" s="30" t="inlineStr">
        <is>
          <t>Graphics Card, Memory, Monitor, Motherboard, Mouse, Networking, PC Case, Power Supply, Storage, Webcam</t>
        </is>
      </c>
      <c r="I114" s="30" t="inlineStr">
        <is>
          <t>Perses Arc X Wi-Fi 7 PCIe Card</t>
        </is>
      </c>
      <c r="J114" s="31" t="n">
        <v>60.99</v>
      </c>
      <c r="K114" s="30" t="inlineStr">
        <is>
          <t>Perses Lumen SE Gaming Mouse</t>
        </is>
      </c>
      <c r="L114" s="31" t="n">
        <v>74.98999999999999</v>
      </c>
      <c r="M114" s="30" t="inlineStr">
        <is>
          <t>Perses Sable Plus 4K Webcam</t>
        </is>
      </c>
      <c r="N114" s="31" t="n">
        <v>129.99</v>
      </c>
      <c r="O114" s="30" t="inlineStr">
        <is>
          <t>Perses Rift Lite 32GB DDR5 RAM Kit</t>
        </is>
      </c>
      <c r="P114" s="31" t="n">
        <v>168.99</v>
      </c>
      <c r="Q114" s="30" t="inlineStr">
        <is>
          <t>Perses Orbit Plus Mid-Tower PC Case</t>
        </is>
      </c>
      <c r="R114" s="31" t="n">
        <v>178.99</v>
      </c>
      <c r="S114" s="30" t="inlineStr">
        <is>
          <t>Perses Aria 850W Power Supply</t>
        </is>
      </c>
      <c r="T114" s="31" t="n">
        <v>224.99</v>
      </c>
      <c r="U114" s="30" t="inlineStr">
        <is>
          <t>Perses Flux Pro ATX Motherboard</t>
        </is>
      </c>
      <c r="V114" s="31" t="n">
        <v>229.99</v>
      </c>
      <c r="W114" s="30" t="inlineStr">
        <is>
          <t>Perses Lumen Pro 2TB NVMe SSD</t>
        </is>
      </c>
      <c r="X114" s="31" t="n">
        <v>294.99</v>
      </c>
      <c r="Y114" s="30" t="inlineStr">
        <is>
          <t>Perses Core 27" 1440p Monitor</t>
        </is>
      </c>
      <c r="Z114" s="31" t="n">
        <v>596.99</v>
      </c>
      <c r="AA114" s="30" t="inlineStr">
        <is>
          <t>Perses Arc Max Graphics Card</t>
        </is>
      </c>
      <c r="AB114" s="31" t="n">
        <v>1593.99</v>
      </c>
      <c r="AC114" s="42">
        <f>MIN(J114,L114,N114,P114,R114,T114,V114,X114,Z114,AB114)</f>
        <v/>
      </c>
      <c r="AD114" s="42">
        <f>MAX(J114,L114,N114,P114,R114,T114,V114,X114,Z114,AB114)</f>
        <v/>
      </c>
      <c r="AE114" s="42">
        <f>AVERAGE(J114,L114,N114,P114,R114,T114,V114,X114,Z114,AB114)</f>
        <v/>
      </c>
      <c r="AF114" s="0" t="n">
        <v>30</v>
      </c>
    </row>
    <row r="115" ht="15.75" customHeight="1" s="51">
      <c r="A115" s="30" t="n">
        <v>102</v>
      </c>
      <c r="B115" s="34" t="inlineStr">
        <is>
          <t>Pheme</t>
        </is>
      </c>
      <c r="C115" s="30" t="inlineStr">
        <is>
          <t>Computer Hardware</t>
        </is>
      </c>
      <c r="D115" s="30" t="inlineStr">
        <is>
          <t>Pheme Hardware; PHEME; Phmee; Feme</t>
        </is>
      </c>
      <c r="E115" s="30" t="inlineStr">
        <is>
          <t>2 year limited</t>
        </is>
      </c>
      <c r="F115" s="30" t="inlineStr">
        <is>
          <t>ISO 9001, ISO/IEC 27001, ISO 45001</t>
        </is>
      </c>
      <c r="G115" s="30" t="inlineStr">
        <is>
          <t>gaming, PC building, streaming, remote work</t>
        </is>
      </c>
      <c r="H115" s="30" t="inlineStr">
        <is>
          <t>Cooling, Docking Station, Graphics Card, Memory, Motherboard, Mouse, Networking, Power Supply, Storage, Webcam</t>
        </is>
      </c>
      <c r="I115" s="30" t="inlineStr">
        <is>
          <t>Pheme Zen X Gaming Mouse</t>
        </is>
      </c>
      <c r="J115" s="31" t="n">
        <v>18.99</v>
      </c>
      <c r="K115" s="30" t="inlineStr">
        <is>
          <t>Pheme Nova Wi-Fi 7 PCIe Card</t>
        </is>
      </c>
      <c r="L115" s="31" t="n">
        <v>42.99</v>
      </c>
      <c r="M115" s="30" t="inlineStr">
        <is>
          <t>Pheme Orbit Ultra 850W Power Supply</t>
        </is>
      </c>
      <c r="N115" s="31" t="n">
        <v>93.98999999999999</v>
      </c>
      <c r="O115" s="30" t="inlineStr">
        <is>
          <t>Pheme Crest Pro 4K Webcam</t>
        </is>
      </c>
      <c r="P115" s="31" t="n">
        <v>107.99</v>
      </c>
      <c r="Q115" s="30" t="inlineStr">
        <is>
          <t>Pheme Lumen Lite 360mm AIO CPU Cooler</t>
        </is>
      </c>
      <c r="R115" s="31" t="n">
        <v>125.99</v>
      </c>
      <c r="S115" s="30" t="inlineStr">
        <is>
          <t>Pheme Echo 32GB DDR5 RAM Kit</t>
        </is>
      </c>
      <c r="T115" s="31" t="n">
        <v>160.99</v>
      </c>
      <c r="U115" s="30" t="inlineStr">
        <is>
          <t>Pheme Sable Lite USB-C Docking Station</t>
        </is>
      </c>
      <c r="V115" s="31" t="n">
        <v>181.99</v>
      </c>
      <c r="W115" s="30" t="inlineStr">
        <is>
          <t>Pheme Flux Air 2TB NVMe SSD</t>
        </is>
      </c>
      <c r="X115" s="31" t="n">
        <v>296.99</v>
      </c>
      <c r="Y115" s="30" t="inlineStr">
        <is>
          <t>Pheme Axis Lite ATX Motherboard</t>
        </is>
      </c>
      <c r="Z115" s="31" t="n">
        <v>322.99</v>
      </c>
      <c r="AA115" s="30" t="inlineStr">
        <is>
          <t>Pheme Wave Ultra Graphics Card</t>
        </is>
      </c>
      <c r="AB115" s="31" t="n">
        <v>880.99</v>
      </c>
      <c r="AC115" s="42">
        <f>MIN(J115,L115,N115,P115,R115,T115,V115,X115,Z115,AB115)</f>
        <v/>
      </c>
      <c r="AD115" s="42">
        <f>MAX(J115,L115,N115,P115,R115,T115,V115,X115,Z115,AB115)</f>
        <v/>
      </c>
      <c r="AE115" s="42">
        <f>AVERAGE(J115,L115,N115,P115,R115,T115,V115,X115,Z115,AB115)</f>
        <v/>
      </c>
      <c r="AF115" s="0" t="n">
        <v>30</v>
      </c>
    </row>
    <row r="116" ht="15.75" customHeight="1" s="51">
      <c r="A116" s="30" t="n">
        <v>103</v>
      </c>
      <c r="B116" s="34" t="inlineStr">
        <is>
          <t>Hermes</t>
        </is>
      </c>
      <c r="C116" s="30" t="inlineStr">
        <is>
          <t>Computer Hardware</t>
        </is>
      </c>
      <c r="D116" s="30" t="inlineStr">
        <is>
          <t>Hermes Hardware; HERMES; Herems; Hermees</t>
        </is>
      </c>
      <c r="E116" s="30" t="inlineStr">
        <is>
          <t>2 year limited</t>
        </is>
      </c>
      <c r="F116" s="30" t="inlineStr">
        <is>
          <t>ISO 9001, WEEE Registered, RoHS Compliant</t>
        </is>
      </c>
      <c r="G116" s="30" t="inlineStr">
        <is>
          <t>gaming, PC building, streaming, office</t>
        </is>
      </c>
      <c r="H116" s="30" t="inlineStr">
        <is>
          <t>Case Fans, Docking Station, Monitor, Motherboard, Mouse, Networking, PC Case, Power Supply, Processor, Webcam</t>
        </is>
      </c>
      <c r="I116" s="30" t="inlineStr">
        <is>
          <t>Hermes Wave Gaming Mouse</t>
        </is>
      </c>
      <c r="J116" s="31" t="n">
        <v>50.99</v>
      </c>
      <c r="K116" s="30" t="inlineStr">
        <is>
          <t>Hermes Arc X RGB Case Fan 3-Pack</t>
        </is>
      </c>
      <c r="L116" s="31" t="n">
        <v>73.98999999999999</v>
      </c>
      <c r="M116" s="30" t="inlineStr">
        <is>
          <t>Hermes Vibe Lite Wi-Fi 7 PCIe Card</t>
        </is>
      </c>
      <c r="N116" s="31" t="n">
        <v>79.98999999999999</v>
      </c>
      <c r="O116" s="30" t="inlineStr">
        <is>
          <t>Hermes Wave X USB-C Docking Station</t>
        </is>
      </c>
      <c r="P116" s="31" t="n">
        <v>94.98999999999999</v>
      </c>
      <c r="Q116" s="30" t="inlineStr">
        <is>
          <t>Hermes Blaze Max Mid-Tower PC Case</t>
        </is>
      </c>
      <c r="R116" s="31" t="n">
        <v>136.99</v>
      </c>
      <c r="S116" s="30" t="inlineStr">
        <is>
          <t>Hermes Wave Air 850W Power Supply</t>
        </is>
      </c>
      <c r="T116" s="31" t="n">
        <v>169.99</v>
      </c>
      <c r="U116" s="30" t="inlineStr">
        <is>
          <t>Hermes Lumen SE 4K Webcam</t>
        </is>
      </c>
      <c r="V116" s="31" t="n">
        <v>227.99</v>
      </c>
      <c r="W116" s="30" t="inlineStr">
        <is>
          <t>Hermes Rift X ATX Motherboard</t>
        </is>
      </c>
      <c r="X116" s="31" t="n">
        <v>310.99</v>
      </c>
      <c r="Y116" s="30" t="inlineStr">
        <is>
          <t>Hermes Sable Ultra Desktop CPU</t>
        </is>
      </c>
      <c r="Z116" s="31" t="n">
        <v>575.99</v>
      </c>
      <c r="AA116" s="30" t="inlineStr">
        <is>
          <t>Hermes Wave SE 27" 1440p Monitor</t>
        </is>
      </c>
      <c r="AB116" s="31" t="n">
        <v>615.99</v>
      </c>
      <c r="AC116" s="42">
        <f>MIN(J116,L116,N116,P116,R116,T116,V116,X116,Z116,AB116)</f>
        <v/>
      </c>
      <c r="AD116" s="42">
        <f>MAX(J116,L116,N116,P116,R116,T116,V116,X116,Z116,AB116)</f>
        <v/>
      </c>
      <c r="AE116" s="42">
        <f>AVERAGE(J116,L116,N116,P116,R116,T116,V116,X116,Z116,AB116)</f>
        <v/>
      </c>
      <c r="AF116" s="0" t="n">
        <v>60</v>
      </c>
    </row>
    <row r="117" ht="15.75" customHeight="1" s="51">
      <c r="A117" s="30" t="n">
        <v>104</v>
      </c>
      <c r="B117" s="34" t="inlineStr">
        <is>
          <t>Eurybia</t>
        </is>
      </c>
      <c r="C117" s="30" t="inlineStr">
        <is>
          <t>Computer Hardware</t>
        </is>
      </c>
      <c r="D117" s="30" t="inlineStr">
        <is>
          <t>Eurybia Hardware; EURYBIA; Eruybia; Eurybiia</t>
        </is>
      </c>
      <c r="E117" s="30" t="inlineStr">
        <is>
          <t>2 year limited</t>
        </is>
      </c>
      <c r="F117" s="30" t="inlineStr">
        <is>
          <t>ISO 9001, ISO 45001, ISO 14001</t>
        </is>
      </c>
      <c r="G117" s="30" t="inlineStr">
        <is>
          <t>gaming, PC building, content creation, workstation builds</t>
        </is>
      </c>
      <c r="H117" s="30" t="inlineStr">
        <is>
          <t>Case Fans, Cooling, Memory, Monitor, Motherboard, Mouse, Power Supply, Processor, Storage, Webcam</t>
        </is>
      </c>
      <c r="I117" s="30" t="inlineStr">
        <is>
          <t>Eurybia Core RGB Case Fan 3-Pack</t>
        </is>
      </c>
      <c r="J117" s="31" t="n">
        <v>72.98999999999999</v>
      </c>
      <c r="K117" s="30" t="inlineStr">
        <is>
          <t>Eurybia Quanta SE 4TB External Hard Drive</t>
        </is>
      </c>
      <c r="L117" s="31" t="n">
        <v>109.99</v>
      </c>
      <c r="M117" s="30" t="inlineStr">
        <is>
          <t>Eurybia Pulse Max Gaming Mouse</t>
        </is>
      </c>
      <c r="N117" s="31" t="n">
        <v>132.99</v>
      </c>
      <c r="O117" s="30" t="inlineStr">
        <is>
          <t>Eurybia Titan SE 4K Webcam</t>
        </is>
      </c>
      <c r="P117" s="31" t="n">
        <v>137.99</v>
      </c>
      <c r="Q117" s="30" t="inlineStr">
        <is>
          <t>Eurybia Wave 360mm AIO CPU Cooler</t>
        </is>
      </c>
      <c r="R117" s="31" t="n">
        <v>169.99</v>
      </c>
      <c r="S117" s="30" t="inlineStr">
        <is>
          <t>Eurybia Aeon SE 850W Power Supply</t>
        </is>
      </c>
      <c r="T117" s="31" t="n">
        <v>186.99</v>
      </c>
      <c r="U117" s="30" t="inlineStr">
        <is>
          <t>Eurybia Quanta SE 32GB DDR5 RAM Kit</t>
        </is>
      </c>
      <c r="V117" s="31" t="n">
        <v>204.99</v>
      </c>
      <c r="W117" s="30" t="inlineStr">
        <is>
          <t>Eurybia Arc Desktop CPU</t>
        </is>
      </c>
      <c r="X117" s="31" t="n">
        <v>342.99</v>
      </c>
      <c r="Y117" s="30" t="inlineStr">
        <is>
          <t>Eurybia Pulse ATX Motherboard</t>
        </is>
      </c>
      <c r="Z117" s="31" t="n">
        <v>516.99</v>
      </c>
      <c r="AA117" s="30" t="inlineStr">
        <is>
          <t>Eurybia Axis Plus 27" 1440p Monitor</t>
        </is>
      </c>
      <c r="AB117" s="31" t="n">
        <v>618.99</v>
      </c>
      <c r="AC117" s="42">
        <f>MIN(J117,L117,N117,P117,R117,T117,V117,X117,Z117,AB117)</f>
        <v/>
      </c>
      <c r="AD117" s="42">
        <f>MAX(J117,L117,N117,P117,R117,T117,V117,X117,Z117,AB117)</f>
        <v/>
      </c>
      <c r="AE117" s="42">
        <f>AVERAGE(J117,L117,N117,P117,R117,T117,V117,X117,Z117,AB117)</f>
        <v/>
      </c>
      <c r="AF117" s="0" t="n">
        <v>30</v>
      </c>
    </row>
    <row r="118" ht="15.75" customHeight="1" s="51">
      <c r="A118" s="30" t="n">
        <v>105</v>
      </c>
      <c r="B118" s="34" t="inlineStr">
        <is>
          <t>Cronus</t>
        </is>
      </c>
      <c r="C118" s="30" t="inlineStr">
        <is>
          <t>Computer Hardware</t>
        </is>
      </c>
      <c r="D118" s="30" t="inlineStr">
        <is>
          <t>Cronus Hardware; CRONUS; Crronus; Cornus</t>
        </is>
      </c>
      <c r="E118" s="30" t="inlineStr">
        <is>
          <t>2 year limited</t>
        </is>
      </c>
      <c r="F118" s="30" t="inlineStr">
        <is>
          <t>ISO 9001, RoHS Compliant, ISO 45001</t>
        </is>
      </c>
      <c r="G118" s="30" t="inlineStr">
        <is>
          <t>gaming, PC building, remote work, office</t>
        </is>
      </c>
      <c r="H118" s="30" t="inlineStr">
        <is>
          <t>Case Fans, Cooling, Docking Station, Graphics Card, Memory, Monitor, Motherboard, Mouse, Storage, Webcam</t>
        </is>
      </c>
      <c r="I118" s="30" t="inlineStr">
        <is>
          <t>Cronus Prism 32GB DDR5 RAM Kit</t>
        </is>
      </c>
      <c r="J118" s="31" t="n">
        <v>86.98999999999999</v>
      </c>
      <c r="K118" s="30" t="inlineStr">
        <is>
          <t>Cronus Axis RGB Case Fan 3-Pack</t>
        </is>
      </c>
      <c r="L118" s="31" t="n">
        <v>89.98999999999999</v>
      </c>
      <c r="M118" s="30" t="inlineStr">
        <is>
          <t>Cronus Zen Lite 360mm AIO CPU Cooler</t>
        </is>
      </c>
      <c r="N118" s="31" t="n">
        <v>106.99</v>
      </c>
      <c r="O118" s="30" t="inlineStr">
        <is>
          <t>Cronus Wave 4TB External Hard Drive</t>
        </is>
      </c>
      <c r="P118" s="31" t="n">
        <v>136.99</v>
      </c>
      <c r="Q118" s="30" t="inlineStr">
        <is>
          <t>Cronus Quanta Gaming Mouse</t>
        </is>
      </c>
      <c r="R118" s="31" t="n">
        <v>158.99</v>
      </c>
      <c r="S118" s="30" t="inlineStr">
        <is>
          <t>Cronus Quanta SE 4K Webcam</t>
        </is>
      </c>
      <c r="T118" s="31" t="n">
        <v>203.99</v>
      </c>
      <c r="U118" s="30" t="inlineStr">
        <is>
          <t>Cronus Core USB-C Docking Station</t>
        </is>
      </c>
      <c r="V118" s="31" t="n">
        <v>241.99</v>
      </c>
      <c r="W118" s="30" t="inlineStr">
        <is>
          <t>Cronus Drift Lite ATX Motherboard</t>
        </is>
      </c>
      <c r="X118" s="31" t="n">
        <v>368.99</v>
      </c>
      <c r="Y118" s="30" t="inlineStr">
        <is>
          <t>Cronus Crest X 27" 1440p Monitor</t>
        </is>
      </c>
      <c r="Z118" s="31" t="n">
        <v>371.99</v>
      </c>
      <c r="AA118" s="30" t="inlineStr">
        <is>
          <t>Cronus Echo Graphics Card</t>
        </is>
      </c>
      <c r="AB118" s="31" t="n">
        <v>569.99</v>
      </c>
      <c r="AC118" s="42">
        <f>MIN(J118,L118,N118,P118,R118,T118,V118,X118,Z118,AB118)</f>
        <v/>
      </c>
      <c r="AD118" s="42">
        <f>MAX(J118,L118,N118,P118,R118,T118,V118,X118,Z118,AB118)</f>
        <v/>
      </c>
      <c r="AE118" s="42">
        <f>AVERAGE(J118,L118,N118,P118,R118,T118,V118,X118,Z118,AB118)</f>
        <v/>
      </c>
      <c r="AF118" s="0" t="n">
        <v>60</v>
      </c>
    </row>
    <row r="119" ht="15.75" customHeight="1" s="51">
      <c r="A119" s="30" t="n">
        <v>106</v>
      </c>
      <c r="B119" s="34" t="inlineStr">
        <is>
          <t>Harmonia</t>
        </is>
      </c>
      <c r="C119" s="30" t="inlineStr">
        <is>
          <t>Computer Hardware</t>
        </is>
      </c>
      <c r="D119" s="30" t="inlineStr">
        <is>
          <t>Harmonia Hardware; HARMONIA; Haarmonia; Hramonia</t>
        </is>
      </c>
      <c r="E119" s="30" t="inlineStr">
        <is>
          <t>2 year limited</t>
        </is>
      </c>
      <c r="F119" s="30" t="inlineStr">
        <is>
          <t>ISO 9001, ISO/IEC 27001, RoHS Compliant</t>
        </is>
      </c>
      <c r="G119" s="30" t="inlineStr">
        <is>
          <t>gaming, PC building, streaming, office</t>
        </is>
      </c>
      <c r="H119" s="30" t="inlineStr">
        <is>
          <t>Case Fans, Keyboard, Memory, Monitor, Motherboard, Mouse, Networking, PC Case, Storage, Webcam</t>
        </is>
      </c>
      <c r="I119" s="30" t="inlineStr">
        <is>
          <t>Harmonia Halo Lite RGB Case Fan 3-Pack</t>
        </is>
      </c>
      <c r="J119" s="31" t="n">
        <v>31.99</v>
      </c>
      <c r="K119" s="30" t="inlineStr">
        <is>
          <t>Harmonia Prism X Wi-Fi 7 PCIe Card</t>
        </is>
      </c>
      <c r="L119" s="31" t="n">
        <v>49.99</v>
      </c>
      <c r="M119" s="30" t="inlineStr">
        <is>
          <t>Harmonia Strata Gaming Mouse</t>
        </is>
      </c>
      <c r="N119" s="31" t="n">
        <v>139.99</v>
      </c>
      <c r="O119" s="30" t="inlineStr">
        <is>
          <t>Harmonia Pulse SE Mid-Tower PC Case</t>
        </is>
      </c>
      <c r="P119" s="31" t="n">
        <v>150.99</v>
      </c>
      <c r="Q119" s="30" t="inlineStr">
        <is>
          <t>Harmonia Halo Mechanical Keyboard</t>
        </is>
      </c>
      <c r="R119" s="31" t="n">
        <v>170.99</v>
      </c>
      <c r="S119" s="30" t="inlineStr">
        <is>
          <t>Harmonia Vibe 4K Webcam</t>
        </is>
      </c>
      <c r="T119" s="31" t="n">
        <v>173.99</v>
      </c>
      <c r="U119" s="30" t="inlineStr">
        <is>
          <t>Harmonia Lumen Air 32GB DDR5 RAM Kit</t>
        </is>
      </c>
      <c r="V119" s="31" t="n">
        <v>178.99</v>
      </c>
      <c r="W119" s="30" t="inlineStr">
        <is>
          <t>Harmonia Prism 2TB NVMe SSD</t>
        </is>
      </c>
      <c r="X119" s="31" t="n">
        <v>261.99</v>
      </c>
      <c r="Y119" s="30" t="inlineStr">
        <is>
          <t>Harmonia Sable SE ATX Motherboard</t>
        </is>
      </c>
      <c r="Z119" s="31" t="n">
        <v>305.99</v>
      </c>
      <c r="AA119" s="30" t="inlineStr">
        <is>
          <t>Harmonia Flux 27" 1440p Monitor</t>
        </is>
      </c>
      <c r="AB119" s="31" t="n">
        <v>319.99</v>
      </c>
      <c r="AC119" s="42">
        <f>MIN(J119,L119,N119,P119,R119,T119,V119,X119,Z119,AB119)</f>
        <v/>
      </c>
      <c r="AD119" s="42">
        <f>MAX(J119,L119,N119,P119,R119,T119,V119,X119,Z119,AB119)</f>
        <v/>
      </c>
      <c r="AE119" s="42">
        <f>AVERAGE(J119,L119,N119,P119,R119,T119,V119,X119,Z119,AB119)</f>
        <v/>
      </c>
      <c r="AF119" s="0" t="n">
        <v>45</v>
      </c>
    </row>
    <row r="120" ht="15.75" customHeight="1" s="51">
      <c r="A120" s="30" t="n">
        <v>107</v>
      </c>
      <c r="B120" s="34" t="inlineStr">
        <is>
          <t>Bia</t>
        </is>
      </c>
      <c r="C120" s="30" t="inlineStr">
        <is>
          <t>Computer Hardware</t>
        </is>
      </c>
      <c r="D120" s="30" t="inlineStr">
        <is>
          <t>Bia Hardware; BIA; Biia; Biaa</t>
        </is>
      </c>
      <c r="E120" s="30" t="inlineStr">
        <is>
          <t>2 year limited</t>
        </is>
      </c>
      <c r="F120" s="30" t="inlineStr">
        <is>
          <t>ISO 9001, RoHS Compliant, WEEE Registered</t>
        </is>
      </c>
      <c r="G120" s="30" t="inlineStr">
        <is>
          <t>gaming, PC building, office, content creation</t>
        </is>
      </c>
      <c r="H120" s="30" t="inlineStr">
        <is>
          <t>Case Fans, Cooling, Docking Station, Keyboard, Monitor, Motherboard, PC Case, Processor, Storage, Webcam</t>
        </is>
      </c>
      <c r="I120" s="30" t="inlineStr">
        <is>
          <t>Bia Volt Lite RGB Case Fan 3-Pack</t>
        </is>
      </c>
      <c r="J120" s="31" t="n">
        <v>76.98999999999999</v>
      </c>
      <c r="K120" s="30" t="inlineStr">
        <is>
          <t>Bia Titan Mid-Tower PC Case</t>
        </is>
      </c>
      <c r="L120" s="31" t="n">
        <v>116.99</v>
      </c>
      <c r="M120" s="30" t="inlineStr">
        <is>
          <t>Bia Apex Plus USB-C Docking Station</t>
        </is>
      </c>
      <c r="N120" s="31" t="n">
        <v>121.99</v>
      </c>
      <c r="O120" s="30" t="inlineStr">
        <is>
          <t>Bia Aria Max 2TB NVMe SSD</t>
        </is>
      </c>
      <c r="P120" s="31" t="n">
        <v>155.99</v>
      </c>
      <c r="Q120" s="30" t="inlineStr">
        <is>
          <t>Bia Apex Ultra 4K Webcam</t>
        </is>
      </c>
      <c r="R120" s="31" t="n">
        <v>185.99</v>
      </c>
      <c r="S120" s="30" t="inlineStr">
        <is>
          <t>Bia Vertex X Mechanical Keyboard</t>
        </is>
      </c>
      <c r="T120" s="31" t="n">
        <v>186.99</v>
      </c>
      <c r="U120" s="30" t="inlineStr">
        <is>
          <t>Bia Vibe Desktop CPU</t>
        </is>
      </c>
      <c r="V120" s="31" t="n">
        <v>191.99</v>
      </c>
      <c r="W120" s="30" t="inlineStr">
        <is>
          <t>Bia Echo Max 360mm AIO CPU Cooler</t>
        </is>
      </c>
      <c r="X120" s="31" t="n">
        <v>202.99</v>
      </c>
      <c r="Y120" s="30" t="inlineStr">
        <is>
          <t>Bia Aeon Max 27" 1440p Monitor</t>
        </is>
      </c>
      <c r="Z120" s="31" t="n">
        <v>423.99</v>
      </c>
      <c r="AA120" s="30" t="inlineStr">
        <is>
          <t>Bia Nimbus Air ATX Motherboard</t>
        </is>
      </c>
      <c r="AB120" s="31" t="n">
        <v>578.99</v>
      </c>
      <c r="AC120" s="42">
        <f>MIN(J120,L120,N120,P120,R120,T120,V120,X120,Z120,AB120)</f>
        <v/>
      </c>
      <c r="AD120" s="42">
        <f>MAX(J120,L120,N120,P120,R120,T120,V120,X120,Z120,AB120)</f>
        <v/>
      </c>
      <c r="AE120" s="42">
        <f>AVERAGE(J120,L120,N120,P120,R120,T120,V120,X120,Z120,AB120)</f>
        <v/>
      </c>
      <c r="AF120" s="0" t="n">
        <v>14</v>
      </c>
    </row>
    <row r="121" ht="15.75" customHeight="1" s="51">
      <c r="A121" s="30" t="n">
        <v>108</v>
      </c>
      <c r="B121" s="34" t="inlineStr">
        <is>
          <t>Notus</t>
        </is>
      </c>
      <c r="C121" s="30" t="inlineStr">
        <is>
          <t>Computer Hardware</t>
        </is>
      </c>
      <c r="D121" s="30" t="inlineStr">
        <is>
          <t>Notus Hardware; NOTUS; Ntous; Notuss</t>
        </is>
      </c>
      <c r="E121" s="30" t="inlineStr">
        <is>
          <t>2 year limited</t>
        </is>
      </c>
      <c r="F121" s="30" t="inlineStr">
        <is>
          <t>ISO 9001, ISO/IEC 27001, ISO 45001</t>
        </is>
      </c>
      <c r="G121" s="30" t="inlineStr">
        <is>
          <t>gaming, PC building, content creation, office</t>
        </is>
      </c>
      <c r="H121" s="30" t="inlineStr">
        <is>
          <t>Case Fans, Cooling, Graphics Card, Keyboard, Monitor, Motherboard, Mouse, PC Case, Processor, Storage</t>
        </is>
      </c>
      <c r="I121" s="30" t="inlineStr">
        <is>
          <t>Notus Nimbus Air Gaming Mouse</t>
        </is>
      </c>
      <c r="J121" s="31" t="n">
        <v>40.99</v>
      </c>
      <c r="K121" s="30" t="inlineStr">
        <is>
          <t>Notus Sable Pro RGB Case Fan 3-Pack</t>
        </is>
      </c>
      <c r="L121" s="31" t="n">
        <v>55.99</v>
      </c>
      <c r="M121" s="30" t="inlineStr">
        <is>
          <t>Notus Aria Lite Mid-Tower PC Case</t>
        </is>
      </c>
      <c r="N121" s="31" t="n">
        <v>109.99</v>
      </c>
      <c r="O121" s="30" t="inlineStr">
        <is>
          <t>Notus Rift Mechanical Keyboard</t>
        </is>
      </c>
      <c r="P121" s="31" t="n">
        <v>129.99</v>
      </c>
      <c r="Q121" s="30" t="inlineStr">
        <is>
          <t>Notus Echo SE 2TB NVMe SSD</t>
        </is>
      </c>
      <c r="R121" s="31" t="n">
        <v>130.99</v>
      </c>
      <c r="S121" s="30" t="inlineStr">
        <is>
          <t>Notus Wave Lite 360mm AIO CPU Cooler</t>
        </is>
      </c>
      <c r="T121" s="31" t="n">
        <v>202.99</v>
      </c>
      <c r="U121" s="30" t="inlineStr">
        <is>
          <t>Notus Apex SE Desktop CPU</t>
        </is>
      </c>
      <c r="V121" s="31" t="n">
        <v>208.99</v>
      </c>
      <c r="W121" s="30" t="inlineStr">
        <is>
          <t>Notus Titan Plus ATX Motherboard</t>
        </is>
      </c>
      <c r="X121" s="31" t="n">
        <v>351.99</v>
      </c>
      <c r="Y121" s="30" t="inlineStr">
        <is>
          <t>Notus Core Air 27" 1440p Monitor</t>
        </is>
      </c>
      <c r="Z121" s="31" t="n">
        <v>636.99</v>
      </c>
      <c r="AA121" s="30" t="inlineStr">
        <is>
          <t>Notus Crest Max Graphics Card</t>
        </is>
      </c>
      <c r="AB121" s="31" t="n">
        <v>1956.99</v>
      </c>
      <c r="AC121" s="42">
        <f>MIN(J121,L121,N121,P121,R121,T121,V121,X121,Z121,AB121)</f>
        <v/>
      </c>
      <c r="AD121" s="42">
        <f>MAX(J121,L121,N121,P121,R121,T121,V121,X121,Z121,AB121)</f>
        <v/>
      </c>
      <c r="AE121" s="42">
        <f>AVERAGE(J121,L121,N121,P121,R121,T121,V121,X121,Z121,AB121)</f>
        <v/>
      </c>
      <c r="AF121" s="0" t="n">
        <v>30</v>
      </c>
    </row>
    <row r="122" ht="15.75" customHeight="1" s="51">
      <c r="A122" s="30" t="n">
        <v>109</v>
      </c>
      <c r="B122" s="34" t="inlineStr">
        <is>
          <t>Apollo</t>
        </is>
      </c>
      <c r="C122" s="30" t="inlineStr">
        <is>
          <t>Computer Hardware</t>
        </is>
      </c>
      <c r="D122" s="30" t="inlineStr">
        <is>
          <t>Apollo Hardware; APOLLO; Apolllo; Aopllo</t>
        </is>
      </c>
      <c r="E122" s="30" t="inlineStr">
        <is>
          <t>2 year limited</t>
        </is>
      </c>
      <c r="F122" s="30" t="inlineStr">
        <is>
          <t>ISO 9001, ISO 14001, ISO/IEC 27001</t>
        </is>
      </c>
      <c r="G122" s="30" t="inlineStr">
        <is>
          <t>gaming, PC building, office, streaming</t>
        </is>
      </c>
      <c r="H122" s="30" t="inlineStr">
        <is>
          <t>Case Fans, Docking Station, Graphics Card, Keyboard, Monitor, Mouse, Networking, PC Case, Storage, Webcam</t>
        </is>
      </c>
      <c r="I122" s="30" t="inlineStr">
        <is>
          <t>Apollo Rift RGB Case Fan 3-Pack</t>
        </is>
      </c>
      <c r="J122" s="31" t="n">
        <v>40.99</v>
      </c>
      <c r="K122" s="30" t="inlineStr">
        <is>
          <t>Apollo Core SE Wi-Fi 7 PCIe Card</t>
        </is>
      </c>
      <c r="L122" s="31" t="n">
        <v>90.98999999999999</v>
      </c>
      <c r="M122" s="30" t="inlineStr">
        <is>
          <t>Apollo Nimbus Plus 4TB External Hard Drive</t>
        </is>
      </c>
      <c r="N122" s="31" t="n">
        <v>92.98999999999999</v>
      </c>
      <c r="O122" s="30" t="inlineStr">
        <is>
          <t>Apollo Nimbus Lite Mechanical Keyboard</t>
        </is>
      </c>
      <c r="P122" s="31" t="n">
        <v>118.99</v>
      </c>
      <c r="Q122" s="30" t="inlineStr">
        <is>
          <t>Apollo Sable Max USB-C Docking Station</t>
        </is>
      </c>
      <c r="R122" s="31" t="n">
        <v>129.99</v>
      </c>
      <c r="S122" s="30" t="inlineStr">
        <is>
          <t>Apollo Lumen X Gaming Mouse</t>
        </is>
      </c>
      <c r="T122" s="31" t="n">
        <v>142.99</v>
      </c>
      <c r="U122" s="30" t="inlineStr">
        <is>
          <t>Apollo Vibe Lite 4K Webcam</t>
        </is>
      </c>
      <c r="V122" s="31" t="n">
        <v>154.99</v>
      </c>
      <c r="W122" s="30" t="inlineStr">
        <is>
          <t>Apollo Crest SE Mid-Tower PC Case</t>
        </is>
      </c>
      <c r="X122" s="31" t="n">
        <v>216.99</v>
      </c>
      <c r="Y122" s="30" t="inlineStr">
        <is>
          <t>Apollo Echo Lite 27" 1440p Monitor</t>
        </is>
      </c>
      <c r="Z122" s="31" t="n">
        <v>440.99</v>
      </c>
      <c r="AA122" s="30" t="inlineStr">
        <is>
          <t>Apollo Quanta Plus Graphics Card</t>
        </is>
      </c>
      <c r="AB122" s="31" t="n">
        <v>1344.99</v>
      </c>
      <c r="AC122" s="42">
        <f>MIN(J122,L122,N122,P122,R122,T122,V122,X122,Z122,AB122)</f>
        <v/>
      </c>
      <c r="AD122" s="42">
        <f>MAX(J122,L122,N122,P122,R122,T122,V122,X122,Z122,AB122)</f>
        <v/>
      </c>
      <c r="AE122" s="42">
        <f>AVERAGE(J122,L122,N122,P122,R122,T122,V122,X122,Z122,AB122)</f>
        <v/>
      </c>
      <c r="AF122" s="0" t="n">
        <v>30</v>
      </c>
    </row>
    <row r="123" ht="15.75" customHeight="1" s="51">
      <c r="A123" s="30" t="n">
        <v>110</v>
      </c>
      <c r="B123" s="34" t="inlineStr">
        <is>
          <t>Apate</t>
        </is>
      </c>
      <c r="C123" s="30" t="inlineStr">
        <is>
          <t>Computer Hardware</t>
        </is>
      </c>
      <c r="D123" s="30" t="inlineStr">
        <is>
          <t>Apate Hardware; APATE; Appate; Apaate</t>
        </is>
      </c>
      <c r="E123" s="30" t="inlineStr">
        <is>
          <t>2 year limited</t>
        </is>
      </c>
      <c r="F123" s="30" t="inlineStr">
        <is>
          <t>ISO 9001, ISO 14001, ISO/IEC 27001</t>
        </is>
      </c>
      <c r="G123" s="30" t="inlineStr">
        <is>
          <t>gaming, PC building, streaming, remote work</t>
        </is>
      </c>
      <c r="H123" s="30" t="inlineStr">
        <is>
          <t>Case Fans, Cooling, Docking Station, Graphics Card, Monitor, Motherboard, Networking, Power Supply, Storage, Webcam</t>
        </is>
      </c>
      <c r="I123" s="30" t="inlineStr">
        <is>
          <t>Apate Vibe Max Wi-Fi 7 PCIe Card</t>
        </is>
      </c>
      <c r="J123" s="31" t="n">
        <v>67.98999999999999</v>
      </c>
      <c r="K123" s="30" t="inlineStr">
        <is>
          <t>Apate Onyx Plus RGB Case Fan 3-Pack</t>
        </is>
      </c>
      <c r="L123" s="31" t="n">
        <v>84.98999999999999</v>
      </c>
      <c r="M123" s="30" t="inlineStr">
        <is>
          <t>Apate Rift SE 4K Webcam</t>
        </is>
      </c>
      <c r="N123" s="31" t="n">
        <v>102.99</v>
      </c>
      <c r="O123" s="30" t="inlineStr">
        <is>
          <t>Apate Halo Ultra 850W Power Supply</t>
        </is>
      </c>
      <c r="P123" s="31" t="n">
        <v>110.99</v>
      </c>
      <c r="Q123" s="30" t="inlineStr">
        <is>
          <t>Apate Aria Ultra 360mm AIO CPU Cooler</t>
        </is>
      </c>
      <c r="R123" s="31" t="n">
        <v>159.99</v>
      </c>
      <c r="S123" s="30" t="inlineStr">
        <is>
          <t>Apate Blaze SE 2TB NVMe SSD</t>
        </is>
      </c>
      <c r="T123" s="31" t="n">
        <v>166.99</v>
      </c>
      <c r="U123" s="30" t="inlineStr">
        <is>
          <t>Apate Aria USB-C Docking Station</t>
        </is>
      </c>
      <c r="V123" s="31" t="n">
        <v>269.99</v>
      </c>
      <c r="W123" s="30" t="inlineStr">
        <is>
          <t>Apate Sable Lite ATX Motherboard</t>
        </is>
      </c>
      <c r="X123" s="31" t="n">
        <v>411.99</v>
      </c>
      <c r="Y123" s="30" t="inlineStr">
        <is>
          <t>Apate Spark Air 27" 1440p Monitor</t>
        </is>
      </c>
      <c r="Z123" s="31" t="n">
        <v>577.99</v>
      </c>
      <c r="AA123" s="30" t="inlineStr">
        <is>
          <t>Apate Apex Graphics Card</t>
        </is>
      </c>
      <c r="AB123" s="31" t="n">
        <v>1673.99</v>
      </c>
      <c r="AC123" s="42">
        <f>MIN(J123,L123,N123,P123,R123,T123,V123,X123,Z123,AB123)</f>
        <v/>
      </c>
      <c r="AD123" s="42">
        <f>MAX(J123,L123,N123,P123,R123,T123,V123,X123,Z123,AB123)</f>
        <v/>
      </c>
      <c r="AE123" s="42">
        <f>AVERAGE(J123,L123,N123,P123,R123,T123,V123,X123,Z123,AB123)</f>
        <v/>
      </c>
      <c r="AF123" s="0" t="n">
        <v>45</v>
      </c>
    </row>
    <row r="124" ht="15.75" customHeight="1" s="51">
      <c r="A124" s="30" t="n">
        <v>111</v>
      </c>
      <c r="B124" s="34" t="inlineStr">
        <is>
          <t>Eos</t>
        </is>
      </c>
      <c r="C124" s="30" t="inlineStr">
        <is>
          <t>Computer Hardware</t>
        </is>
      </c>
      <c r="D124" s="30" t="inlineStr">
        <is>
          <t>Eos Hardware; EOS; Eoss; Eoos</t>
        </is>
      </c>
      <c r="E124" s="30" t="inlineStr">
        <is>
          <t>2 year limited</t>
        </is>
      </c>
      <c r="F124" s="30" t="inlineStr">
        <is>
          <t>ISO 9001, ISO/IEC 27001, RoHS Compliant</t>
        </is>
      </c>
      <c r="G124" s="30" t="inlineStr">
        <is>
          <t>gaming, PC building, content creation, office</t>
        </is>
      </c>
      <c r="H124" s="30" t="inlineStr">
        <is>
          <t>Case Fans, Graphics Card, Keyboard, Monitor, Motherboard, Networking, PC Case, Processor, Storage</t>
        </is>
      </c>
      <c r="I124" s="30" t="inlineStr">
        <is>
          <t>Eos Nimbus RGB Case Fan 3-Pack</t>
        </is>
      </c>
      <c r="J124" s="31" t="n">
        <v>92.98999999999999</v>
      </c>
      <c r="K124" s="30" t="inlineStr">
        <is>
          <t>Eos Echo Plus Wi-Fi 7 PCIe Card</t>
        </is>
      </c>
      <c r="L124" s="31" t="n">
        <v>96.98999999999999</v>
      </c>
      <c r="M124" s="30" t="inlineStr">
        <is>
          <t>Eos Arc 2TB NVMe SSD</t>
        </is>
      </c>
      <c r="N124" s="31" t="n">
        <v>112.99</v>
      </c>
      <c r="O124" s="30" t="inlineStr">
        <is>
          <t>Eos Aria Ultra Mid-Tower PC Case</t>
        </is>
      </c>
      <c r="P124" s="31" t="n">
        <v>152.99</v>
      </c>
      <c r="Q124" s="30" t="inlineStr">
        <is>
          <t>Eos Pulse Pro 4TB External Hard Drive</t>
        </is>
      </c>
      <c r="R124" s="31" t="n">
        <v>175.99</v>
      </c>
      <c r="S124" s="30" t="inlineStr">
        <is>
          <t>Eos Halo Max Mechanical Keyboard</t>
        </is>
      </c>
      <c r="T124" s="31" t="n">
        <v>228.99</v>
      </c>
      <c r="U124" s="30" t="inlineStr">
        <is>
          <t>Eos Wave Ultra 27" 1440p Monitor</t>
        </is>
      </c>
      <c r="V124" s="31" t="n">
        <v>426.99</v>
      </c>
      <c r="W124" s="30" t="inlineStr">
        <is>
          <t>Eos Aria Pro ATX Motherboard</t>
        </is>
      </c>
      <c r="X124" s="31" t="n">
        <v>596.99</v>
      </c>
      <c r="Y124" s="30" t="inlineStr">
        <is>
          <t>Eos Volt Plus Desktop CPU</t>
        </is>
      </c>
      <c r="Z124" s="31" t="n">
        <v>692.99</v>
      </c>
      <c r="AA124" s="30" t="inlineStr">
        <is>
          <t>Eos Spark X Graphics Card</t>
        </is>
      </c>
      <c r="AB124" s="31" t="n">
        <v>1010.99</v>
      </c>
      <c r="AC124" s="42">
        <f>MIN(J124,L124,N124,P124,R124,T124,V124,X124,Z124,AB124)</f>
        <v/>
      </c>
      <c r="AD124" s="42">
        <f>MAX(J124,L124,N124,P124,R124,T124,V124,X124,Z124,AB124)</f>
        <v/>
      </c>
      <c r="AE124" s="42">
        <f>AVERAGE(J124,L124,N124,P124,R124,T124,V124,X124,Z124,AB124)</f>
        <v/>
      </c>
      <c r="AF124" s="0" t="n">
        <v>30</v>
      </c>
    </row>
    <row r="125" ht="15.75" customHeight="1" s="51">
      <c r="A125" s="30" t="n">
        <v>112</v>
      </c>
      <c r="B125" s="34" t="inlineStr">
        <is>
          <t>Eirene</t>
        </is>
      </c>
      <c r="C125" s="30" t="inlineStr">
        <is>
          <t>Computer Hardware</t>
        </is>
      </c>
      <c r="D125" s="30" t="inlineStr">
        <is>
          <t>Eirene Hardware; EIRENE; Eireene; Eirenne</t>
        </is>
      </c>
      <c r="E125" s="30" t="inlineStr">
        <is>
          <t>2 year limited</t>
        </is>
      </c>
      <c r="F125" s="30" t="inlineStr">
        <is>
          <t>ISO 9001, WEEE Registered, ISO 14001</t>
        </is>
      </c>
      <c r="G125" s="30" t="inlineStr">
        <is>
          <t>gaming, PC building, streaming, office</t>
        </is>
      </c>
      <c r="H125" s="30" t="inlineStr">
        <is>
          <t>Docking Station, Graphics Card, Keyboard, Networking, PC Case, Power Supply, Processor, Storage, Webcam</t>
        </is>
      </c>
      <c r="I125" s="30" t="inlineStr">
        <is>
          <t>Eirene Drift SE Wi-Fi 7 PCIe Card</t>
        </is>
      </c>
      <c r="J125" s="31" t="n">
        <v>72.98999999999999</v>
      </c>
      <c r="K125" s="30" t="inlineStr">
        <is>
          <t>Eirene Crest Max Mid-Tower PC Case</t>
        </is>
      </c>
      <c r="L125" s="31" t="n">
        <v>122.99</v>
      </c>
      <c r="M125" s="30" t="inlineStr">
        <is>
          <t>Eirene Strata X 850W Power Supply</t>
        </is>
      </c>
      <c r="N125" s="31" t="n">
        <v>129.99</v>
      </c>
      <c r="O125" s="30" t="inlineStr">
        <is>
          <t>Eirene Pulse 4TB External Hard Drive</t>
        </is>
      </c>
      <c r="P125" s="31" t="n">
        <v>153.99</v>
      </c>
      <c r="Q125" s="30" t="inlineStr">
        <is>
          <t>Eirene Strata Pro USB-C Docking Station</t>
        </is>
      </c>
      <c r="R125" s="31" t="n">
        <v>187.99</v>
      </c>
      <c r="S125" s="30" t="inlineStr">
        <is>
          <t>Eirene Wave X 4K Webcam</t>
        </is>
      </c>
      <c r="T125" s="31" t="n">
        <v>213.99</v>
      </c>
      <c r="U125" s="30" t="inlineStr">
        <is>
          <t>Eirene Axis Max Mechanical Keyboard</t>
        </is>
      </c>
      <c r="V125" s="31" t="n">
        <v>230.99</v>
      </c>
      <c r="W125" s="30" t="inlineStr">
        <is>
          <t>Eirene Arc Pro 2TB NVMe SSD</t>
        </is>
      </c>
      <c r="X125" s="31" t="n">
        <v>263.99</v>
      </c>
      <c r="Y125" s="30" t="inlineStr">
        <is>
          <t>Eirene Rift Lite Desktop CPU</t>
        </is>
      </c>
      <c r="Z125" s="31" t="n">
        <v>613.99</v>
      </c>
      <c r="AA125" s="30" t="inlineStr">
        <is>
          <t>Eirene Pulse Pro Graphics Card</t>
        </is>
      </c>
      <c r="AB125" s="31" t="n">
        <v>1888.99</v>
      </c>
      <c r="AC125" s="42">
        <f>MIN(J125,L125,N125,P125,R125,T125,V125,X125,Z125,AB125)</f>
        <v/>
      </c>
      <c r="AD125" s="42">
        <f>MAX(J125,L125,N125,P125,R125,T125,V125,X125,Z125,AB125)</f>
        <v/>
      </c>
      <c r="AE125" s="42">
        <f>AVERAGE(J125,L125,N125,P125,R125,T125,V125,X125,Z125,AB125)</f>
        <v/>
      </c>
      <c r="AF125" s="0" t="n">
        <v>60</v>
      </c>
    </row>
    <row r="126" ht="15.75" customHeight="1" s="51">
      <c r="A126" s="30" t="n">
        <v>113</v>
      </c>
      <c r="B126" s="34" t="inlineStr">
        <is>
          <t>Uranus</t>
        </is>
      </c>
      <c r="C126" s="30" t="inlineStr">
        <is>
          <t>Computer Hardware</t>
        </is>
      </c>
      <c r="D126" s="30" t="inlineStr">
        <is>
          <t>Uranus Hardware; URANUS; Urauns; Urannus</t>
        </is>
      </c>
      <c r="E126" s="30" t="inlineStr">
        <is>
          <t>2 year limited</t>
        </is>
      </c>
      <c r="F126" s="30" t="inlineStr">
        <is>
          <t>ISO 9001, ISO/IEC 27001, ISO 14001</t>
        </is>
      </c>
      <c r="G126" s="30" t="inlineStr">
        <is>
          <t>gaming, PC building, streaming, remote work</t>
        </is>
      </c>
      <c r="H126" s="30" t="inlineStr">
        <is>
          <t>Cooling, Docking Station, Memory, Monitor, Networking, PC Case, Power Supply, Storage, Webcam</t>
        </is>
      </c>
      <c r="I126" s="30" t="inlineStr">
        <is>
          <t>Uranus Orbit Plus Mid-Tower PC Case</t>
        </is>
      </c>
      <c r="J126" s="31" t="n">
        <v>59.99</v>
      </c>
      <c r="K126" s="30" t="inlineStr">
        <is>
          <t>Uranus Vibe Air Wi-Fi 7 PCIe Card</t>
        </is>
      </c>
      <c r="L126" s="31" t="n">
        <v>62.99</v>
      </c>
      <c r="M126" s="30" t="inlineStr">
        <is>
          <t>Uranus Core Max 32GB DDR5 RAM Kit</t>
        </is>
      </c>
      <c r="N126" s="31" t="n">
        <v>148.99</v>
      </c>
      <c r="O126" s="30" t="inlineStr">
        <is>
          <t>Uranus Lumen 4K Webcam</t>
        </is>
      </c>
      <c r="P126" s="31" t="n">
        <v>149.99</v>
      </c>
      <c r="Q126" s="30" t="inlineStr">
        <is>
          <t>Uranus Prism 850W Power Supply</t>
        </is>
      </c>
      <c r="R126" s="31" t="n">
        <v>160.99</v>
      </c>
      <c r="S126" s="30" t="inlineStr">
        <is>
          <t>Uranus Drift Plus 2TB NVMe SSD</t>
        </is>
      </c>
      <c r="T126" s="31" t="n">
        <v>168.99</v>
      </c>
      <c r="U126" s="30" t="inlineStr">
        <is>
          <t>Uranus Strata X 4TB External Hard Drive</t>
        </is>
      </c>
      <c r="V126" s="31" t="n">
        <v>191.99</v>
      </c>
      <c r="W126" s="30" t="inlineStr">
        <is>
          <t>Uranus Nova Plus 360mm AIO CPU Cooler</t>
        </is>
      </c>
      <c r="X126" s="31" t="n">
        <v>211.99</v>
      </c>
      <c r="Y126" s="30" t="inlineStr">
        <is>
          <t>Uranus Aria X USB-C Docking Station</t>
        </is>
      </c>
      <c r="Z126" s="31" t="n">
        <v>344.99</v>
      </c>
      <c r="AA126" s="30" t="inlineStr">
        <is>
          <t>Uranus Arc 27" 1440p Monitor</t>
        </is>
      </c>
      <c r="AB126" s="31" t="n">
        <v>589.99</v>
      </c>
      <c r="AC126" s="42">
        <f>MIN(J126,L126,N126,P126,R126,T126,V126,X126,Z126,AB126)</f>
        <v/>
      </c>
      <c r="AD126" s="42">
        <f>MAX(J126,L126,N126,P126,R126,T126,V126,X126,Z126,AB126)</f>
        <v/>
      </c>
      <c r="AE126" s="42">
        <f>AVERAGE(J126,L126,N126,P126,R126,T126,V126,X126,Z126,AB126)</f>
        <v/>
      </c>
      <c r="AF126" s="0" t="n">
        <v>30</v>
      </c>
    </row>
    <row r="127" ht="15.75" customHeight="1" s="51">
      <c r="A127" s="30" t="n">
        <v>114</v>
      </c>
      <c r="B127" s="34" t="inlineStr">
        <is>
          <t>Enyo</t>
        </is>
      </c>
      <c r="C127" s="30" t="inlineStr">
        <is>
          <t>Computer Hardware</t>
        </is>
      </c>
      <c r="D127" s="30" t="inlineStr">
        <is>
          <t>Enyo Hardware; ENYO; Enyoo; Eyno</t>
        </is>
      </c>
      <c r="E127" s="30" t="inlineStr">
        <is>
          <t>2 year limited</t>
        </is>
      </c>
      <c r="F127" s="30" t="inlineStr">
        <is>
          <t>ISO 9001, RoHS Compliant, ISO 14001</t>
        </is>
      </c>
      <c r="G127" s="30" t="inlineStr">
        <is>
          <t>gaming, PC building, content creation, office</t>
        </is>
      </c>
      <c r="H127" s="30" t="inlineStr">
        <is>
          <t>Cooling, Graphics Card, Keyboard, Memory, Monitor, Motherboard, Power Supply, Storage, Webcam</t>
        </is>
      </c>
      <c r="I127" s="30" t="inlineStr">
        <is>
          <t>Enyo Zen Pro 850W Power Supply</t>
        </is>
      </c>
      <c r="J127" s="31" t="n">
        <v>136.99</v>
      </c>
      <c r="K127" s="30" t="inlineStr">
        <is>
          <t>Enyo Nimbus 4TB External Hard Drive</t>
        </is>
      </c>
      <c r="L127" s="31" t="n">
        <v>139.99</v>
      </c>
      <c r="M127" s="30" t="inlineStr">
        <is>
          <t>Enyo Prism 2TB NVMe SSD</t>
        </is>
      </c>
      <c r="N127" s="31" t="n">
        <v>144.99</v>
      </c>
      <c r="O127" s="30" t="inlineStr">
        <is>
          <t>Enyo Vibe Max Mechanical Keyboard</t>
        </is>
      </c>
      <c r="P127" s="31" t="n">
        <v>168.99</v>
      </c>
      <c r="Q127" s="30" t="inlineStr">
        <is>
          <t>Enyo Onyx Lite 32GB DDR5 RAM Kit</t>
        </is>
      </c>
      <c r="R127" s="31" t="n">
        <v>221.99</v>
      </c>
      <c r="S127" s="30" t="inlineStr">
        <is>
          <t>Enyo Titan Ultra 4K Webcam</t>
        </is>
      </c>
      <c r="T127" s="31" t="n">
        <v>223.99</v>
      </c>
      <c r="U127" s="30" t="inlineStr">
        <is>
          <t>Enyo Quanta Air 360mm AIO CPU Cooler</t>
        </is>
      </c>
      <c r="V127" s="31" t="n">
        <v>256.99</v>
      </c>
      <c r="W127" s="30" t="inlineStr">
        <is>
          <t>Enyo Volt Air ATX Motherboard</t>
        </is>
      </c>
      <c r="X127" s="31" t="n">
        <v>491.99</v>
      </c>
      <c r="Y127" s="30" t="inlineStr">
        <is>
          <t>Enyo Axis X 27" 1440p Monitor</t>
        </is>
      </c>
      <c r="Z127" s="31" t="n">
        <v>496.99</v>
      </c>
      <c r="AA127" s="30" t="inlineStr">
        <is>
          <t>Enyo Strata Lite Graphics Card</t>
        </is>
      </c>
      <c r="AB127" s="31" t="n">
        <v>862.99</v>
      </c>
      <c r="AC127" s="42">
        <f>MIN(J127,L127,N127,P127,R127,T127,V127,X127,Z127,AB127)</f>
        <v/>
      </c>
      <c r="AD127" s="42">
        <f>MAX(J127,L127,N127,P127,R127,T127,V127,X127,Z127,AB127)</f>
        <v/>
      </c>
      <c r="AE127" s="42">
        <f>AVERAGE(J127,L127,N127,P127,R127,T127,V127,X127,Z127,AB127)</f>
        <v/>
      </c>
      <c r="AF127" s="0" t="n">
        <v>30</v>
      </c>
    </row>
    <row r="128" ht="15.75" customHeight="1" s="51">
      <c r="A128" s="30" t="n">
        <v>115</v>
      </c>
      <c r="B128" s="34" t="inlineStr">
        <is>
          <t>Nyx</t>
        </is>
      </c>
      <c r="C128" s="30" t="inlineStr">
        <is>
          <t>Computer Hardware</t>
        </is>
      </c>
      <c r="D128" s="30" t="inlineStr">
        <is>
          <t>Nyx Hardware; NYX; Nyxx; Nix</t>
        </is>
      </c>
      <c r="E128" s="30" t="inlineStr">
        <is>
          <t>2 year limited</t>
        </is>
      </c>
      <c r="F128" s="30" t="inlineStr">
        <is>
          <t>ISO 9001, WEEE Registered, ISO 45001</t>
        </is>
      </c>
      <c r="G128" s="30" t="inlineStr">
        <is>
          <t>gaming, PC building, content creation, workstation builds</t>
        </is>
      </c>
      <c r="H128" s="30" t="inlineStr">
        <is>
          <t>Case Fans, Memory, Monitor, Motherboard, Networking, PC Case, Power Supply, Processor, Storage</t>
        </is>
      </c>
      <c r="I128" s="30" t="inlineStr">
        <is>
          <t>Nyx Halo Plus Wi-Fi 7 PCIe Card</t>
        </is>
      </c>
      <c r="J128" s="31" t="n">
        <v>55.99</v>
      </c>
      <c r="K128" s="30" t="inlineStr">
        <is>
          <t>Nyx Strata Lite Mid-Tower PC Case</t>
        </is>
      </c>
      <c r="L128" s="31" t="n">
        <v>71.98999999999999</v>
      </c>
      <c r="M128" s="30" t="inlineStr">
        <is>
          <t>Nyx Strata RGB Case Fan 3-Pack</t>
        </is>
      </c>
      <c r="N128" s="31" t="n">
        <v>87.98999999999999</v>
      </c>
      <c r="O128" s="30" t="inlineStr">
        <is>
          <t>Nyx Flux SE 4TB External Hard Drive</t>
        </is>
      </c>
      <c r="P128" s="31" t="n">
        <v>152.99</v>
      </c>
      <c r="Q128" s="30" t="inlineStr">
        <is>
          <t>Nyx Quanta Pro 850W Power Supply</t>
        </is>
      </c>
      <c r="R128" s="31" t="n">
        <v>208.99</v>
      </c>
      <c r="S128" s="30" t="inlineStr">
        <is>
          <t>Nyx Crest 32GB DDR5 RAM Kit</t>
        </is>
      </c>
      <c r="T128" s="31" t="n">
        <v>226.99</v>
      </c>
      <c r="U128" s="30" t="inlineStr">
        <is>
          <t>Nyx Prism SE 2TB NVMe SSD</t>
        </is>
      </c>
      <c r="V128" s="31" t="n">
        <v>233.99</v>
      </c>
      <c r="W128" s="30" t="inlineStr">
        <is>
          <t>Nyx Lumen Max 27" 1440p Monitor</t>
        </is>
      </c>
      <c r="X128" s="31" t="n">
        <v>331.99</v>
      </c>
      <c r="Y128" s="30" t="inlineStr">
        <is>
          <t>Nyx Lumen Ultra ATX Motherboard</t>
        </is>
      </c>
      <c r="Z128" s="31" t="n">
        <v>357.99</v>
      </c>
      <c r="AA128" s="30" t="inlineStr">
        <is>
          <t>Nyx Echo X Desktop CPU</t>
        </is>
      </c>
      <c r="AB128" s="31" t="n">
        <v>609.99</v>
      </c>
      <c r="AC128" s="42">
        <f>MIN(J128,L128,N128,P128,R128,T128,V128,X128,Z128,AB128)</f>
        <v/>
      </c>
      <c r="AD128" s="42">
        <f>MAX(J128,L128,N128,P128,R128,T128,V128,X128,Z128,AB128)</f>
        <v/>
      </c>
      <c r="AE128" s="42">
        <f>AVERAGE(J128,L128,N128,P128,R128,T128,V128,X128,Z128,AB128)</f>
        <v/>
      </c>
      <c r="AF128" s="0" t="n">
        <v>30</v>
      </c>
    </row>
    <row r="129" ht="15.75" customHeight="1" s="51">
      <c r="A129" s="30" t="n">
        <v>116</v>
      </c>
      <c r="B129" s="34" t="inlineStr">
        <is>
          <t>Hestia</t>
        </is>
      </c>
      <c r="C129" s="30" t="inlineStr">
        <is>
          <t>Computer Hardware</t>
        </is>
      </c>
      <c r="D129" s="30" t="inlineStr">
        <is>
          <t>Hestia Hardware; HESTIA; Hesita; Hestiaa</t>
        </is>
      </c>
      <c r="E129" s="30" t="inlineStr">
        <is>
          <t>2 year limited</t>
        </is>
      </c>
      <c r="F129" s="30" t="inlineStr">
        <is>
          <t>ISO 9001, ISO 14001, ISO 45001</t>
        </is>
      </c>
      <c r="G129" s="30" t="inlineStr">
        <is>
          <t>gaming, PC building, streaming, remote work</t>
        </is>
      </c>
      <c r="H129" s="30" t="inlineStr">
        <is>
          <t>Cooling, Docking Station, Motherboard, Mouse, Networking, Power Supply, Processor, Storage, Webcam</t>
        </is>
      </c>
      <c r="I129" s="30" t="inlineStr">
        <is>
          <t>Hestia Titan Pro 4K Webcam</t>
        </is>
      </c>
      <c r="J129" s="31" t="n">
        <v>57.99</v>
      </c>
      <c r="K129" s="30" t="inlineStr">
        <is>
          <t>Hestia Sable Wi-Fi 7 PCIe Card</t>
        </is>
      </c>
      <c r="L129" s="31" t="n">
        <v>100.99</v>
      </c>
      <c r="M129" s="30" t="inlineStr">
        <is>
          <t>Hestia Halo Gaming Mouse</t>
        </is>
      </c>
      <c r="N129" s="31" t="n">
        <v>153.99</v>
      </c>
      <c r="O129" s="30" t="inlineStr">
        <is>
          <t>Hestia Lumen Lite USB-C Docking Station</t>
        </is>
      </c>
      <c r="P129" s="31" t="n">
        <v>164.99</v>
      </c>
      <c r="Q129" s="30" t="inlineStr">
        <is>
          <t>Hestia Volt 4TB External Hard Drive</t>
        </is>
      </c>
      <c r="R129" s="31" t="n">
        <v>181.99</v>
      </c>
      <c r="S129" s="30" t="inlineStr">
        <is>
          <t>Hestia Core Pro 850W Power Supply</t>
        </is>
      </c>
      <c r="T129" s="31" t="n">
        <v>203.99</v>
      </c>
      <c r="U129" s="30" t="inlineStr">
        <is>
          <t>Hestia Nimbus 360mm AIO CPU Cooler</t>
        </is>
      </c>
      <c r="V129" s="31" t="n">
        <v>210.99</v>
      </c>
      <c r="W129" s="30" t="inlineStr">
        <is>
          <t>Hestia Crest SE ATX Motherboard</t>
        </is>
      </c>
      <c r="X129" s="31" t="n">
        <v>214.99</v>
      </c>
      <c r="Y129" s="30" t="inlineStr">
        <is>
          <t>Hestia Echo 2TB NVMe SSD</t>
        </is>
      </c>
      <c r="Z129" s="31" t="n">
        <v>260.99</v>
      </c>
      <c r="AA129" s="30" t="inlineStr">
        <is>
          <t>Hestia Nimbus SE Desktop CPU</t>
        </is>
      </c>
      <c r="AB129" s="31" t="n">
        <v>567.99</v>
      </c>
      <c r="AC129" s="42">
        <f>MIN(J129,L129,N129,P129,R129,T129,V129,X129,Z129,AB129)</f>
        <v/>
      </c>
      <c r="AD129" s="42">
        <f>MAX(J129,L129,N129,P129,R129,T129,V129,X129,Z129,AB129)</f>
        <v/>
      </c>
      <c r="AE129" s="42">
        <f>AVERAGE(J129,L129,N129,P129,R129,T129,V129,X129,Z129,AB129)</f>
        <v/>
      </c>
      <c r="AF129" s="0" t="n">
        <v>30</v>
      </c>
    </row>
    <row r="130" ht="15.75" customHeight="1" s="51">
      <c r="A130" s="30" t="n">
        <v>117</v>
      </c>
      <c r="B130" s="34" t="inlineStr">
        <is>
          <t>Hemera</t>
        </is>
      </c>
      <c r="C130" s="30" t="inlineStr">
        <is>
          <t>Computer Hardware</t>
        </is>
      </c>
      <c r="D130" s="30" t="inlineStr">
        <is>
          <t>Hemera Hardware; HEMERA; Hemeera; Hemerra</t>
        </is>
      </c>
      <c r="E130" s="30" t="inlineStr">
        <is>
          <t>2 year limited</t>
        </is>
      </c>
      <c r="F130" s="30" t="inlineStr">
        <is>
          <t>ISO 9001, WEEE Registered, ISO 14001</t>
        </is>
      </c>
      <c r="G130" s="30" t="inlineStr">
        <is>
          <t>gaming, PC building, content creation, office</t>
        </is>
      </c>
      <c r="H130" s="30" t="inlineStr">
        <is>
          <t>Docking Station, Graphics Card, Memory, Monitor, Motherboard, Networking, Power Supply, Processor, Storage</t>
        </is>
      </c>
      <c r="I130" s="30" t="inlineStr">
        <is>
          <t>Hemera Prism Ultra Wi-Fi 7 PCIe Card</t>
        </is>
      </c>
      <c r="J130" s="31" t="n">
        <v>76.98999999999999</v>
      </c>
      <c r="K130" s="30" t="inlineStr">
        <is>
          <t>Hemera Vertex Lite 4TB External Hard Drive</t>
        </is>
      </c>
      <c r="L130" s="31" t="n">
        <v>131.99</v>
      </c>
      <c r="M130" s="30" t="inlineStr">
        <is>
          <t>Hemera Halo USB-C Docking Station</t>
        </is>
      </c>
      <c r="N130" s="31" t="n">
        <v>145.99</v>
      </c>
      <c r="O130" s="30" t="inlineStr">
        <is>
          <t>Hemera Arc Pro Desktop CPU</t>
        </is>
      </c>
      <c r="P130" s="31" t="n">
        <v>147.99</v>
      </c>
      <c r="Q130" s="30" t="inlineStr">
        <is>
          <t>Hemera Quanta Ultra 850W Power Supply</t>
        </is>
      </c>
      <c r="R130" s="31" t="n">
        <v>175.99</v>
      </c>
      <c r="S130" s="30" t="inlineStr">
        <is>
          <t>Hemera Onyx Pro 2TB NVMe SSD</t>
        </is>
      </c>
      <c r="T130" s="31" t="n">
        <v>189.99</v>
      </c>
      <c r="U130" s="30" t="inlineStr">
        <is>
          <t>Hemera Crest Air 32GB DDR5 RAM Kit</t>
        </is>
      </c>
      <c r="V130" s="31" t="n">
        <v>211.99</v>
      </c>
      <c r="W130" s="30" t="inlineStr">
        <is>
          <t>Hemera Rift SE ATX Motherboard</t>
        </is>
      </c>
      <c r="X130" s="31" t="n">
        <v>232.99</v>
      </c>
      <c r="Y130" s="30" t="inlineStr">
        <is>
          <t>Hemera Nova 27" 1440p Monitor</t>
        </is>
      </c>
      <c r="Z130" s="31" t="n">
        <v>283.99</v>
      </c>
      <c r="AA130" s="30" t="inlineStr">
        <is>
          <t>Hemera Lumen Max Graphics Card</t>
        </is>
      </c>
      <c r="AB130" s="31" t="n">
        <v>1278.99</v>
      </c>
      <c r="AC130" s="42">
        <f>MIN(J130,L130,N130,P130,R130,T130,V130,X130,Z130,AB130)</f>
        <v/>
      </c>
      <c r="AD130" s="42">
        <f>MAX(J130,L130,N130,P130,R130,T130,V130,X130,Z130,AB130)</f>
        <v/>
      </c>
      <c r="AE130" s="42">
        <f>AVERAGE(J130,L130,N130,P130,R130,T130,V130,X130,Z130,AB130)</f>
        <v/>
      </c>
      <c r="AF130" s="0" t="n">
        <v>30</v>
      </c>
    </row>
    <row r="131" ht="15.75" customHeight="1" s="51">
      <c r="A131" s="30" t="n">
        <v>118</v>
      </c>
      <c r="B131" s="34" t="inlineStr">
        <is>
          <t>Dionysus</t>
        </is>
      </c>
      <c r="C131" s="30" t="inlineStr">
        <is>
          <t>Computer Hardware</t>
        </is>
      </c>
      <c r="D131" s="30" t="inlineStr">
        <is>
          <t>Dionysus Hardware; DIONYSUS; Dioynsus; Dionyuss</t>
        </is>
      </c>
      <c r="E131" s="30" t="inlineStr">
        <is>
          <t>2 year limited</t>
        </is>
      </c>
      <c r="F131" s="30" t="inlineStr">
        <is>
          <t>ISO 9001, ISO/IEC 27001, ISO 14001</t>
        </is>
      </c>
      <c r="G131" s="30" t="inlineStr">
        <is>
          <t>gaming, PC building, content creation, office</t>
        </is>
      </c>
      <c r="H131" s="30" t="inlineStr">
        <is>
          <t>Case Fans, Graphics Card, Keyboard, Monitor, Networking, PC Case, Power Supply, Processor, Storage</t>
        </is>
      </c>
      <c r="I131" s="30" t="inlineStr">
        <is>
          <t>Dionysus Titan Max Wi-Fi 7 PCIe Card</t>
        </is>
      </c>
      <c r="J131" s="31" t="n">
        <v>53.99</v>
      </c>
      <c r="K131" s="30" t="inlineStr">
        <is>
          <t>Dionysus Aeon SE RGB Case Fan 3-Pack</t>
        </is>
      </c>
      <c r="L131" s="31" t="n">
        <v>81.98999999999999</v>
      </c>
      <c r="M131" s="30" t="inlineStr">
        <is>
          <t>Dionysus Apex 850W Power Supply</t>
        </is>
      </c>
      <c r="N131" s="31" t="n">
        <v>100.99</v>
      </c>
      <c r="O131" s="30" t="inlineStr">
        <is>
          <t>Dionysus Vertex Mid-Tower PC Case</t>
        </is>
      </c>
      <c r="P131" s="31" t="n">
        <v>135.99</v>
      </c>
      <c r="Q131" s="30" t="inlineStr">
        <is>
          <t>Dionysus Echo Desktop CPU</t>
        </is>
      </c>
      <c r="R131" s="31" t="n">
        <v>148.99</v>
      </c>
      <c r="S131" s="30" t="inlineStr">
        <is>
          <t>Dionysus Aria Mechanical Keyboard</t>
        </is>
      </c>
      <c r="T131" s="31" t="n">
        <v>155.99</v>
      </c>
      <c r="U131" s="30" t="inlineStr">
        <is>
          <t>Dionysus Crest Lite 4TB External Hard Drive</t>
        </is>
      </c>
      <c r="V131" s="31" t="n">
        <v>167.99</v>
      </c>
      <c r="W131" s="30" t="inlineStr">
        <is>
          <t>Dionysus Orbit Max 2TB NVMe SSD</t>
        </is>
      </c>
      <c r="X131" s="31" t="n">
        <v>267.99</v>
      </c>
      <c r="Y131" s="30" t="inlineStr">
        <is>
          <t>Dionysus Axis Lite 27" 1440p Monitor</t>
        </is>
      </c>
      <c r="Z131" s="31" t="n">
        <v>440.99</v>
      </c>
      <c r="AA131" s="30" t="inlineStr">
        <is>
          <t>Dionysus Axis Graphics Card</t>
        </is>
      </c>
      <c r="AB131" s="31" t="n">
        <v>668.99</v>
      </c>
      <c r="AC131" s="42">
        <f>MIN(J131,L131,N131,P131,R131,T131,V131,X131,Z131,AB131)</f>
        <v/>
      </c>
      <c r="AD131" s="42">
        <f>MAX(J131,L131,N131,P131,R131,T131,V131,X131,Z131,AB131)</f>
        <v/>
      </c>
      <c r="AE131" s="42">
        <f>AVERAGE(J131,L131,N131,P131,R131,T131,V131,X131,Z131,AB131)</f>
        <v/>
      </c>
      <c r="AF131" s="0" t="n">
        <v>30</v>
      </c>
    </row>
    <row r="132" ht="15.75" customHeight="1" s="51">
      <c r="A132" s="30" t="n">
        <v>119</v>
      </c>
      <c r="B132" s="34" t="inlineStr">
        <is>
          <t>Hades</t>
        </is>
      </c>
      <c r="C132" s="30" t="inlineStr">
        <is>
          <t>Computer Hardware</t>
        </is>
      </c>
      <c r="D132" s="30" t="inlineStr">
        <is>
          <t>Hades Hardware; HADES; Hade; Haeds</t>
        </is>
      </c>
      <c r="E132" s="30" t="inlineStr">
        <is>
          <t>2 year limited</t>
        </is>
      </c>
      <c r="F132" s="30" t="inlineStr">
        <is>
          <t>ISO 9001, RoHS Compliant, ISO/IEC 27001</t>
        </is>
      </c>
      <c r="G132" s="30" t="inlineStr">
        <is>
          <t>gaming, PC building, remote work, content creation</t>
        </is>
      </c>
      <c r="H132" s="30" t="inlineStr">
        <is>
          <t>Case Fans, Cooling, Docking Station, Memory, Mouse, PC Case, Processor, Storage, Webcam</t>
        </is>
      </c>
      <c r="I132" s="30" t="inlineStr">
        <is>
          <t>Hades Aria X RGB Case Fan 3-Pack</t>
        </is>
      </c>
      <c r="J132" s="31" t="n">
        <v>42.99</v>
      </c>
      <c r="K132" s="30" t="inlineStr">
        <is>
          <t>Hades Pulse 360mm AIO CPU Cooler</t>
        </is>
      </c>
      <c r="L132" s="31" t="n">
        <v>88.98999999999999</v>
      </c>
      <c r="M132" s="30" t="inlineStr">
        <is>
          <t>Hades Drift Pro Mid-Tower PC Case</t>
        </is>
      </c>
      <c r="N132" s="31" t="n">
        <v>123.99</v>
      </c>
      <c r="O132" s="30" t="inlineStr">
        <is>
          <t>Hades Vibe Gaming Mouse</t>
        </is>
      </c>
      <c r="P132" s="31" t="n">
        <v>144.99</v>
      </c>
      <c r="Q132" s="30" t="inlineStr">
        <is>
          <t>Hades Rift Pro 4TB External Hard Drive</t>
        </is>
      </c>
      <c r="R132" s="31" t="n">
        <v>151.99</v>
      </c>
      <c r="S132" s="30" t="inlineStr">
        <is>
          <t>Hades Nova 4K Webcam</t>
        </is>
      </c>
      <c r="T132" s="31" t="n">
        <v>178.99</v>
      </c>
      <c r="U132" s="30" t="inlineStr">
        <is>
          <t>Hades Halo Plus 32GB DDR5 RAM Kit</t>
        </is>
      </c>
      <c r="V132" s="31" t="n">
        <v>211.99</v>
      </c>
      <c r="W132" s="30" t="inlineStr">
        <is>
          <t>Hades Vertex Max 2TB NVMe SSD</t>
        </is>
      </c>
      <c r="X132" s="31" t="n">
        <v>278.99</v>
      </c>
      <c r="Y132" s="30" t="inlineStr">
        <is>
          <t>Hades Echo Air Desktop CPU</t>
        </is>
      </c>
      <c r="Z132" s="31" t="n">
        <v>292.99</v>
      </c>
      <c r="AA132" s="30" t="inlineStr">
        <is>
          <t>Hades Zen Pro USB-C Docking Station</t>
        </is>
      </c>
      <c r="AB132" s="31" t="n">
        <v>324.99</v>
      </c>
      <c r="AC132" s="42">
        <f>MIN(J132,L132,N132,P132,R132,T132,V132,X132,Z132,AB132)</f>
        <v/>
      </c>
      <c r="AD132" s="42">
        <f>MAX(J132,L132,N132,P132,R132,T132,V132,X132,Z132,AB132)</f>
        <v/>
      </c>
      <c r="AE132" s="42">
        <f>AVERAGE(J132,L132,N132,P132,R132,T132,V132,X132,Z132,AB132)</f>
        <v/>
      </c>
      <c r="AF132" s="0" t="n">
        <v>45</v>
      </c>
    </row>
    <row r="133" ht="15.75" customHeight="1" s="51">
      <c r="A133" s="30" t="n">
        <v>120</v>
      </c>
      <c r="B133" s="34" t="inlineStr">
        <is>
          <t>Euterpe</t>
        </is>
      </c>
      <c r="C133" s="30" t="inlineStr">
        <is>
          <t>Computer Hardware</t>
        </is>
      </c>
      <c r="D133" s="30" t="inlineStr">
        <is>
          <t>Euterpe Hardware; EUTERPE; Eutrepe; Euuterpe</t>
        </is>
      </c>
      <c r="E133" s="30" t="inlineStr">
        <is>
          <t>2 year limited</t>
        </is>
      </c>
      <c r="F133" s="30" t="inlineStr">
        <is>
          <t>ISO 9001, ISO 14001, ISO 45001</t>
        </is>
      </c>
      <c r="G133" s="30" t="inlineStr">
        <is>
          <t>gaming, PC building, streaming, remote work</t>
        </is>
      </c>
      <c r="H133" s="30" t="inlineStr">
        <is>
          <t>Case Fans, Cooling, Docking Station, Graphics Card, Motherboard, Mouse, Networking, Processor, Storage, Webcam</t>
        </is>
      </c>
      <c r="I133" s="30" t="inlineStr">
        <is>
          <t>Euterpe Pulse Lite RGB Case Fan 3-Pack</t>
        </is>
      </c>
      <c r="J133" s="31" t="n">
        <v>33.99</v>
      </c>
      <c r="K133" s="30" t="inlineStr">
        <is>
          <t>Euterpe Flux SE Wi-Fi 7 PCIe Card</t>
        </is>
      </c>
      <c r="L133" s="31" t="n">
        <v>61.99</v>
      </c>
      <c r="M133" s="30" t="inlineStr">
        <is>
          <t>Euterpe Axis Ultra Gaming Mouse</t>
        </is>
      </c>
      <c r="N133" s="31" t="n">
        <v>116.99</v>
      </c>
      <c r="O133" s="30" t="inlineStr">
        <is>
          <t>Euterpe Zen SE 4K Webcam</t>
        </is>
      </c>
      <c r="P133" s="31" t="n">
        <v>221.99</v>
      </c>
      <c r="Q133" s="30" t="inlineStr">
        <is>
          <t>Euterpe Drift Lite 360mm AIO CPU Cooler</t>
        </is>
      </c>
      <c r="R133" s="31" t="n">
        <v>257.99</v>
      </c>
      <c r="S133" s="30" t="inlineStr">
        <is>
          <t>Euterpe Aeon Max USB-C Docking Station</t>
        </is>
      </c>
      <c r="T133" s="31" t="n">
        <v>282.99</v>
      </c>
      <c r="U133" s="30" t="inlineStr">
        <is>
          <t>Euterpe Flux 2TB NVMe SSD</t>
        </is>
      </c>
      <c r="V133" s="31" t="n">
        <v>287.99</v>
      </c>
      <c r="W133" s="30" t="inlineStr">
        <is>
          <t>Euterpe Aria Plus ATX Motherboard</t>
        </is>
      </c>
      <c r="X133" s="31" t="n">
        <v>338.99</v>
      </c>
      <c r="Y133" s="30" t="inlineStr">
        <is>
          <t>Euterpe Quanta Desktop CPU</t>
        </is>
      </c>
      <c r="Z133" s="31" t="n">
        <v>402.99</v>
      </c>
      <c r="AA133" s="30" t="inlineStr">
        <is>
          <t>Euterpe Volt Ultra Graphics Card</t>
        </is>
      </c>
      <c r="AB133" s="31" t="n">
        <v>921.99</v>
      </c>
      <c r="AC133" s="42">
        <f>MIN(J133,L133,N133,P133,R133,T133,V133,X133,Z133,AB133)</f>
        <v/>
      </c>
      <c r="AD133" s="42">
        <f>MAX(J133,L133,N133,P133,R133,T133,V133,X133,Z133,AB133)</f>
        <v/>
      </c>
      <c r="AE133" s="42">
        <f>AVERAGE(J133,L133,N133,P133,R133,T133,V133,X133,Z133,AB133)</f>
        <v/>
      </c>
      <c r="AF133" s="0" t="n">
        <v>30</v>
      </c>
    </row>
    <row r="134" ht="15.75" customHeight="1" s="51">
      <c r="A134" s="30" t="n">
        <v>121</v>
      </c>
      <c r="B134" s="34" t="inlineStr">
        <is>
          <t>Hymenaeus</t>
        </is>
      </c>
      <c r="C134" s="30" t="inlineStr">
        <is>
          <t>Computer Hardware</t>
        </is>
      </c>
      <c r="D134" s="30" t="inlineStr">
        <is>
          <t>Hymenaeus Hardware; HYMENAEUS; Hymeneaus; Hmyenaeus</t>
        </is>
      </c>
      <c r="E134" s="30" t="inlineStr">
        <is>
          <t>2 year limited</t>
        </is>
      </c>
      <c r="F134" s="30" t="inlineStr">
        <is>
          <t>ISO 9001, ISO 45001, WEEE Registered</t>
        </is>
      </c>
      <c r="G134" s="30" t="inlineStr">
        <is>
          <t>gaming, PC building, streaming, remote work</t>
        </is>
      </c>
      <c r="H134" s="30" t="inlineStr">
        <is>
          <t>Case Fans, Docking Station, Graphics Card, Memory, Monitor, Motherboard, Networking, Processor, Storage, Webcam</t>
        </is>
      </c>
      <c r="I134" s="30" t="inlineStr">
        <is>
          <t>Hymenaeus Axis Air Wi-Fi 7 PCIe Card</t>
        </is>
      </c>
      <c r="J134" s="31" t="n">
        <v>39.99</v>
      </c>
      <c r="K134" s="30" t="inlineStr">
        <is>
          <t>Hymenaeus Quanta SE RGB Case Fan 3-Pack</t>
        </is>
      </c>
      <c r="L134" s="31" t="n">
        <v>42.99</v>
      </c>
      <c r="M134" s="30" t="inlineStr">
        <is>
          <t>Hymenaeus Drift Plus 4K Webcam</t>
        </is>
      </c>
      <c r="N134" s="31" t="n">
        <v>114.99</v>
      </c>
      <c r="O134" s="30" t="inlineStr">
        <is>
          <t>Hymenaeus Nimbus Plus 4TB External Hard Drive</t>
        </is>
      </c>
      <c r="P134" s="31" t="n">
        <v>166.99</v>
      </c>
      <c r="Q134" s="30" t="inlineStr">
        <is>
          <t>Hymenaeus Blaze X 32GB DDR5 RAM Kit</t>
        </is>
      </c>
      <c r="R134" s="31" t="n">
        <v>225.99</v>
      </c>
      <c r="S134" s="30" t="inlineStr">
        <is>
          <t>Hymenaeus Sable X USB-C Docking Station</t>
        </is>
      </c>
      <c r="T134" s="31" t="n">
        <v>325.99</v>
      </c>
      <c r="U134" s="30" t="inlineStr">
        <is>
          <t>Hymenaeus Pulse Lite ATX Motherboard</t>
        </is>
      </c>
      <c r="V134" s="31" t="n">
        <v>461.99</v>
      </c>
      <c r="W134" s="30" t="inlineStr">
        <is>
          <t>Hymenaeus Aeon Lite 27" 1440p Monitor</t>
        </is>
      </c>
      <c r="X134" s="31" t="n">
        <v>545.99</v>
      </c>
      <c r="Y134" s="30" t="inlineStr">
        <is>
          <t>Hymenaeus Rift Ultra Desktop CPU</t>
        </is>
      </c>
      <c r="Z134" s="31" t="n">
        <v>622.99</v>
      </c>
      <c r="AA134" s="30" t="inlineStr">
        <is>
          <t>Hymenaeus Echo Graphics Card</t>
        </is>
      </c>
      <c r="AB134" s="31" t="n">
        <v>1150.99</v>
      </c>
      <c r="AC134" s="42">
        <f>MIN(J134,L134,N134,P134,R134,T134,V134,X134,Z134,AB134)</f>
        <v/>
      </c>
      <c r="AD134" s="42">
        <f>MAX(J134,L134,N134,P134,R134,T134,V134,X134,Z134,AB134)</f>
        <v/>
      </c>
      <c r="AE134" s="42">
        <f>AVERAGE(J134,L134,N134,P134,R134,T134,V134,X134,Z134,AB134)</f>
        <v/>
      </c>
      <c r="AF134" s="0" t="n">
        <v>30</v>
      </c>
    </row>
    <row r="135" ht="15.75" customHeight="1" s="51">
      <c r="A135" s="30" t="n">
        <v>122</v>
      </c>
      <c r="B135" s="34" t="inlineStr">
        <is>
          <t>Atlas</t>
        </is>
      </c>
      <c r="C135" s="30" t="inlineStr">
        <is>
          <t>Computer Hardware</t>
        </is>
      </c>
      <c r="D135" s="30" t="inlineStr">
        <is>
          <t>Atlas Hardware; ATLAS; Atlass; Atlaas</t>
        </is>
      </c>
      <c r="E135" s="30" t="inlineStr">
        <is>
          <t>2 year limited</t>
        </is>
      </c>
      <c r="F135" s="30" t="inlineStr">
        <is>
          <t>ISO 9001, ISO 14001, ISO 45001</t>
        </is>
      </c>
      <c r="G135" s="30" t="inlineStr">
        <is>
          <t>gaming, PC building, office, content creation</t>
        </is>
      </c>
      <c r="H135" s="30" t="inlineStr">
        <is>
          <t>Cooling, Docking Station, Keyboard, Monitor, Mouse, Networking, PC Case, Power Supply, Processor, Storage</t>
        </is>
      </c>
      <c r="I135" s="30" t="inlineStr">
        <is>
          <t>Atlas Nova Ultra Wi-Fi 7 PCIe Card</t>
        </is>
      </c>
      <c r="J135" s="31" t="n">
        <v>59.99</v>
      </c>
      <c r="K135" s="30" t="inlineStr">
        <is>
          <t>Atlas Arc Plus Gaming Mouse</t>
        </is>
      </c>
      <c r="L135" s="31" t="n">
        <v>100.99</v>
      </c>
      <c r="M135" s="30" t="inlineStr">
        <is>
          <t>Atlas Pulse Lite 850W Power Supply</t>
        </is>
      </c>
      <c r="N135" s="31" t="n">
        <v>101.99</v>
      </c>
      <c r="O135" s="30" t="inlineStr">
        <is>
          <t>Atlas Titan SE Mid-Tower PC Case</t>
        </is>
      </c>
      <c r="P135" s="31" t="n">
        <v>115.99</v>
      </c>
      <c r="Q135" s="30" t="inlineStr">
        <is>
          <t>Atlas Aria Pro 4TB External Hard Drive</t>
        </is>
      </c>
      <c r="R135" s="31" t="n">
        <v>139.99</v>
      </c>
      <c r="S135" s="30" t="inlineStr">
        <is>
          <t>Atlas Aria Air USB-C Docking Station</t>
        </is>
      </c>
      <c r="T135" s="31" t="n">
        <v>154.99</v>
      </c>
      <c r="U135" s="30" t="inlineStr">
        <is>
          <t>Atlas Strata Ultra Mechanical Keyboard</t>
        </is>
      </c>
      <c r="V135" s="31" t="n">
        <v>177.99</v>
      </c>
      <c r="W135" s="30" t="inlineStr">
        <is>
          <t>Atlas Arc Ultra 360mm AIO CPU Cooler</t>
        </is>
      </c>
      <c r="X135" s="31" t="n">
        <v>274.99</v>
      </c>
      <c r="Y135" s="30" t="inlineStr">
        <is>
          <t>Atlas Apex SE 27" 1440p Monitor</t>
        </is>
      </c>
      <c r="Z135" s="31" t="n">
        <v>375.99</v>
      </c>
      <c r="AA135" s="30" t="inlineStr">
        <is>
          <t>Atlas Echo Air Desktop CPU</t>
        </is>
      </c>
      <c r="AB135" s="31" t="n">
        <v>412.99</v>
      </c>
      <c r="AC135" s="42">
        <f>MIN(J135,L135,N135,P135,R135,T135,V135,X135,Z135,AB135)</f>
        <v/>
      </c>
      <c r="AD135" s="42">
        <f>MAX(J135,L135,N135,P135,R135,T135,V135,X135,Z135,AB135)</f>
        <v/>
      </c>
      <c r="AE135" s="42">
        <f>AVERAGE(J135,L135,N135,P135,R135,T135,V135,X135,Z135,AB135)</f>
        <v/>
      </c>
      <c r="AF135" s="0" t="n">
        <v>30</v>
      </c>
    </row>
    <row r="136" ht="15.75" customHeight="1" s="51">
      <c r="A136" s="30" t="n">
        <v>123</v>
      </c>
      <c r="B136" s="34" t="inlineStr">
        <is>
          <t>Hyperion</t>
        </is>
      </c>
      <c r="C136" s="30" t="inlineStr">
        <is>
          <t>Computer Hardware</t>
        </is>
      </c>
      <c r="D136" s="30" t="inlineStr">
        <is>
          <t>Hyperion Hardware; HYPERION; Hyperiion; Hypperion</t>
        </is>
      </c>
      <c r="E136" s="30" t="inlineStr">
        <is>
          <t>2 year limited</t>
        </is>
      </c>
      <c r="F136" s="30" t="inlineStr">
        <is>
          <t>ISO 9001, ISO 14001, WEEE Registered</t>
        </is>
      </c>
      <c r="G136" s="30" t="inlineStr">
        <is>
          <t>gaming, office, remote work, PC building</t>
        </is>
      </c>
      <c r="H136" s="30" t="inlineStr">
        <is>
          <t>Case Fans, Cooling, Docking Station, Keyboard, Monitor, Motherboard, Mouse, Processor, Storage, Webcam</t>
        </is>
      </c>
      <c r="I136" s="30" t="inlineStr">
        <is>
          <t>Hyperion Titan Air 4K Webcam</t>
        </is>
      </c>
      <c r="J136" s="31" t="n">
        <v>57.99</v>
      </c>
      <c r="K136" s="30" t="inlineStr">
        <is>
          <t>Hyperion Axis Ultra RGB Case Fan 3-Pack</t>
        </is>
      </c>
      <c r="L136" s="31" t="n">
        <v>74.98999999999999</v>
      </c>
      <c r="M136" s="30" t="inlineStr">
        <is>
          <t>Hyperion Aria 4TB External Hard Drive</t>
        </is>
      </c>
      <c r="N136" s="31" t="n">
        <v>88.98999999999999</v>
      </c>
      <c r="O136" s="30" t="inlineStr">
        <is>
          <t>Hyperion Quanta Air Gaming Mouse</t>
        </is>
      </c>
      <c r="P136" s="31" t="n">
        <v>95.98999999999999</v>
      </c>
      <c r="Q136" s="30" t="inlineStr">
        <is>
          <t>Hyperion Nimbus SE 360mm AIO CPU Cooler</t>
        </is>
      </c>
      <c r="R136" s="31" t="n">
        <v>114.99</v>
      </c>
      <c r="S136" s="30" t="inlineStr">
        <is>
          <t>Hyperion Titan X Mechanical Keyboard</t>
        </is>
      </c>
      <c r="T136" s="31" t="n">
        <v>132.99</v>
      </c>
      <c r="U136" s="30" t="inlineStr">
        <is>
          <t>Hyperion Drift Ultra USB-C Docking Station</t>
        </is>
      </c>
      <c r="V136" s="31" t="n">
        <v>183.99</v>
      </c>
      <c r="W136" s="30" t="inlineStr">
        <is>
          <t>Hyperion Spark ATX Motherboard</t>
        </is>
      </c>
      <c r="X136" s="31" t="n">
        <v>208.99</v>
      </c>
      <c r="Y136" s="30" t="inlineStr">
        <is>
          <t>Hyperion Volt Desktop CPU</t>
        </is>
      </c>
      <c r="Z136" s="31" t="n">
        <v>477.99</v>
      </c>
      <c r="AA136" s="30" t="inlineStr">
        <is>
          <t>Hyperion Arc Ultra 27" 1440p Monitor</t>
        </is>
      </c>
      <c r="AB136" s="31" t="n">
        <v>616.99</v>
      </c>
      <c r="AC136" s="42">
        <f>MIN(J136,L136,N136,P136,R136,T136,V136,X136,Z136,AB136)</f>
        <v/>
      </c>
      <c r="AD136" s="42">
        <f>MAX(J136,L136,N136,P136,R136,T136,V136,X136,Z136,AB136)</f>
        <v/>
      </c>
      <c r="AE136" s="42">
        <f>AVERAGE(J136,L136,N136,P136,R136,T136,V136,X136,Z136,AB136)</f>
        <v/>
      </c>
      <c r="AF136" s="0" t="n">
        <v>14</v>
      </c>
    </row>
    <row r="137" ht="15.75" customHeight="1" s="51">
      <c r="A137" s="30" t="n">
        <v>124</v>
      </c>
      <c r="B137" s="34" t="inlineStr">
        <is>
          <t>Eucleia</t>
        </is>
      </c>
      <c r="C137" s="30" t="inlineStr">
        <is>
          <t>Computer Hardware</t>
        </is>
      </c>
      <c r="D137" s="30" t="inlineStr">
        <is>
          <t>Eucleia Hardware; EUCLEIA; Euucleia; Euclleia</t>
        </is>
      </c>
      <c r="E137" s="30" t="inlineStr">
        <is>
          <t>2 year limited</t>
        </is>
      </c>
      <c r="F137" s="30" t="inlineStr">
        <is>
          <t>ISO 9001, ISO/IEC 27001, ISO 45001</t>
        </is>
      </c>
      <c r="G137" s="30" t="inlineStr">
        <is>
          <t>gaming, PC building, content creation, cooling</t>
        </is>
      </c>
      <c r="H137" s="30" t="inlineStr">
        <is>
          <t>Case Fans, Cooling, Graphics Card, Memory, Monitor, Mouse, Power Supply, Processor, Storage</t>
        </is>
      </c>
      <c r="I137" s="30" t="inlineStr">
        <is>
          <t>Eucleia Halo RGB Case Fan 3-Pack</t>
        </is>
      </c>
      <c r="J137" s="31" t="n">
        <v>53.99</v>
      </c>
      <c r="K137" s="30" t="inlineStr">
        <is>
          <t>Eucleia Flux SE Gaming Mouse</t>
        </is>
      </c>
      <c r="L137" s="31" t="n">
        <v>104.99</v>
      </c>
      <c r="M137" s="30" t="inlineStr">
        <is>
          <t>Eucleia Rift X 2TB NVMe SSD</t>
        </is>
      </c>
      <c r="N137" s="31" t="n">
        <v>109.99</v>
      </c>
      <c r="O137" s="30" t="inlineStr">
        <is>
          <t>Eucleia Onyx Ultra 360mm AIO CPU Cooler</t>
        </is>
      </c>
      <c r="P137" s="31" t="n">
        <v>119.99</v>
      </c>
      <c r="Q137" s="30" t="inlineStr">
        <is>
          <t>Eucleia Vibe SE 4TB External Hard Drive</t>
        </is>
      </c>
      <c r="R137" s="31" t="n">
        <v>151.99</v>
      </c>
      <c r="S137" s="30" t="inlineStr">
        <is>
          <t>Eucleia Quanta Lite Desktop CPU</t>
        </is>
      </c>
      <c r="T137" s="31" t="n">
        <v>174.99</v>
      </c>
      <c r="U137" s="30" t="inlineStr">
        <is>
          <t>Eucleia Aria Pro 850W Power Supply</t>
        </is>
      </c>
      <c r="V137" s="31" t="n">
        <v>205.99</v>
      </c>
      <c r="W137" s="30" t="inlineStr">
        <is>
          <t>Eucleia Volt 32GB DDR5 RAM Kit</t>
        </is>
      </c>
      <c r="X137" s="31" t="n">
        <v>211.99</v>
      </c>
      <c r="Y137" s="30" t="inlineStr">
        <is>
          <t>Eucleia Core X 27" 1440p Monitor</t>
        </is>
      </c>
      <c r="Z137" s="31" t="n">
        <v>252.99</v>
      </c>
      <c r="AA137" s="30" t="inlineStr">
        <is>
          <t>Eucleia Nimbus Pro Graphics Card</t>
        </is>
      </c>
      <c r="AB137" s="31" t="n">
        <v>1993.99</v>
      </c>
      <c r="AC137" s="42">
        <f>MIN(J137,L137,N137,P137,R137,T137,V137,X137,Z137,AB137)</f>
        <v/>
      </c>
      <c r="AD137" s="42">
        <f>MAX(J137,L137,N137,P137,R137,T137,V137,X137,Z137,AB137)</f>
        <v/>
      </c>
      <c r="AE137" s="42">
        <f>AVERAGE(J137,L137,N137,P137,R137,T137,V137,X137,Z137,AB137)</f>
        <v/>
      </c>
      <c r="AF137" s="0" t="n">
        <v>15</v>
      </c>
    </row>
    <row r="138" ht="15.75" customHeight="1" s="51">
      <c r="A138" s="30" t="n">
        <v>125</v>
      </c>
      <c r="B138" s="34" t="inlineStr">
        <is>
          <t>Gaia</t>
        </is>
      </c>
      <c r="C138" s="30" t="inlineStr">
        <is>
          <t>Computer Hardware</t>
        </is>
      </c>
      <c r="D138" s="30" t="inlineStr">
        <is>
          <t>Gaia Hardware; GAIA; Gaiia; Giaa</t>
        </is>
      </c>
      <c r="E138" s="30" t="inlineStr">
        <is>
          <t>2 year limited</t>
        </is>
      </c>
      <c r="F138" s="30" t="inlineStr">
        <is>
          <t>ISO 9001, RoHS Compliant, ISO 45001</t>
        </is>
      </c>
      <c r="G138" s="30" t="inlineStr">
        <is>
          <t>gaming, office, remote work, content creation</t>
        </is>
      </c>
      <c r="H138" s="30" t="inlineStr">
        <is>
          <t>Cooling, Docking Station, Graphics Card, Keyboard, Monitor, Motherboard, Mouse, Storage, Webcam</t>
        </is>
      </c>
      <c r="I138" s="30" t="inlineStr">
        <is>
          <t>Gaia Axis X Gaming Mouse</t>
        </is>
      </c>
      <c r="J138" s="31" t="n">
        <v>63.99</v>
      </c>
      <c r="K138" s="30" t="inlineStr">
        <is>
          <t>Gaia Blaze Lite Mechanical Keyboard</t>
        </is>
      </c>
      <c r="L138" s="31" t="n">
        <v>92.98999999999999</v>
      </c>
      <c r="M138" s="30" t="inlineStr">
        <is>
          <t>Gaia Crest Pro 4TB External Hard Drive</t>
        </is>
      </c>
      <c r="N138" s="31" t="n">
        <v>141.99</v>
      </c>
      <c r="O138" s="30" t="inlineStr">
        <is>
          <t>Gaia Aria X 4K Webcam</t>
        </is>
      </c>
      <c r="P138" s="31" t="n">
        <v>158.99</v>
      </c>
      <c r="Q138" s="30" t="inlineStr">
        <is>
          <t>Gaia Aeon Lite 2TB NVMe SSD</t>
        </is>
      </c>
      <c r="R138" s="31" t="n">
        <v>173.99</v>
      </c>
      <c r="S138" s="30" t="inlineStr">
        <is>
          <t>Gaia Nimbus X ATX Motherboard</t>
        </is>
      </c>
      <c r="T138" s="31" t="n">
        <v>201.99</v>
      </c>
      <c r="U138" s="30" t="inlineStr">
        <is>
          <t>Gaia Nimbus Plus USB-C Docking Station</t>
        </is>
      </c>
      <c r="V138" s="31" t="n">
        <v>218.99</v>
      </c>
      <c r="W138" s="30" t="inlineStr">
        <is>
          <t>Gaia Quanta Plus 360mm AIO CPU Cooler</t>
        </is>
      </c>
      <c r="X138" s="31" t="n">
        <v>243.99</v>
      </c>
      <c r="Y138" s="30" t="inlineStr">
        <is>
          <t>Gaia Rift Air 27" 1440p Monitor</t>
        </is>
      </c>
      <c r="Z138" s="31" t="n">
        <v>445.99</v>
      </c>
      <c r="AA138" s="30" t="inlineStr">
        <is>
          <t>Gaia Quanta SE Graphics Card</t>
        </is>
      </c>
      <c r="AB138" s="31" t="n">
        <v>1280.99</v>
      </c>
      <c r="AC138" s="42">
        <f>MIN(J138,L138,N138,P138,R138,T138,V138,X138,Z138,AB138)</f>
        <v/>
      </c>
      <c r="AD138" s="42">
        <f>MAX(J138,L138,N138,P138,R138,T138,V138,X138,Z138,AB138)</f>
        <v/>
      </c>
      <c r="AE138" s="42">
        <f>AVERAGE(J138,L138,N138,P138,R138,T138,V138,X138,Z138,AB138)</f>
        <v/>
      </c>
      <c r="AF138" s="0" t="n">
        <v>60</v>
      </c>
    </row>
    <row r="139" ht="15.75" customHeight="1" s="51">
      <c r="A139" s="30" t="n">
        <v>126</v>
      </c>
      <c r="B139" s="34" t="inlineStr">
        <is>
          <t>Thalassa</t>
        </is>
      </c>
      <c r="C139" s="30" t="inlineStr">
        <is>
          <t>Computer Hardware</t>
        </is>
      </c>
      <c r="D139" s="30" t="inlineStr">
        <is>
          <t>Thalassa Hardware; THALASSA; Thhalassa; Thaalssa</t>
        </is>
      </c>
      <c r="E139" s="30" t="inlineStr">
        <is>
          <t>2 year limited</t>
        </is>
      </c>
      <c r="F139" s="30" t="inlineStr">
        <is>
          <t>ISO 9001, WEEE Registered, ISO 45001</t>
        </is>
      </c>
      <c r="G139" s="30" t="inlineStr">
        <is>
          <t>gaming, PC building, office, content creation</t>
        </is>
      </c>
      <c r="H139" s="30" t="inlineStr">
        <is>
          <t>Case Fans, Cooling, Keyboard, Monitor, Mouse, Networking, PC Case, Power Supply, Storage</t>
        </is>
      </c>
      <c r="I139" s="30" t="inlineStr">
        <is>
          <t>Thalassa Onyx Plus RGB Case Fan 3-Pack</t>
        </is>
      </c>
      <c r="J139" s="31" t="n">
        <v>42.99</v>
      </c>
      <c r="K139" s="30" t="inlineStr">
        <is>
          <t>Thalassa Crest Max Gaming Mouse</t>
        </is>
      </c>
      <c r="L139" s="31" t="n">
        <v>71.98999999999999</v>
      </c>
      <c r="M139" s="30" t="inlineStr">
        <is>
          <t>Thalassa Volt Lite Wi-Fi 7 PCIe Card</t>
        </is>
      </c>
      <c r="N139" s="31" t="n">
        <v>125.99</v>
      </c>
      <c r="O139" s="30" t="inlineStr">
        <is>
          <t>Thalassa Quanta SE 360mm AIO CPU Cooler</t>
        </is>
      </c>
      <c r="P139" s="31" t="n">
        <v>161.99</v>
      </c>
      <c r="Q139" s="30" t="inlineStr">
        <is>
          <t>Thalassa Titan Plus Mechanical Keyboard</t>
        </is>
      </c>
      <c r="R139" s="31" t="n">
        <v>176.99</v>
      </c>
      <c r="S139" s="30" t="inlineStr">
        <is>
          <t>Thalassa Drift Lite 4TB External Hard Drive</t>
        </is>
      </c>
      <c r="T139" s="31" t="n">
        <v>178.99</v>
      </c>
      <c r="U139" s="30" t="inlineStr">
        <is>
          <t>Thalassa Apex Air 850W Power Supply</t>
        </is>
      </c>
      <c r="V139" s="31" t="n">
        <v>194.99</v>
      </c>
      <c r="W139" s="30" t="inlineStr">
        <is>
          <t>Thalassa Halo Pro Mid-Tower PC Case</t>
        </is>
      </c>
      <c r="X139" s="31" t="n">
        <v>219.99</v>
      </c>
      <c r="Y139" s="30" t="inlineStr">
        <is>
          <t>Thalassa Rift Air 2TB NVMe SSD</t>
        </is>
      </c>
      <c r="Z139" s="31" t="n">
        <v>286.99</v>
      </c>
      <c r="AA139" s="30" t="inlineStr">
        <is>
          <t>Thalassa Spark X 27" 1440p Monitor</t>
        </is>
      </c>
      <c r="AB139" s="31" t="n">
        <v>485.99</v>
      </c>
      <c r="AC139" s="42">
        <f>MIN(J139,L139,N139,P139,R139,T139,V139,X139,Z139,AB139)</f>
        <v/>
      </c>
      <c r="AD139" s="42">
        <f>MAX(J139,L139,N139,P139,R139,T139,V139,X139,Z139,AB139)</f>
        <v/>
      </c>
      <c r="AE139" s="42">
        <f>AVERAGE(J139,L139,N139,P139,R139,T139,V139,X139,Z139,AB139)</f>
        <v/>
      </c>
      <c r="AF139" s="0" t="n">
        <v>30</v>
      </c>
    </row>
    <row r="140" ht="15.75" customHeight="1" s="51">
      <c r="A140" s="30" t="n">
        <v>127</v>
      </c>
      <c r="B140" s="34" t="inlineStr">
        <is>
          <t>Palaemon</t>
        </is>
      </c>
      <c r="C140" s="30" t="inlineStr">
        <is>
          <t>Computer Hardware</t>
        </is>
      </c>
      <c r="D140" s="30" t="inlineStr">
        <is>
          <t>Palaemon Hardware; PALAEMON; Palaemonn; Paalaemon</t>
        </is>
      </c>
      <c r="E140" s="30" t="inlineStr">
        <is>
          <t>2 year limited</t>
        </is>
      </c>
      <c r="F140" s="30" t="inlineStr">
        <is>
          <t>ISO 9001, WEEE Registered, ISO 45001</t>
        </is>
      </c>
      <c r="G140" s="30" t="inlineStr">
        <is>
          <t>gaming, PC building, office, workstation builds</t>
        </is>
      </c>
      <c r="H140" s="30" t="inlineStr">
        <is>
          <t>Case Fans, Graphics Card, Keyboard, Memory, Monitor, Motherboard, Mouse, PC Case, Processor, Storage</t>
        </is>
      </c>
      <c r="I140" s="30" t="inlineStr">
        <is>
          <t>Palaemon Halo Air RGB Case Fan 3-Pack</t>
        </is>
      </c>
      <c r="J140" s="31" t="n">
        <v>65.98999999999999</v>
      </c>
      <c r="K140" s="30" t="inlineStr">
        <is>
          <t>Palaemon Volt Ultra Mid-Tower PC Case</t>
        </is>
      </c>
      <c r="L140" s="31" t="n">
        <v>66.98999999999999</v>
      </c>
      <c r="M140" s="30" t="inlineStr">
        <is>
          <t>Palaemon Arc Air Gaming Mouse</t>
        </is>
      </c>
      <c r="N140" s="31" t="n">
        <v>117.99</v>
      </c>
      <c r="O140" s="30" t="inlineStr">
        <is>
          <t>Palaemon Apex Max Mechanical Keyboard</t>
        </is>
      </c>
      <c r="P140" s="31" t="n">
        <v>121.99</v>
      </c>
      <c r="Q140" s="30" t="inlineStr">
        <is>
          <t>Palaemon Axis 32GB DDR5 RAM Kit</t>
        </is>
      </c>
      <c r="R140" s="31" t="n">
        <v>151.99</v>
      </c>
      <c r="S140" s="30" t="inlineStr">
        <is>
          <t>Palaemon Arc Air 4TB External Hard Drive</t>
        </is>
      </c>
      <c r="T140" s="31" t="n">
        <v>198.99</v>
      </c>
      <c r="U140" s="30" t="inlineStr">
        <is>
          <t>Palaemon Crest Air ATX Motherboard</t>
        </is>
      </c>
      <c r="V140" s="31" t="n">
        <v>200.99</v>
      </c>
      <c r="W140" s="30" t="inlineStr">
        <is>
          <t>Palaemon Aria Desktop CPU</t>
        </is>
      </c>
      <c r="X140" s="31" t="n">
        <v>277.99</v>
      </c>
      <c r="Y140" s="30" t="inlineStr">
        <is>
          <t>Palaemon Nimbus SE 27" 1440p Monitor</t>
        </is>
      </c>
      <c r="Z140" s="31" t="n">
        <v>672.99</v>
      </c>
      <c r="AA140" s="30" t="inlineStr">
        <is>
          <t>Palaemon Sable Lite Graphics Card</t>
        </is>
      </c>
      <c r="AB140" s="31" t="n">
        <v>1784.99</v>
      </c>
      <c r="AC140" s="42">
        <f>MIN(J140,L140,N140,P140,R140,T140,V140,X140,Z140,AB140)</f>
        <v/>
      </c>
      <c r="AD140" s="42">
        <f>MAX(J140,L140,N140,P140,R140,T140,V140,X140,Z140,AB140)</f>
        <v/>
      </c>
      <c r="AE140" s="42">
        <f>AVERAGE(J140,L140,N140,P140,R140,T140,V140,X140,Z140,AB140)</f>
        <v/>
      </c>
      <c r="AF140" s="0" t="n">
        <v>30</v>
      </c>
    </row>
    <row r="141" ht="15.75" customHeight="1" s="51">
      <c r="A141" s="30" t="n">
        <v>128</v>
      </c>
      <c r="B141" s="34" t="inlineStr">
        <is>
          <t>Dione</t>
        </is>
      </c>
      <c r="C141" s="30" t="inlineStr">
        <is>
          <t>Computer Hardware</t>
        </is>
      </c>
      <c r="D141" s="30" t="inlineStr">
        <is>
          <t>Dione Hardware; DIONE; Dionne; Dioone</t>
        </is>
      </c>
      <c r="E141" s="30" t="inlineStr">
        <is>
          <t>2 year limited</t>
        </is>
      </c>
      <c r="F141" s="30" t="inlineStr">
        <is>
          <t>ISO 9001, ISO/IEC 27001, RoHS Compliant</t>
        </is>
      </c>
      <c r="G141" s="30" t="inlineStr">
        <is>
          <t>gaming, PC building, office, content creation</t>
        </is>
      </c>
      <c r="H141" s="30" t="inlineStr">
        <is>
          <t>Case Fans, Docking Station, Graphics Card, Keyboard, Memory, Monitor, Networking, Power Supply, Storage</t>
        </is>
      </c>
      <c r="I141" s="30" t="inlineStr">
        <is>
          <t>Dione Blaze Air RGB Case Fan 3-Pack</t>
        </is>
      </c>
      <c r="J141" s="31" t="n">
        <v>50.99</v>
      </c>
      <c r="K141" s="30" t="inlineStr">
        <is>
          <t>Dione Vibe Lite Wi-Fi 7 PCIe Card</t>
        </is>
      </c>
      <c r="L141" s="31" t="n">
        <v>71.98999999999999</v>
      </c>
      <c r="M141" s="30" t="inlineStr">
        <is>
          <t>Dione Aeon Lite Mechanical Keyboard</t>
        </is>
      </c>
      <c r="N141" s="31" t="n">
        <v>123.99</v>
      </c>
      <c r="O141" s="30" t="inlineStr">
        <is>
          <t>Dione Nimbus 2TB NVMe SSD</t>
        </is>
      </c>
      <c r="P141" s="31" t="n">
        <v>128.99</v>
      </c>
      <c r="Q141" s="30" t="inlineStr">
        <is>
          <t>Dione Onyx Pro 850W Power Supply</t>
        </is>
      </c>
      <c r="R141" s="31" t="n">
        <v>138.99</v>
      </c>
      <c r="S141" s="30" t="inlineStr">
        <is>
          <t>Dione Axis Plus 4TB External Hard Drive</t>
        </is>
      </c>
      <c r="T141" s="31" t="n">
        <v>169.99</v>
      </c>
      <c r="U141" s="30" t="inlineStr">
        <is>
          <t>Dione Core Air 32GB DDR5 RAM Kit</t>
        </is>
      </c>
      <c r="V141" s="31" t="n">
        <v>187.99</v>
      </c>
      <c r="W141" s="30" t="inlineStr">
        <is>
          <t>Dione Aria Pro USB-C Docking Station</t>
        </is>
      </c>
      <c r="X141" s="31" t="n">
        <v>304.99</v>
      </c>
      <c r="Y141" s="30" t="inlineStr">
        <is>
          <t>Dione Lumen Air 27" 1440p Monitor</t>
        </is>
      </c>
      <c r="Z141" s="31" t="n">
        <v>584.99</v>
      </c>
      <c r="AA141" s="30" t="inlineStr">
        <is>
          <t>Dione Nova Lite Graphics Card</t>
        </is>
      </c>
      <c r="AB141" s="31" t="n">
        <v>1646.99</v>
      </c>
      <c r="AC141" s="42">
        <f>MIN(J141,L141,N141,P141,R141,T141,V141,X141,Z141,AB141)</f>
        <v/>
      </c>
      <c r="AD141" s="42">
        <f>MAX(J141,L141,N141,P141,R141,T141,V141,X141,Z141,AB141)</f>
        <v/>
      </c>
      <c r="AE141" s="42">
        <f>AVERAGE(J141,L141,N141,P141,R141,T141,V141,X141,Z141,AB141)</f>
        <v/>
      </c>
      <c r="AF141" s="0" t="n">
        <v>30</v>
      </c>
    </row>
    <row r="142" ht="15.75" customHeight="1" s="51">
      <c r="A142" s="30" t="n">
        <v>129</v>
      </c>
      <c r="B142" s="34" t="inlineStr">
        <is>
          <t>Hera</t>
        </is>
      </c>
      <c r="C142" s="30" t="inlineStr">
        <is>
          <t>Computer Hardware</t>
        </is>
      </c>
      <c r="D142" s="30" t="inlineStr">
        <is>
          <t>Hera Hardware; HERA; Herra; Hrea</t>
        </is>
      </c>
      <c r="E142" s="30" t="inlineStr">
        <is>
          <t>2 year limited</t>
        </is>
      </c>
      <c r="F142" s="30" t="inlineStr">
        <is>
          <t>ISO 9001, ISO 45001, WEEE Registered</t>
        </is>
      </c>
      <c r="G142" s="30" t="inlineStr">
        <is>
          <t>gaming, office, PC building, streaming</t>
        </is>
      </c>
      <c r="H142" s="30" t="inlineStr">
        <is>
          <t>Cooling, Docking Station, Graphics Card, Keyboard, Monitor, Motherboard, Networking, Power Supply, Storage, Webcam</t>
        </is>
      </c>
      <c r="I142" s="30" t="inlineStr">
        <is>
          <t>Hera Onyx X Mechanical Keyboard</t>
        </is>
      </c>
      <c r="J142" s="31" t="n">
        <v>61.99</v>
      </c>
      <c r="K142" s="30" t="inlineStr">
        <is>
          <t>Hera Sable Air 4K Webcam</t>
        </is>
      </c>
      <c r="L142" s="31" t="n">
        <v>65.98999999999999</v>
      </c>
      <c r="M142" s="30" t="inlineStr">
        <is>
          <t>Hera Zen Air Wi-Fi 7 PCIe Card</t>
        </is>
      </c>
      <c r="N142" s="31" t="n">
        <v>128.99</v>
      </c>
      <c r="O142" s="30" t="inlineStr">
        <is>
          <t>Hera Quanta Pro 2TB NVMe SSD</t>
        </is>
      </c>
      <c r="P142" s="31" t="n">
        <v>154.99</v>
      </c>
      <c r="Q142" s="30" t="inlineStr">
        <is>
          <t>Hera Sable X 850W Power Supply</t>
        </is>
      </c>
      <c r="R142" s="31" t="n">
        <v>213.99</v>
      </c>
      <c r="S142" s="30" t="inlineStr">
        <is>
          <t>Hera Volt 360mm AIO CPU Cooler</t>
        </is>
      </c>
      <c r="T142" s="31" t="n">
        <v>228.99</v>
      </c>
      <c r="U142" s="30" t="inlineStr">
        <is>
          <t>Hera Wave Air ATX Motherboard</t>
        </is>
      </c>
      <c r="V142" s="31" t="n">
        <v>260.99</v>
      </c>
      <c r="W142" s="30" t="inlineStr">
        <is>
          <t>Hera Vertex Air 27" 1440p Monitor</t>
        </is>
      </c>
      <c r="X142" s="31" t="n">
        <v>279.99</v>
      </c>
      <c r="Y142" s="30" t="inlineStr">
        <is>
          <t>Hera Nova Plus USB-C Docking Station</t>
        </is>
      </c>
      <c r="Z142" s="31" t="n">
        <v>284.99</v>
      </c>
      <c r="AA142" s="30" t="inlineStr">
        <is>
          <t>Hera Apex Max Graphics Card</t>
        </is>
      </c>
      <c r="AB142" s="31" t="n">
        <v>1974.99</v>
      </c>
      <c r="AC142" s="42">
        <f>MIN(J142,L142,N142,P142,R142,T142,V142,X142,Z142,AB142)</f>
        <v/>
      </c>
      <c r="AD142" s="42">
        <f>MAX(J142,L142,N142,P142,R142,T142,V142,X142,Z142,AB142)</f>
        <v/>
      </c>
      <c r="AE142" s="42">
        <f>AVERAGE(J142,L142,N142,P142,R142,T142,V142,X142,Z142,AB142)</f>
        <v/>
      </c>
      <c r="AF142" s="0" t="n">
        <v>45</v>
      </c>
    </row>
    <row r="143" ht="15.75" customHeight="1" s="51">
      <c r="A143" s="30" t="n">
        <v>130</v>
      </c>
      <c r="B143" s="34" t="inlineStr">
        <is>
          <t>Iris</t>
        </is>
      </c>
      <c r="C143" s="30" t="inlineStr">
        <is>
          <t>Computer Hardware</t>
        </is>
      </c>
      <c r="D143" s="30" t="inlineStr">
        <is>
          <t>Iris Hardware; IRIS; Iriis; Iri</t>
        </is>
      </c>
      <c r="E143" s="30" t="inlineStr">
        <is>
          <t>2 year limited</t>
        </is>
      </c>
      <c r="F143" s="30" t="inlineStr">
        <is>
          <t>ISO 9001, ISO/IEC 27001, ISO 14001</t>
        </is>
      </c>
      <c r="G143" s="30" t="inlineStr">
        <is>
          <t>gaming, PC building, office, content creation</t>
        </is>
      </c>
      <c r="H143" s="30" t="inlineStr">
        <is>
          <t>Case Fans, Cooling, Graphics Card, Keyboard, Memory, Monitor, Mouse, Power Supply, Storage, Webcam</t>
        </is>
      </c>
      <c r="I143" s="30" t="inlineStr">
        <is>
          <t>Iris Spark RGB Case Fan 3-Pack</t>
        </is>
      </c>
      <c r="J143" s="31" t="n">
        <v>85.98999999999999</v>
      </c>
      <c r="K143" s="30" t="inlineStr">
        <is>
          <t>Iris Core Air Gaming Mouse</t>
        </is>
      </c>
      <c r="L143" s="31" t="n">
        <v>116.99</v>
      </c>
      <c r="M143" s="30" t="inlineStr">
        <is>
          <t>Iris Quanta X 850W Power Supply</t>
        </is>
      </c>
      <c r="N143" s="31" t="n">
        <v>149.99</v>
      </c>
      <c r="O143" s="30" t="inlineStr">
        <is>
          <t>Iris Rift 32GB DDR5 RAM Kit</t>
        </is>
      </c>
      <c r="P143" s="31" t="n">
        <v>175.99</v>
      </c>
      <c r="Q143" s="30" t="inlineStr">
        <is>
          <t>Iris Arc 4K Webcam</t>
        </is>
      </c>
      <c r="R143" s="31" t="n">
        <v>207.99</v>
      </c>
      <c r="S143" s="30" t="inlineStr">
        <is>
          <t>Iris Aria Plus 360mm AIO CPU Cooler</t>
        </is>
      </c>
      <c r="T143" s="31" t="n">
        <v>220.99</v>
      </c>
      <c r="U143" s="30" t="inlineStr">
        <is>
          <t>Iris Prism Mechanical Keyboard</t>
        </is>
      </c>
      <c r="V143" s="31" t="n">
        <v>233.99</v>
      </c>
      <c r="W143" s="30" t="inlineStr">
        <is>
          <t>Iris Quanta Plus 2TB NVMe SSD</t>
        </is>
      </c>
      <c r="X143" s="31" t="n">
        <v>272.99</v>
      </c>
      <c r="Y143" s="30" t="inlineStr">
        <is>
          <t>Iris Volt Ultra 27" 1440p Monitor</t>
        </is>
      </c>
      <c r="Z143" s="31" t="n">
        <v>540.99</v>
      </c>
      <c r="AA143" s="30" t="inlineStr">
        <is>
          <t>Iris Sable Air Graphics Card</t>
        </is>
      </c>
      <c r="AB143" s="31" t="n">
        <v>1301.99</v>
      </c>
      <c r="AC143" s="42">
        <f>MIN(J143,L143,N143,P143,R143,T143,V143,X143,Z143,AB143)</f>
        <v/>
      </c>
      <c r="AD143" s="42">
        <f>MAX(J143,L143,N143,P143,R143,T143,V143,X143,Z143,AB143)</f>
        <v/>
      </c>
      <c r="AE143" s="42">
        <f>AVERAGE(J143,L143,N143,P143,R143,T143,V143,X143,Z143,AB143)</f>
        <v/>
      </c>
      <c r="AF143" s="0" t="n">
        <v>15</v>
      </c>
    </row>
    <row r="144" ht="15.75" customHeight="1" s="51">
      <c r="A144" s="30" t="n">
        <v>131</v>
      </c>
      <c r="B144" s="34" t="inlineStr">
        <is>
          <t>Ceto</t>
        </is>
      </c>
      <c r="C144" s="30" t="inlineStr">
        <is>
          <t>Computer Hardware</t>
        </is>
      </c>
      <c r="D144" s="30" t="inlineStr">
        <is>
          <t>Ceto Hardware; CETO; Keto; Ceeto</t>
        </is>
      </c>
      <c r="E144" s="30" t="inlineStr">
        <is>
          <t>2 year limited</t>
        </is>
      </c>
      <c r="F144" s="30" t="inlineStr">
        <is>
          <t>ISO 9001, ISO 45001, WEEE Registered</t>
        </is>
      </c>
      <c r="G144" s="30" t="inlineStr">
        <is>
          <t>gaming, PC building, workstation builds, office</t>
        </is>
      </c>
      <c r="H144" s="30" t="inlineStr">
        <is>
          <t>Case Fans, Keyboard, Memory, Monitor, Motherboard, Mouse, PC Case, Power Supply, Processor, Webcam</t>
        </is>
      </c>
      <c r="I144" s="30" t="inlineStr">
        <is>
          <t>Ceto Echo RGB Case Fan 3-Pack</t>
        </is>
      </c>
      <c r="J144" s="31" t="n">
        <v>70.98999999999999</v>
      </c>
      <c r="K144" s="30" t="inlineStr">
        <is>
          <t>Ceto Titan Mid-Tower PC Case</t>
        </is>
      </c>
      <c r="L144" s="31" t="n">
        <v>122.99</v>
      </c>
      <c r="M144" s="30" t="inlineStr">
        <is>
          <t>Ceto Titan SE 850W Power Supply</t>
        </is>
      </c>
      <c r="N144" s="31" t="n">
        <v>140.99</v>
      </c>
      <c r="O144" s="30" t="inlineStr">
        <is>
          <t>Ceto Titan Gaming Mouse</t>
        </is>
      </c>
      <c r="P144" s="31" t="n">
        <v>155.99</v>
      </c>
      <c r="Q144" s="30" t="inlineStr">
        <is>
          <t>Ceto Echo Lite ATX Motherboard</t>
        </is>
      </c>
      <c r="R144" s="31" t="n">
        <v>185.99</v>
      </c>
      <c r="S144" s="30" t="inlineStr">
        <is>
          <t>Ceto Aria 32GB DDR5 RAM Kit</t>
        </is>
      </c>
      <c r="T144" s="31" t="n">
        <v>186.99</v>
      </c>
      <c r="U144" s="30" t="inlineStr">
        <is>
          <t>Ceto Nova Pro 4K Webcam</t>
        </is>
      </c>
      <c r="V144" s="31" t="n">
        <v>208.99</v>
      </c>
      <c r="W144" s="30" t="inlineStr">
        <is>
          <t>Ceto Aria Mechanical Keyboard</t>
        </is>
      </c>
      <c r="X144" s="31" t="n">
        <v>213.99</v>
      </c>
      <c r="Y144" s="30" t="inlineStr">
        <is>
          <t>Ceto Pulse Ultra Desktop CPU</t>
        </is>
      </c>
      <c r="Z144" s="31" t="n">
        <v>285.99</v>
      </c>
      <c r="AA144" s="30" t="inlineStr">
        <is>
          <t>Ceto Drift Pro 27" 1440p Monitor</t>
        </is>
      </c>
      <c r="AB144" s="31" t="n">
        <v>541.99</v>
      </c>
      <c r="AC144" s="42">
        <f>MIN(J144,L144,N144,P144,R144,T144,V144,X144,Z144,AB144)</f>
        <v/>
      </c>
      <c r="AD144" s="42">
        <f>MAX(J144,L144,N144,P144,R144,T144,V144,X144,Z144,AB144)</f>
        <v/>
      </c>
      <c r="AE144" s="42">
        <f>AVERAGE(J144,L144,N144,P144,R144,T144,V144,X144,Z144,AB144)</f>
        <v/>
      </c>
      <c r="AF144" s="0" t="n">
        <v>15</v>
      </c>
    </row>
    <row r="145" ht="15.75" customHeight="1" s="51">
      <c r="A145" s="30" t="n">
        <v>132</v>
      </c>
      <c r="B145" s="34" t="inlineStr">
        <is>
          <t>Nike</t>
        </is>
      </c>
      <c r="C145" s="30" t="inlineStr">
        <is>
          <t>Computer Hardware</t>
        </is>
      </c>
      <c r="D145" s="30" t="inlineStr">
        <is>
          <t>Nike Hardware; NIKE; Nik; Nikee</t>
        </is>
      </c>
      <c r="E145" s="30" t="inlineStr">
        <is>
          <t>2 year limited</t>
        </is>
      </c>
      <c r="F145" s="30" t="inlineStr">
        <is>
          <t>ISO 9001, RoHS Compliant, ISO 14001</t>
        </is>
      </c>
      <c r="G145" s="30" t="inlineStr">
        <is>
          <t>gaming, PC building, streaming, cooling</t>
        </is>
      </c>
      <c r="H145" s="30" t="inlineStr">
        <is>
          <t>Case Fans, Cooling, Graphics Card, Mouse, Networking, PC Case, Power Supply, Storage, Webcam</t>
        </is>
      </c>
      <c r="I145" s="30" t="inlineStr">
        <is>
          <t>Nike Prism Max RGB Case Fan 3-Pack</t>
        </is>
      </c>
      <c r="J145" s="31" t="n">
        <v>41.99</v>
      </c>
      <c r="K145" s="30" t="inlineStr">
        <is>
          <t>Nike Axis Mid-Tower PC Case</t>
        </is>
      </c>
      <c r="L145" s="31" t="n">
        <v>69.98999999999999</v>
      </c>
      <c r="M145" s="30" t="inlineStr">
        <is>
          <t>Nike Spark Lite 850W Power Supply</t>
        </is>
      </c>
      <c r="N145" s="31" t="n">
        <v>95.98999999999999</v>
      </c>
      <c r="O145" s="30" t="inlineStr">
        <is>
          <t>Nike Onyx X 2TB NVMe SSD</t>
        </is>
      </c>
      <c r="P145" s="31" t="n">
        <v>114.99</v>
      </c>
      <c r="Q145" s="30" t="inlineStr">
        <is>
          <t>Nike Nova Max Wi-Fi 7 PCIe Card</t>
        </is>
      </c>
      <c r="R145" s="31" t="n">
        <v>115.99</v>
      </c>
      <c r="S145" s="30" t="inlineStr">
        <is>
          <t>Nike Nimbus SE Gaming Mouse</t>
        </is>
      </c>
      <c r="T145" s="31" t="n">
        <v>130.99</v>
      </c>
      <c r="U145" s="30" t="inlineStr">
        <is>
          <t>Nike Rift Air 4TB External Hard Drive</t>
        </is>
      </c>
      <c r="V145" s="31" t="n">
        <v>133.99</v>
      </c>
      <c r="W145" s="30" t="inlineStr">
        <is>
          <t>Nike Pulse X 4K Webcam</t>
        </is>
      </c>
      <c r="X145" s="31" t="n">
        <v>184.99</v>
      </c>
      <c r="Y145" s="30" t="inlineStr">
        <is>
          <t>Nike Apex 360mm AIO CPU Cooler</t>
        </is>
      </c>
      <c r="Z145" s="31" t="n">
        <v>187.99</v>
      </c>
      <c r="AA145" s="30" t="inlineStr">
        <is>
          <t>Nike Arc Lite Graphics Card</t>
        </is>
      </c>
      <c r="AB145" s="31" t="n">
        <v>1340.99</v>
      </c>
      <c r="AC145" s="42">
        <f>MIN(J145,L145,N145,P145,R145,T145,V145,X145,Z145,AB145)</f>
        <v/>
      </c>
      <c r="AD145" s="42">
        <f>MAX(J145,L145,N145,P145,R145,T145,V145,X145,Z145,AB145)</f>
        <v/>
      </c>
      <c r="AE145" s="42">
        <f>AVERAGE(J145,L145,N145,P145,R145,T145,V145,X145,Z145,AB145)</f>
        <v/>
      </c>
      <c r="AF145" s="0" t="n">
        <v>60</v>
      </c>
    </row>
    <row r="146" ht="15.75" customHeight="1" s="51">
      <c r="A146" s="30" t="n">
        <v>133</v>
      </c>
      <c r="B146" s="34" t="inlineStr">
        <is>
          <t>Geras</t>
        </is>
      </c>
      <c r="C146" s="30" t="inlineStr">
        <is>
          <t>Computer Hardware</t>
        </is>
      </c>
      <c r="D146" s="30" t="inlineStr">
        <is>
          <t>Geras Hardware; GERAS; Gerras; Geraas</t>
        </is>
      </c>
      <c r="E146" s="30" t="inlineStr">
        <is>
          <t>2 year limited</t>
        </is>
      </c>
      <c r="F146" s="30" t="inlineStr">
        <is>
          <t>ISO 9001, RoHS Compliant, ISO 45001</t>
        </is>
      </c>
      <c r="G146" s="30" t="inlineStr">
        <is>
          <t>gaming, PC building, streaming, content creation</t>
        </is>
      </c>
      <c r="H146" s="30" t="inlineStr">
        <is>
          <t>Case Fans, Graphics Card, Keyboard, Monitor, Motherboard, Networking, Power Supply, Storage, Webcam</t>
        </is>
      </c>
      <c r="I146" s="30" t="inlineStr">
        <is>
          <t>Geras Flux RGB Case Fan 3-Pack</t>
        </is>
      </c>
      <c r="J146" s="31" t="n">
        <v>46.99</v>
      </c>
      <c r="K146" s="30" t="inlineStr">
        <is>
          <t>Geras Lumen X 4K Webcam</t>
        </is>
      </c>
      <c r="L146" s="31" t="n">
        <v>49.99</v>
      </c>
      <c r="M146" s="30" t="inlineStr">
        <is>
          <t>Geras Wave Lite Wi-Fi 7 PCIe Card</t>
        </is>
      </c>
      <c r="N146" s="31" t="n">
        <v>56.99</v>
      </c>
      <c r="O146" s="30" t="inlineStr">
        <is>
          <t>Geras Prism Pro 2TB NVMe SSD</t>
        </is>
      </c>
      <c r="P146" s="31" t="n">
        <v>119.99</v>
      </c>
      <c r="Q146" s="30" t="inlineStr">
        <is>
          <t>Geras Crest Max 850W Power Supply</t>
        </is>
      </c>
      <c r="R146" s="31" t="n">
        <v>144.99</v>
      </c>
      <c r="S146" s="30" t="inlineStr">
        <is>
          <t>Geras Titan Air Mechanical Keyboard</t>
        </is>
      </c>
      <c r="T146" s="31" t="n">
        <v>148.99</v>
      </c>
      <c r="U146" s="30" t="inlineStr">
        <is>
          <t>Geras Strata Air 4TB External Hard Drive</t>
        </is>
      </c>
      <c r="V146" s="31" t="n">
        <v>158.99</v>
      </c>
      <c r="W146" s="30" t="inlineStr">
        <is>
          <t>Geras Vertex Air ATX Motherboard</t>
        </is>
      </c>
      <c r="X146" s="31" t="n">
        <v>256.99</v>
      </c>
      <c r="Y146" s="30" t="inlineStr">
        <is>
          <t>Geras Blaze Plus 27" 1440p Monitor</t>
        </is>
      </c>
      <c r="Z146" s="31" t="n">
        <v>581.99</v>
      </c>
      <c r="AA146" s="30" t="inlineStr">
        <is>
          <t>Geras Flux Lite Graphics Card</t>
        </is>
      </c>
      <c r="AB146" s="31" t="n">
        <v>645.99</v>
      </c>
      <c r="AC146" s="42">
        <f>MIN(J146,L146,N146,P146,R146,T146,V146,X146,Z146,AB146)</f>
        <v/>
      </c>
      <c r="AD146" s="42">
        <f>MAX(J146,L146,N146,P146,R146,T146,V146,X146,Z146,AB146)</f>
        <v/>
      </c>
      <c r="AE146" s="42">
        <f>AVERAGE(J146,L146,N146,P146,R146,T146,V146,X146,Z146,AB146)</f>
        <v/>
      </c>
      <c r="AF146" s="0" t="n">
        <v>15</v>
      </c>
    </row>
    <row r="147" ht="15.75" customHeight="1" s="51">
      <c r="A147" s="30" t="n">
        <v>134</v>
      </c>
      <c r="B147" s="34" t="inlineStr">
        <is>
          <t>Eros</t>
        </is>
      </c>
      <c r="C147" s="30" t="inlineStr">
        <is>
          <t>Computer Hardware</t>
        </is>
      </c>
      <c r="D147" s="30" t="inlineStr">
        <is>
          <t>Eros Hardware; EROS; Erros; Ero</t>
        </is>
      </c>
      <c r="E147" s="30" t="inlineStr">
        <is>
          <t>2 year limited</t>
        </is>
      </c>
      <c r="F147" s="30" t="inlineStr">
        <is>
          <t>ISO 9001, ISO/IEC 27001, ISO 45001</t>
        </is>
      </c>
      <c r="G147" s="30" t="inlineStr">
        <is>
          <t>gaming, office, content creation, PC building</t>
        </is>
      </c>
      <c r="H147" s="30" t="inlineStr">
        <is>
          <t>Case Fans, Cooling, Docking Station, Keyboard, Monitor, Power Supply, Processor, Storage, Webcam</t>
        </is>
      </c>
      <c r="I147" s="30" t="inlineStr">
        <is>
          <t>Eros Crest Max RGB Case Fan 3-Pack</t>
        </is>
      </c>
      <c r="J147" s="31" t="n">
        <v>70.98999999999999</v>
      </c>
      <c r="K147" s="30" t="inlineStr">
        <is>
          <t>Eros Apex Pro Mechanical Keyboard</t>
        </is>
      </c>
      <c r="L147" s="31" t="n">
        <v>80.98999999999999</v>
      </c>
      <c r="M147" s="30" t="inlineStr">
        <is>
          <t>Eros Prism X 360mm AIO CPU Cooler</t>
        </is>
      </c>
      <c r="N147" s="31" t="n">
        <v>113.99</v>
      </c>
      <c r="O147" s="30" t="inlineStr">
        <is>
          <t>Eros Spark Ultra 4K Webcam</t>
        </is>
      </c>
      <c r="P147" s="31" t="n">
        <v>129.99</v>
      </c>
      <c r="Q147" s="30" t="inlineStr">
        <is>
          <t>Eros Zen Plus 4TB External Hard Drive</t>
        </is>
      </c>
      <c r="R147" s="31" t="n">
        <v>150.99</v>
      </c>
      <c r="S147" s="30" t="inlineStr">
        <is>
          <t>Eros Blaze X USB-C Docking Station</t>
        </is>
      </c>
      <c r="T147" s="31" t="n">
        <v>179.99</v>
      </c>
      <c r="U147" s="30" t="inlineStr">
        <is>
          <t>Eros Sable Plus 850W Power Supply</t>
        </is>
      </c>
      <c r="V147" s="31" t="n">
        <v>181.99</v>
      </c>
      <c r="W147" s="30" t="inlineStr">
        <is>
          <t>Eros Core Desktop CPU</t>
        </is>
      </c>
      <c r="X147" s="31" t="n">
        <v>196.99</v>
      </c>
      <c r="Y147" s="30" t="inlineStr">
        <is>
          <t>Eros Quanta Pro 27" 1440p Monitor</t>
        </is>
      </c>
      <c r="Z147" s="31" t="n">
        <v>233.99</v>
      </c>
      <c r="AA147" s="30" t="inlineStr">
        <is>
          <t>Eros Lumen Lite 2TB NVMe SSD</t>
        </is>
      </c>
      <c r="AB147" s="31" t="n">
        <v>275.99</v>
      </c>
      <c r="AC147" s="42">
        <f>MIN(J147,L147,N147,P147,R147,T147,V147,X147,Z147,AB147)</f>
        <v/>
      </c>
      <c r="AD147" s="42">
        <f>MAX(J147,L147,N147,P147,R147,T147,V147,X147,Z147,AB147)</f>
        <v/>
      </c>
      <c r="AE147" s="42">
        <f>AVERAGE(J147,L147,N147,P147,R147,T147,V147,X147,Z147,AB147)</f>
        <v/>
      </c>
      <c r="AF147" s="0" t="n">
        <v>30</v>
      </c>
    </row>
    <row r="148" ht="15.75" customHeight="1" s="51">
      <c r="A148" s="30" t="n">
        <v>135</v>
      </c>
      <c r="B148" s="34" t="inlineStr">
        <is>
          <t>Aidos</t>
        </is>
      </c>
      <c r="C148" s="30" t="inlineStr">
        <is>
          <t>Computer Hardware</t>
        </is>
      </c>
      <c r="D148" s="30" t="inlineStr">
        <is>
          <t>Aidos Hardware; AIDOS; Adios; Aidoss</t>
        </is>
      </c>
      <c r="E148" s="30" t="inlineStr">
        <is>
          <t>2 year limited</t>
        </is>
      </c>
      <c r="F148" s="30" t="inlineStr">
        <is>
          <t>ISO 9001, ISO 45001, ISO 14001</t>
        </is>
      </c>
      <c r="G148" s="30" t="inlineStr">
        <is>
          <t>gaming, PC building, content creation, workstation builds</t>
        </is>
      </c>
      <c r="H148" s="30" t="inlineStr">
        <is>
          <t>Docking Station, Graphics Card, Memory, Motherboard, Networking, PC Case, Power Supply, Processor, Storage</t>
        </is>
      </c>
      <c r="I148" s="30" t="inlineStr">
        <is>
          <t>Aidos Quanta Air Wi-Fi 7 PCIe Card</t>
        </is>
      </c>
      <c r="J148" s="31" t="n">
        <v>55.99</v>
      </c>
      <c r="K148" s="30" t="inlineStr">
        <is>
          <t>Aidos Aria Max 32GB DDR5 RAM Kit</t>
        </is>
      </c>
      <c r="L148" s="31" t="n">
        <v>98.98999999999999</v>
      </c>
      <c r="M148" s="30" t="inlineStr">
        <is>
          <t>Aidos Core Mid-Tower PC Case</t>
        </is>
      </c>
      <c r="N148" s="31" t="n">
        <v>108.99</v>
      </c>
      <c r="O148" s="30" t="inlineStr">
        <is>
          <t>Aidos Wave X 850W Power Supply</t>
        </is>
      </c>
      <c r="P148" s="31" t="n">
        <v>115.99</v>
      </c>
      <c r="Q148" s="30" t="inlineStr">
        <is>
          <t>Aidos Orbit 4TB External Hard Drive</t>
        </is>
      </c>
      <c r="R148" s="31" t="n">
        <v>196.99</v>
      </c>
      <c r="S148" s="30" t="inlineStr">
        <is>
          <t>Aidos Quanta Ultra USB-C Docking Station</t>
        </is>
      </c>
      <c r="T148" s="31" t="n">
        <v>247.99</v>
      </c>
      <c r="U148" s="30" t="inlineStr">
        <is>
          <t>Aidos Nova 2TB NVMe SSD</t>
        </is>
      </c>
      <c r="V148" s="31" t="n">
        <v>284.99</v>
      </c>
      <c r="W148" s="30" t="inlineStr">
        <is>
          <t>Aidos Aeon Plus ATX Motherboard</t>
        </is>
      </c>
      <c r="X148" s="31" t="n">
        <v>384.99</v>
      </c>
      <c r="Y148" s="30" t="inlineStr">
        <is>
          <t>Aidos Onyx X Desktop CPU</t>
        </is>
      </c>
      <c r="Z148" s="31" t="n">
        <v>542.99</v>
      </c>
      <c r="AA148" s="30" t="inlineStr">
        <is>
          <t>Aidos Prism Ultra Graphics Card</t>
        </is>
      </c>
      <c r="AB148" s="31" t="n">
        <v>1834.99</v>
      </c>
      <c r="AC148" s="42">
        <f>MIN(J148,L148,N148,P148,R148,T148,V148,X148,Z148,AB148)</f>
        <v/>
      </c>
      <c r="AD148" s="42">
        <f>MAX(J148,L148,N148,P148,R148,T148,V148,X148,Z148,AB148)</f>
        <v/>
      </c>
      <c r="AE148" s="42">
        <f>AVERAGE(J148,L148,N148,P148,R148,T148,V148,X148,Z148,AB148)</f>
        <v/>
      </c>
      <c r="AF148" s="0" t="n">
        <v>30</v>
      </c>
    </row>
    <row r="149" ht="15.75" customHeight="1" s="51">
      <c r="A149" s="30" t="n">
        <v>136</v>
      </c>
      <c r="B149" s="34" t="inlineStr">
        <is>
          <t>Urania</t>
        </is>
      </c>
      <c r="C149" s="30" t="inlineStr">
        <is>
          <t>Computer Hardware</t>
        </is>
      </c>
      <c r="D149" s="30" t="inlineStr">
        <is>
          <t>Urania Hardware; URANIA; Uraniaa; Urrania</t>
        </is>
      </c>
      <c r="E149" s="30" t="inlineStr">
        <is>
          <t>2 year limited</t>
        </is>
      </c>
      <c r="F149" s="30" t="inlineStr">
        <is>
          <t>ISO 9001, ISO 45001, RoHS Compliant</t>
        </is>
      </c>
      <c r="G149" s="30" t="inlineStr">
        <is>
          <t>gaming, content creation, office, PC building</t>
        </is>
      </c>
      <c r="H149" s="30" t="inlineStr">
        <is>
          <t>Cooling, Graphics Card, Keyboard, Monitor, Motherboard, Mouse, PC Case, Storage, Webcam</t>
        </is>
      </c>
      <c r="I149" s="30" t="inlineStr">
        <is>
          <t>Urania Blaze Ultra Gaming Mouse</t>
        </is>
      </c>
      <c r="J149" s="31" t="n">
        <v>55.99</v>
      </c>
      <c r="K149" s="30" t="inlineStr">
        <is>
          <t>Urania Apex Pro 2TB NVMe SSD</t>
        </is>
      </c>
      <c r="L149" s="31" t="n">
        <v>100.99</v>
      </c>
      <c r="M149" s="30" t="inlineStr">
        <is>
          <t>Urania Vibe Ultra 4K Webcam</t>
        </is>
      </c>
      <c r="N149" s="31" t="n">
        <v>122.99</v>
      </c>
      <c r="O149" s="30" t="inlineStr">
        <is>
          <t>Urania Aeon Lite 360mm AIO CPU Cooler</t>
        </is>
      </c>
      <c r="P149" s="31" t="n">
        <v>123.99</v>
      </c>
      <c r="Q149" s="30" t="inlineStr">
        <is>
          <t>Urania Volt Air Mechanical Keyboard</t>
        </is>
      </c>
      <c r="R149" s="31" t="n">
        <v>149.99</v>
      </c>
      <c r="S149" s="30" t="inlineStr">
        <is>
          <t>Urania Arc X Mid-Tower PC Case</t>
        </is>
      </c>
      <c r="T149" s="31" t="n">
        <v>158.99</v>
      </c>
      <c r="U149" s="30" t="inlineStr">
        <is>
          <t>Urania Sable X 4TB External Hard Drive</t>
        </is>
      </c>
      <c r="V149" s="31" t="n">
        <v>196.99</v>
      </c>
      <c r="W149" s="30" t="inlineStr">
        <is>
          <t>Urania Lumen X ATX Motherboard</t>
        </is>
      </c>
      <c r="X149" s="31" t="n">
        <v>239.99</v>
      </c>
      <c r="Y149" s="30" t="inlineStr">
        <is>
          <t>Urania Wave Air 27" 1440p Monitor</t>
        </is>
      </c>
      <c r="Z149" s="31" t="n">
        <v>548.99</v>
      </c>
      <c r="AA149" s="30" t="inlineStr">
        <is>
          <t>Urania Orbit Graphics Card</t>
        </is>
      </c>
      <c r="AB149" s="31" t="n">
        <v>1274.99</v>
      </c>
      <c r="AC149" s="42">
        <f>MIN(J149,L149,N149,P149,R149,T149,V149,X149,Z149,AB149)</f>
        <v/>
      </c>
      <c r="AD149" s="42">
        <f>MAX(J149,L149,N149,P149,R149,T149,V149,X149,Z149,AB149)</f>
        <v/>
      </c>
      <c r="AE149" s="42">
        <f>AVERAGE(J149,L149,N149,P149,R149,T149,V149,X149,Z149,AB149)</f>
        <v/>
      </c>
      <c r="AF149" s="0" t="n">
        <v>30</v>
      </c>
    </row>
    <row r="150" ht="15.75" customHeight="1" s="51">
      <c r="A150" s="30" t="n">
        <v>137</v>
      </c>
      <c r="B150" s="34" t="inlineStr">
        <is>
          <t>Zelus</t>
        </is>
      </c>
      <c r="C150" s="30" t="inlineStr">
        <is>
          <t>Computer Hardware</t>
        </is>
      </c>
      <c r="D150" s="30" t="inlineStr">
        <is>
          <t>Zelus Hardware; ZELUS; Zeluss; Zelos</t>
        </is>
      </c>
      <c r="E150" s="30" t="inlineStr">
        <is>
          <t>2 year limited</t>
        </is>
      </c>
      <c r="F150" s="30" t="inlineStr">
        <is>
          <t>ISO 9001, ISO 45001, WEEE Registered</t>
        </is>
      </c>
      <c r="G150" s="30" t="inlineStr">
        <is>
          <t>gaming, PC building, content creation, streaming</t>
        </is>
      </c>
      <c r="H150" s="30" t="inlineStr">
        <is>
          <t>Cooling, Docking Station, Graphics Card, Memory, Mouse, Networking, Power Supply, Processor, Storage</t>
        </is>
      </c>
      <c r="I150" s="30" t="inlineStr">
        <is>
          <t>Zelus Apex Pro Wi-Fi 7 PCIe Card</t>
        </is>
      </c>
      <c r="J150" s="31" t="n">
        <v>43.99</v>
      </c>
      <c r="K150" s="30" t="inlineStr">
        <is>
          <t>Zelus Echo Plus 4TB External Hard Drive</t>
        </is>
      </c>
      <c r="L150" s="31" t="n">
        <v>93.98999999999999</v>
      </c>
      <c r="M150" s="30" t="inlineStr">
        <is>
          <t>Zelus Axis Air 360mm AIO CPU Cooler</t>
        </is>
      </c>
      <c r="N150" s="31" t="n">
        <v>114.99</v>
      </c>
      <c r="O150" s="30" t="inlineStr">
        <is>
          <t>Zelus Core SE Gaming Mouse</t>
        </is>
      </c>
      <c r="P150" s="31" t="n">
        <v>150.99</v>
      </c>
      <c r="Q150" s="30" t="inlineStr">
        <is>
          <t>Zelus Spark Ultra 32GB DDR5 RAM Kit</t>
        </is>
      </c>
      <c r="R150" s="31" t="n">
        <v>177.99</v>
      </c>
      <c r="S150" s="30" t="inlineStr">
        <is>
          <t>Zelus Lumen 850W Power Supply</t>
        </is>
      </c>
      <c r="T150" s="31" t="n">
        <v>181.99</v>
      </c>
      <c r="U150" s="30" t="inlineStr">
        <is>
          <t>Zelus Drift SE 2TB NVMe SSD</t>
        </is>
      </c>
      <c r="V150" s="31" t="n">
        <v>194.99</v>
      </c>
      <c r="W150" s="30" t="inlineStr">
        <is>
          <t>Zelus Aria Max USB-C Docking Station</t>
        </is>
      </c>
      <c r="X150" s="31" t="n">
        <v>218.99</v>
      </c>
      <c r="Y150" s="30" t="inlineStr">
        <is>
          <t>Zelus Lumen Lite Desktop CPU</t>
        </is>
      </c>
      <c r="Z150" s="31" t="n">
        <v>685.99</v>
      </c>
      <c r="AA150" s="30" t="inlineStr">
        <is>
          <t>Zelus Rift Plus Graphics Card</t>
        </is>
      </c>
      <c r="AB150" s="31" t="n">
        <v>1308.99</v>
      </c>
      <c r="AC150" s="42">
        <f>MIN(J150,L150,N150,P150,R150,T150,V150,X150,Z150,AB150)</f>
        <v/>
      </c>
      <c r="AD150" s="42">
        <f>MAX(J150,L150,N150,P150,R150,T150,V150,X150,Z150,AB150)</f>
        <v/>
      </c>
      <c r="AE150" s="42">
        <f>AVERAGE(J150,L150,N150,P150,R150,T150,V150,X150,Z150,AB150)</f>
        <v/>
      </c>
      <c r="AF150" s="0" t="n">
        <v>30</v>
      </c>
    </row>
    <row r="151" ht="15.75" customHeight="1" s="51">
      <c r="A151" s="30" t="n">
        <v>138</v>
      </c>
      <c r="B151" s="34" t="inlineStr">
        <is>
          <t>Phanes</t>
        </is>
      </c>
      <c r="C151" s="30" t="inlineStr">
        <is>
          <t>Computer Hardware</t>
        </is>
      </c>
      <c r="D151" s="30" t="inlineStr">
        <is>
          <t>Phanes Hardware; PHANES; Phannes; Phanees</t>
        </is>
      </c>
      <c r="E151" s="30" t="inlineStr">
        <is>
          <t>2 year limited</t>
        </is>
      </c>
      <c r="F151" s="30" t="inlineStr">
        <is>
          <t>ISO 9001, ISO 45001, ISO/IEC 27001</t>
        </is>
      </c>
      <c r="G151" s="30" t="inlineStr">
        <is>
          <t>gaming, PC building, office, cooling</t>
        </is>
      </c>
      <c r="H151" s="30" t="inlineStr">
        <is>
          <t>Case Fans, Cooling, Graphics Card, Keyboard, Memory, Monitor, Motherboard, PC Case, Power Supply, Storage</t>
        </is>
      </c>
      <c r="I151" s="30" t="inlineStr">
        <is>
          <t>Phanes Sable Plus RGB Case Fan 3-Pack</t>
        </is>
      </c>
      <c r="J151" s="31" t="n">
        <v>81.98999999999999</v>
      </c>
      <c r="K151" s="30" t="inlineStr">
        <is>
          <t>Phanes Vibe Lite Mid-Tower PC Case</t>
        </is>
      </c>
      <c r="L151" s="31" t="n">
        <v>112.99</v>
      </c>
      <c r="M151" s="30" t="inlineStr">
        <is>
          <t>Phanes Volt X 850W Power Supply</t>
        </is>
      </c>
      <c r="N151" s="31" t="n">
        <v>128.99</v>
      </c>
      <c r="O151" s="30" t="inlineStr">
        <is>
          <t>Phanes Arc 360mm AIO CPU Cooler</t>
        </is>
      </c>
      <c r="P151" s="31" t="n">
        <v>130.99</v>
      </c>
      <c r="Q151" s="30" t="inlineStr">
        <is>
          <t>Phanes Drift Max Mechanical Keyboard</t>
        </is>
      </c>
      <c r="R151" s="31" t="n">
        <v>179.99</v>
      </c>
      <c r="S151" s="30" t="inlineStr">
        <is>
          <t>Phanes Flux Pro 4TB External Hard Drive</t>
        </is>
      </c>
      <c r="T151" s="31" t="n">
        <v>192.99</v>
      </c>
      <c r="U151" s="30" t="inlineStr">
        <is>
          <t>Phanes Aria SE 32GB DDR5 RAM Kit</t>
        </is>
      </c>
      <c r="V151" s="31" t="n">
        <v>243.99</v>
      </c>
      <c r="W151" s="30" t="inlineStr">
        <is>
          <t>Phanes Lumen Lite ATX Motherboard</t>
        </is>
      </c>
      <c r="X151" s="31" t="n">
        <v>255.99</v>
      </c>
      <c r="Y151" s="30" t="inlineStr">
        <is>
          <t>Phanes Flux Ultra 27" 1440p Monitor</t>
        </is>
      </c>
      <c r="Z151" s="31" t="n">
        <v>566.99</v>
      </c>
      <c r="AA151" s="30" t="inlineStr">
        <is>
          <t>Phanes Spark Ultra Graphics Card</t>
        </is>
      </c>
      <c r="AB151" s="31" t="n">
        <v>1630.99</v>
      </c>
      <c r="AC151" s="42">
        <f>MIN(J151,L151,N151,P151,R151,T151,V151,X151,Z151,AB151)</f>
        <v/>
      </c>
      <c r="AD151" s="42">
        <f>MAX(J151,L151,N151,P151,R151,T151,V151,X151,Z151,AB151)</f>
        <v/>
      </c>
      <c r="AE151" s="42">
        <f>AVERAGE(J151,L151,N151,P151,R151,T151,V151,X151,Z151,AB151)</f>
        <v/>
      </c>
      <c r="AF151" s="0" t="n">
        <v>14</v>
      </c>
    </row>
    <row r="152" ht="15.75" customHeight="1" s="51">
      <c r="A152" s="30" t="n">
        <v>139</v>
      </c>
      <c r="B152" s="34" t="inlineStr">
        <is>
          <t>Crius</t>
        </is>
      </c>
      <c r="C152" s="30" t="inlineStr">
        <is>
          <t>Computer Hardware</t>
        </is>
      </c>
      <c r="D152" s="30" t="inlineStr">
        <is>
          <t>Crius Hardware; CRIUS; Cirus; Criu</t>
        </is>
      </c>
      <c r="E152" s="30" t="inlineStr">
        <is>
          <t>2 year limited</t>
        </is>
      </c>
      <c r="F152" s="30" t="inlineStr">
        <is>
          <t>ISO 9001, ISO 45001, ISO 14001</t>
        </is>
      </c>
      <c r="G152" s="30" t="inlineStr">
        <is>
          <t>gaming, PC building, office, content creation</t>
        </is>
      </c>
      <c r="H152" s="30" t="inlineStr">
        <is>
          <t>Case Fans, Docking Station, Graphics Card, Memory, Monitor, Motherboard, Mouse, Networking, Storage</t>
        </is>
      </c>
      <c r="I152" s="30" t="inlineStr">
        <is>
          <t>Crius Nova Pro Gaming Mouse</t>
        </is>
      </c>
      <c r="J152" s="31" t="n">
        <v>90.98999999999999</v>
      </c>
      <c r="K152" s="30" t="inlineStr">
        <is>
          <t>Crius Nimbus X RGB Case Fan 3-Pack</t>
        </is>
      </c>
      <c r="L152" s="31" t="n">
        <v>94.98999999999999</v>
      </c>
      <c r="M152" s="30" t="inlineStr">
        <is>
          <t>Crius Crest Ultra Wi-Fi 7 PCIe Card</t>
        </is>
      </c>
      <c r="N152" s="31" t="n">
        <v>95.98999999999999</v>
      </c>
      <c r="O152" s="30" t="inlineStr">
        <is>
          <t>Crius Rift Lite 32GB DDR5 RAM Kit</t>
        </is>
      </c>
      <c r="P152" s="31" t="n">
        <v>144.99</v>
      </c>
      <c r="Q152" s="30" t="inlineStr">
        <is>
          <t>Crius Wave Pro 4TB External Hard Drive</t>
        </is>
      </c>
      <c r="R152" s="31" t="n">
        <v>149.99</v>
      </c>
      <c r="S152" s="30" t="inlineStr">
        <is>
          <t>Crius Sable X USB-C Docking Station</t>
        </is>
      </c>
      <c r="T152" s="31" t="n">
        <v>151.99</v>
      </c>
      <c r="U152" s="30" t="inlineStr">
        <is>
          <t>Crius Wave X 2TB NVMe SSD</t>
        </is>
      </c>
      <c r="V152" s="31" t="n">
        <v>294.99</v>
      </c>
      <c r="W152" s="30" t="inlineStr">
        <is>
          <t>Crius Drift ATX Motherboard</t>
        </is>
      </c>
      <c r="X152" s="31" t="n">
        <v>436.99</v>
      </c>
      <c r="Y152" s="30" t="inlineStr">
        <is>
          <t>Crius Echo Lite Graphics Card</t>
        </is>
      </c>
      <c r="Z152" s="31" t="n">
        <v>548.99</v>
      </c>
      <c r="AA152" s="30" t="inlineStr">
        <is>
          <t>Crius Vertex X 27" 1440p Monitor</t>
        </is>
      </c>
      <c r="AB152" s="31" t="n">
        <v>623.99</v>
      </c>
      <c r="AC152" s="42">
        <f>MIN(J152,L152,N152,P152,R152,T152,V152,X152,Z152,AB152)</f>
        <v/>
      </c>
      <c r="AD152" s="42">
        <f>MAX(J152,L152,N152,P152,R152,T152,V152,X152,Z152,AB152)</f>
        <v/>
      </c>
      <c r="AE152" s="42">
        <f>AVERAGE(J152,L152,N152,P152,R152,T152,V152,X152,Z152,AB152)</f>
        <v/>
      </c>
      <c r="AF152" s="0" t="n">
        <v>14</v>
      </c>
    </row>
    <row r="153" ht="15.75" customHeight="1" s="51">
      <c r="A153" s="30" t="n">
        <v>140</v>
      </c>
      <c r="B153" s="34" t="inlineStr">
        <is>
          <t>Ares</t>
        </is>
      </c>
      <c r="C153" s="30" t="inlineStr">
        <is>
          <t>Computer Hardware</t>
        </is>
      </c>
      <c r="D153" s="30" t="inlineStr">
        <is>
          <t>Ares Hardware; ARES; Arres; Aress</t>
        </is>
      </c>
      <c r="E153" s="30" t="inlineStr">
        <is>
          <t>2 year limited</t>
        </is>
      </c>
      <c r="F153" s="30" t="inlineStr">
        <is>
          <t>ISO 9001, RoHS Compliant, ISO 45001</t>
        </is>
      </c>
      <c r="G153" s="30" t="inlineStr">
        <is>
          <t>gaming, PC building, office, workstation builds</t>
        </is>
      </c>
      <c r="H153" s="30" t="inlineStr">
        <is>
          <t>Cooling, Keyboard, Memory, Monitor, Motherboard, Mouse, Networking, Power Supply, Processor, Storage</t>
        </is>
      </c>
      <c r="I153" s="30" t="inlineStr">
        <is>
          <t>Ares Apex SE Wi-Fi 7 PCIe Card</t>
        </is>
      </c>
      <c r="J153" s="31" t="n">
        <v>102.99</v>
      </c>
      <c r="K153" s="30" t="inlineStr">
        <is>
          <t>Ares Wave Ultra 850W Power Supply</t>
        </is>
      </c>
      <c r="L153" s="31" t="n">
        <v>112.99</v>
      </c>
      <c r="M153" s="30" t="inlineStr">
        <is>
          <t>Ares Vibe Mechanical Keyboard</t>
        </is>
      </c>
      <c r="N153" s="31" t="n">
        <v>146.99</v>
      </c>
      <c r="O153" s="30" t="inlineStr">
        <is>
          <t>Ares Orbit Gaming Mouse</t>
        </is>
      </c>
      <c r="P153" s="31" t="n">
        <v>154.99</v>
      </c>
      <c r="Q153" s="30" t="inlineStr">
        <is>
          <t>Ares Halo Air ATX Motherboard</t>
        </is>
      </c>
      <c r="R153" s="31" t="n">
        <v>156.99</v>
      </c>
      <c r="S153" s="30" t="inlineStr">
        <is>
          <t>Ares Apex SE 4TB External Hard Drive</t>
        </is>
      </c>
      <c r="T153" s="31" t="n">
        <v>187.99</v>
      </c>
      <c r="U153" s="30" t="inlineStr">
        <is>
          <t>Ares Spark Lite Desktop CPU</t>
        </is>
      </c>
      <c r="V153" s="31" t="n">
        <v>223.99</v>
      </c>
      <c r="W153" s="30" t="inlineStr">
        <is>
          <t>Ares Titan 32GB DDR5 RAM Kit</t>
        </is>
      </c>
      <c r="X153" s="31" t="n">
        <v>232.99</v>
      </c>
      <c r="Y153" s="30" t="inlineStr">
        <is>
          <t>Ares Crest 360mm AIO CPU Cooler</t>
        </is>
      </c>
      <c r="Z153" s="31" t="n">
        <v>245.99</v>
      </c>
      <c r="AA153" s="30" t="inlineStr">
        <is>
          <t>Ares Vibe X 27" 1440p Monitor</t>
        </is>
      </c>
      <c r="AB153" s="31" t="n">
        <v>621.99</v>
      </c>
      <c r="AC153" s="42">
        <f>MIN(J153,L153,N153,P153,R153,T153,V153,X153,Z153,AB153)</f>
        <v/>
      </c>
      <c r="AD153" s="42">
        <f>MAX(J153,L153,N153,P153,R153,T153,V153,X153,Z153,AB153)</f>
        <v/>
      </c>
      <c r="AE153" s="42">
        <f>AVERAGE(J153,L153,N153,P153,R153,T153,V153,X153,Z153,AB153)</f>
        <v/>
      </c>
      <c r="AF153" s="0" t="n">
        <v>45</v>
      </c>
    </row>
    <row r="154" ht="15.75" customHeight="1" s="51">
      <c r="A154" s="30" t="n">
        <v>141</v>
      </c>
      <c r="B154" s="34" t="inlineStr">
        <is>
          <t>Aphrodite</t>
        </is>
      </c>
      <c r="C154" s="30" t="inlineStr">
        <is>
          <t>Computer Hardware</t>
        </is>
      </c>
      <c r="D154" s="30" t="inlineStr">
        <is>
          <t>Aphrodite Hardware; APHRODITE; Afrodite; Aprhodite</t>
        </is>
      </c>
      <c r="E154" s="30" t="inlineStr">
        <is>
          <t>2 year limited</t>
        </is>
      </c>
      <c r="F154" s="30" t="inlineStr">
        <is>
          <t>ISO 9001, WEEE Registered, ISO/IEC 27001</t>
        </is>
      </c>
      <c r="G154" s="30" t="inlineStr">
        <is>
          <t>gaming, PC building, office, cooling</t>
        </is>
      </c>
      <c r="H154" s="30" t="inlineStr">
        <is>
          <t>Case Fans, Cooling, Docking Station, Graphics Card, Keyboard, Memory, Mouse, Networking, PC Case, Power Supply</t>
        </is>
      </c>
      <c r="I154" s="30" t="inlineStr">
        <is>
          <t>Aphrodite Spark Pro RGB Case Fan 3-Pack</t>
        </is>
      </c>
      <c r="J154" s="31" t="n">
        <v>60.99</v>
      </c>
      <c r="K154" s="30" t="inlineStr">
        <is>
          <t>Aphrodite Pulse Mechanical Keyboard</t>
        </is>
      </c>
      <c r="L154" s="31" t="n">
        <v>96.98999999999999</v>
      </c>
      <c r="M154" s="30" t="inlineStr">
        <is>
          <t>Aphrodite Vertex Max Wi-Fi 7 PCIe Card</t>
        </is>
      </c>
      <c r="N154" s="31" t="n">
        <v>107.99</v>
      </c>
      <c r="O154" s="30" t="inlineStr">
        <is>
          <t>Aphrodite Vertex Lite 850W Power Supply</t>
        </is>
      </c>
      <c r="P154" s="31" t="n">
        <v>113.99</v>
      </c>
      <c r="Q154" s="30" t="inlineStr">
        <is>
          <t>Aphrodite Volt Gaming Mouse</t>
        </is>
      </c>
      <c r="R154" s="31" t="n">
        <v>122.99</v>
      </c>
      <c r="S154" s="30" t="inlineStr">
        <is>
          <t>Aphrodite Orbit Mid-Tower PC Case</t>
        </is>
      </c>
      <c r="T154" s="31" t="n">
        <v>205.99</v>
      </c>
      <c r="U154" s="30" t="inlineStr">
        <is>
          <t>Aphrodite Pulse SE 32GB DDR5 RAM Kit</t>
        </is>
      </c>
      <c r="V154" s="31" t="n">
        <v>211.99</v>
      </c>
      <c r="W154" s="30" t="inlineStr">
        <is>
          <t>Aphrodite Halo Plus 360mm AIO CPU Cooler</t>
        </is>
      </c>
      <c r="X154" s="31" t="n">
        <v>255.99</v>
      </c>
      <c r="Y154" s="30" t="inlineStr">
        <is>
          <t>Aphrodite Volt X USB-C Docking Station</t>
        </is>
      </c>
      <c r="Z154" s="31" t="n">
        <v>273.99</v>
      </c>
      <c r="AA154" s="30" t="inlineStr">
        <is>
          <t>Aphrodite Prism X Graphics Card</t>
        </is>
      </c>
      <c r="AB154" s="31" t="n">
        <v>419.99</v>
      </c>
      <c r="AC154" s="42">
        <f>MIN(J154,L154,N154,P154,R154,T154,V154,X154,Z154,AB154)</f>
        <v/>
      </c>
      <c r="AD154" s="42">
        <f>MAX(J154,L154,N154,P154,R154,T154,V154,X154,Z154,AB154)</f>
        <v/>
      </c>
      <c r="AE154" s="42">
        <f>AVERAGE(J154,L154,N154,P154,R154,T154,V154,X154,Z154,AB154)</f>
        <v/>
      </c>
      <c r="AF154" s="0" t="n">
        <v>15</v>
      </c>
    </row>
    <row r="155" ht="15.75" customHeight="1" s="51">
      <c r="A155" s="30" t="n">
        <v>142</v>
      </c>
      <c r="B155" s="34" t="inlineStr">
        <is>
          <t>Kairos</t>
        </is>
      </c>
      <c r="C155" s="30" t="inlineStr">
        <is>
          <t>Computer Hardware</t>
        </is>
      </c>
      <c r="D155" s="30" t="inlineStr">
        <is>
          <t>Kairos Hardware; KAIROS; Kairoos; Kaiiros</t>
        </is>
      </c>
      <c r="E155" s="30" t="inlineStr">
        <is>
          <t>2 year limited</t>
        </is>
      </c>
      <c r="F155" s="30" t="inlineStr">
        <is>
          <t>ISO 9001, WEEE Registered, RoHS Compliant</t>
        </is>
      </c>
      <c r="G155" s="30" t="inlineStr">
        <is>
          <t>gaming, PC building, office, streaming</t>
        </is>
      </c>
      <c r="H155" s="30" t="inlineStr">
        <is>
          <t>Case Fans, Docking Station, Keyboard, Monitor, Mouse, Networking, PC Case, Power Supply, Storage, Webcam</t>
        </is>
      </c>
      <c r="I155" s="30" t="inlineStr">
        <is>
          <t>Kairos Volt Air Gaming Mouse</t>
        </is>
      </c>
      <c r="J155" s="31" t="n">
        <v>63.99</v>
      </c>
      <c r="K155" s="30" t="inlineStr">
        <is>
          <t>Kairos Core Max RGB Case Fan 3-Pack</t>
        </is>
      </c>
      <c r="L155" s="31" t="n">
        <v>89.98999999999999</v>
      </c>
      <c r="M155" s="30" t="inlineStr">
        <is>
          <t>Kairos Aeon Lite 4K Webcam</t>
        </is>
      </c>
      <c r="N155" s="31" t="n">
        <v>106.99</v>
      </c>
      <c r="O155" s="30" t="inlineStr">
        <is>
          <t>Kairos Vertex Air Mid-Tower PC Case</t>
        </is>
      </c>
      <c r="P155" s="31" t="n">
        <v>110.99</v>
      </c>
      <c r="Q155" s="30" t="inlineStr">
        <is>
          <t>Kairos Volt SE Wi-Fi 7 PCIe Card</t>
        </is>
      </c>
      <c r="R155" s="31" t="n">
        <v>111.99</v>
      </c>
      <c r="S155" s="30" t="inlineStr">
        <is>
          <t>Kairos Halo Air 850W Power Supply</t>
        </is>
      </c>
      <c r="T155" s="31" t="n">
        <v>113.99</v>
      </c>
      <c r="U155" s="30" t="inlineStr">
        <is>
          <t>Kairos Apex SE 2TB NVMe SSD</t>
        </is>
      </c>
      <c r="V155" s="31" t="n">
        <v>168.99</v>
      </c>
      <c r="W155" s="30" t="inlineStr">
        <is>
          <t>Kairos Vibe Mechanical Keyboard</t>
        </is>
      </c>
      <c r="X155" s="31" t="n">
        <v>236.99</v>
      </c>
      <c r="Y155" s="30" t="inlineStr">
        <is>
          <t>Kairos Sable Plus USB-C Docking Station</t>
        </is>
      </c>
      <c r="Z155" s="31" t="n">
        <v>283.99</v>
      </c>
      <c r="AA155" s="30" t="inlineStr">
        <is>
          <t>Kairos Titan Ultra 27" 1440p Monitor</t>
        </is>
      </c>
      <c r="AB155" s="31" t="n">
        <v>599.99</v>
      </c>
      <c r="AC155" s="42">
        <f>MIN(J155,L155,N155,P155,R155,T155,V155,X155,Z155,AB155)</f>
        <v/>
      </c>
      <c r="AD155" s="42">
        <f>MAX(J155,L155,N155,P155,R155,T155,V155,X155,Z155,AB155)</f>
        <v/>
      </c>
      <c r="AE155" s="42">
        <f>AVERAGE(J155,L155,N155,P155,R155,T155,V155,X155,Z155,AB155)</f>
        <v/>
      </c>
      <c r="AF155" s="0" t="n">
        <v>45</v>
      </c>
    </row>
    <row r="156" ht="15.75" customHeight="1" s="51">
      <c r="A156" s="30" t="n">
        <v>143</v>
      </c>
      <c r="B156" s="34" t="inlineStr">
        <is>
          <t>Phoebe</t>
        </is>
      </c>
      <c r="C156" s="30" t="inlineStr">
        <is>
          <t>Computer Hardware</t>
        </is>
      </c>
      <c r="D156" s="30" t="inlineStr">
        <is>
          <t>Phoebe Hardware; PHOEBE; Phhoebe; Phoebee</t>
        </is>
      </c>
      <c r="E156" s="30" t="inlineStr">
        <is>
          <t>2 year limited</t>
        </is>
      </c>
      <c r="F156" s="30" t="inlineStr">
        <is>
          <t>ISO 9001, WEEE Registered, ISO 14001</t>
        </is>
      </c>
      <c r="G156" s="30" t="inlineStr">
        <is>
          <t>gaming, PC building, streaming, content creation</t>
        </is>
      </c>
      <c r="H156" s="30" t="inlineStr">
        <is>
          <t>Case Fans, Cooling, Docking Station, Graphics Card, Monitor, Motherboard, Networking, PC Case, Processor, Webcam</t>
        </is>
      </c>
      <c r="I156" s="30" t="inlineStr">
        <is>
          <t>Phoebe Onyx Lite RGB Case Fan 3-Pack</t>
        </is>
      </c>
      <c r="J156" s="31" t="n">
        <v>35.99</v>
      </c>
      <c r="K156" s="30" t="inlineStr">
        <is>
          <t>Phoebe Blaze SE Mid-Tower PC Case</t>
        </is>
      </c>
      <c r="L156" s="31" t="n">
        <v>67.98999999999999</v>
      </c>
      <c r="M156" s="30" t="inlineStr">
        <is>
          <t>Phoebe Halo Air 360mm AIO CPU Cooler</t>
        </is>
      </c>
      <c r="N156" s="31" t="n">
        <v>90.98999999999999</v>
      </c>
      <c r="O156" s="30" t="inlineStr">
        <is>
          <t>Phoebe Orbit Air Wi-Fi 7 PCIe Card</t>
        </is>
      </c>
      <c r="P156" s="31" t="n">
        <v>114.99</v>
      </c>
      <c r="Q156" s="30" t="inlineStr">
        <is>
          <t>Phoebe Core Pro Desktop CPU</t>
        </is>
      </c>
      <c r="R156" s="31" t="n">
        <v>193.99</v>
      </c>
      <c r="S156" s="30" t="inlineStr">
        <is>
          <t>Phoebe Spark Ultra 4K Webcam</t>
        </is>
      </c>
      <c r="T156" s="31" t="n">
        <v>211.99</v>
      </c>
      <c r="U156" s="30" t="inlineStr">
        <is>
          <t>Phoebe Halo USB-C Docking Station</t>
        </is>
      </c>
      <c r="V156" s="31" t="n">
        <v>224.99</v>
      </c>
      <c r="W156" s="30" t="inlineStr">
        <is>
          <t>Phoebe Nova X ATX Motherboard</t>
        </is>
      </c>
      <c r="X156" s="31" t="n">
        <v>337.99</v>
      </c>
      <c r="Y156" s="30" t="inlineStr">
        <is>
          <t>Phoebe Nimbus X 27" 1440p Monitor</t>
        </is>
      </c>
      <c r="Z156" s="31" t="n">
        <v>674.99</v>
      </c>
      <c r="AA156" s="30" t="inlineStr">
        <is>
          <t>Phoebe Orbit Max Graphics Card</t>
        </is>
      </c>
      <c r="AB156" s="31" t="n">
        <v>1591.99</v>
      </c>
      <c r="AC156" s="42">
        <f>MIN(J156,L156,N156,P156,R156,T156,V156,X156,Z156,AB156)</f>
        <v/>
      </c>
      <c r="AD156" s="42">
        <f>MAX(J156,L156,N156,P156,R156,T156,V156,X156,Z156,AB156)</f>
        <v/>
      </c>
      <c r="AE156" s="42">
        <f>AVERAGE(J156,L156,N156,P156,R156,T156,V156,X156,Z156,AB156)</f>
        <v/>
      </c>
      <c r="AF156" s="0" t="n">
        <v>30</v>
      </c>
    </row>
    <row r="157" ht="15.75" customHeight="1" s="51">
      <c r="A157" s="30" t="n">
        <v>144</v>
      </c>
      <c r="B157" s="34" t="inlineStr">
        <is>
          <t>Psyche</t>
        </is>
      </c>
      <c r="C157" s="30" t="inlineStr">
        <is>
          <t>Computer Hardware</t>
        </is>
      </c>
      <c r="D157" s="30" t="inlineStr">
        <is>
          <t>Psyche Hardware; PSYCHE; Psyyche; Psychee</t>
        </is>
      </c>
      <c r="E157" s="30" t="inlineStr">
        <is>
          <t>2 year limited</t>
        </is>
      </c>
      <c r="F157" s="30" t="inlineStr">
        <is>
          <t>ISO 9001, ISO 45001, WEEE Registered</t>
        </is>
      </c>
      <c r="G157" s="30" t="inlineStr">
        <is>
          <t>gaming, PC building, office, remote work</t>
        </is>
      </c>
      <c r="H157" s="30" t="inlineStr">
        <is>
          <t>Cooling, Docking Station, Graphics Card, Keyboard, Memory, Monitor, Motherboard, Mouse, Networking, Power Supply</t>
        </is>
      </c>
      <c r="I157" s="30" t="inlineStr">
        <is>
          <t>Psyche Core Lite USB-C Docking Station</t>
        </is>
      </c>
      <c r="J157" s="31" t="n">
        <v>80.98999999999999</v>
      </c>
      <c r="K157" s="30" t="inlineStr">
        <is>
          <t>Psyche Rift SE Wi-Fi 7 PCIe Card</t>
        </is>
      </c>
      <c r="L157" s="31" t="n">
        <v>96.98999999999999</v>
      </c>
      <c r="M157" s="30" t="inlineStr">
        <is>
          <t>Psyche Apex SE Gaming Mouse</t>
        </is>
      </c>
      <c r="N157" s="31" t="n">
        <v>108.99</v>
      </c>
      <c r="O157" s="30" t="inlineStr">
        <is>
          <t>Psyche Crest Pro 32GB DDR5 RAM Kit</t>
        </is>
      </c>
      <c r="P157" s="31" t="n">
        <v>135.99</v>
      </c>
      <c r="Q157" s="30" t="inlineStr">
        <is>
          <t>Psyche Orbit Mechanical Keyboard</t>
        </is>
      </c>
      <c r="R157" s="31" t="n">
        <v>152.99</v>
      </c>
      <c r="S157" s="30" t="inlineStr">
        <is>
          <t>Psyche Onyx SE 360mm AIO CPU Cooler</t>
        </is>
      </c>
      <c r="T157" s="31" t="n">
        <v>158.99</v>
      </c>
      <c r="U157" s="30" t="inlineStr">
        <is>
          <t>Psyche Volt Max 850W Power Supply</t>
        </is>
      </c>
      <c r="V157" s="31" t="n">
        <v>177.99</v>
      </c>
      <c r="W157" s="30" t="inlineStr">
        <is>
          <t>Psyche Lumen Pro ATX Motherboard</t>
        </is>
      </c>
      <c r="X157" s="31" t="n">
        <v>355.99</v>
      </c>
      <c r="Y157" s="30" t="inlineStr">
        <is>
          <t>Psyche Titan Max Graphics Card</t>
        </is>
      </c>
      <c r="Z157" s="31" t="n">
        <v>432.99</v>
      </c>
      <c r="AA157" s="30" t="inlineStr">
        <is>
          <t>Psyche Pulse 27" 1440p Monitor</t>
        </is>
      </c>
      <c r="AB157" s="31" t="n">
        <v>463.99</v>
      </c>
      <c r="AC157" s="42">
        <f>MIN(J157,L157,N157,P157,R157,T157,V157,X157,Z157,AB157)</f>
        <v/>
      </c>
      <c r="AD157" s="42">
        <f>MAX(J157,L157,N157,P157,R157,T157,V157,X157,Z157,AB157)</f>
        <v/>
      </c>
      <c r="AE157" s="42">
        <f>AVERAGE(J157,L157,N157,P157,R157,T157,V157,X157,Z157,AB157)</f>
        <v/>
      </c>
      <c r="AF157" s="0" t="n">
        <v>30</v>
      </c>
    </row>
    <row r="158" ht="15.75" customHeight="1" s="51">
      <c r="A158" s="30" t="n">
        <v>145</v>
      </c>
      <c r="B158" s="34" t="inlineStr">
        <is>
          <t>Themis</t>
        </is>
      </c>
      <c r="C158" s="30" t="inlineStr">
        <is>
          <t>Computer Hardware</t>
        </is>
      </c>
      <c r="D158" s="30" t="inlineStr">
        <is>
          <t>Themis Hardware; THEMIS; Thhemis; Thmeis</t>
        </is>
      </c>
      <c r="E158" s="30" t="inlineStr">
        <is>
          <t>2 year limited</t>
        </is>
      </c>
      <c r="F158" s="30" t="inlineStr">
        <is>
          <t>ISO 9001, RoHS Compliant, ISO 45001</t>
        </is>
      </c>
      <c r="G158" s="30" t="inlineStr">
        <is>
          <t>gaming, content creation, office, remote work</t>
        </is>
      </c>
      <c r="H158" s="30" t="inlineStr">
        <is>
          <t>Docking Station, Keyboard, Monitor, Motherboard, Mouse, Power Supply, Processor, Storage, Webcam</t>
        </is>
      </c>
      <c r="I158" s="30" t="inlineStr">
        <is>
          <t>Themis Axis Max 4TB External Hard Drive</t>
        </is>
      </c>
      <c r="J158" s="31" t="n">
        <v>89.98999999999999</v>
      </c>
      <c r="K158" s="30" t="inlineStr">
        <is>
          <t>Themis Orbit Air Gaming Mouse</t>
        </is>
      </c>
      <c r="L158" s="31" t="n">
        <v>108.99</v>
      </c>
      <c r="M158" s="30" t="inlineStr">
        <is>
          <t>Themis Nova SE 4K Webcam</t>
        </is>
      </c>
      <c r="N158" s="31" t="n">
        <v>114.99</v>
      </c>
      <c r="O158" s="30" t="inlineStr">
        <is>
          <t>Themis Spark Desktop CPU</t>
        </is>
      </c>
      <c r="P158" s="31" t="n">
        <v>156.99</v>
      </c>
      <c r="Q158" s="30" t="inlineStr">
        <is>
          <t>Themis Onyx Pro Mechanical Keyboard</t>
        </is>
      </c>
      <c r="R158" s="31" t="n">
        <v>171.99</v>
      </c>
      <c r="S158" s="30" t="inlineStr">
        <is>
          <t>Themis Apex Pro USB-C Docking Station</t>
        </is>
      </c>
      <c r="T158" s="31" t="n">
        <v>190.99</v>
      </c>
      <c r="U158" s="30" t="inlineStr">
        <is>
          <t>Themis Quanta X 850W Power Supply</t>
        </is>
      </c>
      <c r="V158" s="31" t="n">
        <v>205.99</v>
      </c>
      <c r="W158" s="30" t="inlineStr">
        <is>
          <t>Themis Zen Ultra 2TB NVMe SSD</t>
        </is>
      </c>
      <c r="X158" s="31" t="n">
        <v>291.99</v>
      </c>
      <c r="Y158" s="30" t="inlineStr">
        <is>
          <t>Themis Nimbus X ATX Motherboard</t>
        </is>
      </c>
      <c r="Z158" s="31" t="n">
        <v>374.99</v>
      </c>
      <c r="AA158" s="30" t="inlineStr">
        <is>
          <t>Themis Zen SE 27" 1440p Monitor</t>
        </is>
      </c>
      <c r="AB158" s="31" t="n">
        <v>607.99</v>
      </c>
      <c r="AC158" s="42">
        <f>MIN(J158,L158,N158,P158,R158,T158,V158,X158,Z158,AB158)</f>
        <v/>
      </c>
      <c r="AD158" s="42">
        <f>MAX(J158,L158,N158,P158,R158,T158,V158,X158,Z158,AB158)</f>
        <v/>
      </c>
      <c r="AE158" s="42">
        <f>AVERAGE(J158,L158,N158,P158,R158,T158,V158,X158,Z158,AB158)</f>
        <v/>
      </c>
      <c r="AF158" s="0" t="n">
        <v>30</v>
      </c>
    </row>
    <row r="159" ht="15.75" customHeight="1" s="51">
      <c r="A159" s="30" t="n">
        <v>146</v>
      </c>
      <c r="B159" s="34" t="inlineStr">
        <is>
          <t>Astraeus</t>
        </is>
      </c>
      <c r="C159" s="30" t="inlineStr">
        <is>
          <t>Computer Hardware</t>
        </is>
      </c>
      <c r="D159" s="30" t="inlineStr">
        <is>
          <t>Astraeus Hardware; ASTRAEUS; Astraeos; Asstraeus</t>
        </is>
      </c>
      <c r="E159" s="30" t="inlineStr">
        <is>
          <t>2 year limited</t>
        </is>
      </c>
      <c r="F159" s="30" t="inlineStr">
        <is>
          <t>ISO 9001, ISO 14001, ISO/IEC 27001</t>
        </is>
      </c>
      <c r="G159" s="30" t="inlineStr">
        <is>
          <t>gaming, PC building, office, content creation</t>
        </is>
      </c>
      <c r="H159" s="30" t="inlineStr">
        <is>
          <t>Cooling, Docking Station, Keyboard, Memory, Monitor, Motherboard, PC Case, Power Supply, Processor, Storage</t>
        </is>
      </c>
      <c r="I159" s="30" t="inlineStr">
        <is>
          <t>Astraeus Rift Mechanical Keyboard</t>
        </is>
      </c>
      <c r="J159" s="31" t="n">
        <v>78.98999999999999</v>
      </c>
      <c r="K159" s="30" t="inlineStr">
        <is>
          <t>Astraeus Blaze Pro Mid-Tower PC Case</t>
        </is>
      </c>
      <c r="L159" s="31" t="n">
        <v>118.99</v>
      </c>
      <c r="M159" s="30" t="inlineStr">
        <is>
          <t>Astraeus Halo Pro 850W Power Supply</t>
        </is>
      </c>
      <c r="N159" s="31" t="n">
        <v>146.99</v>
      </c>
      <c r="O159" s="30" t="inlineStr">
        <is>
          <t>Astraeus Volt Pro 360mm AIO CPU Cooler</t>
        </is>
      </c>
      <c r="P159" s="31" t="n">
        <v>168.99</v>
      </c>
      <c r="Q159" s="30" t="inlineStr">
        <is>
          <t>Astraeus Pulse Air 32GB DDR5 RAM Kit</t>
        </is>
      </c>
      <c r="R159" s="31" t="n">
        <v>235.99</v>
      </c>
      <c r="S159" s="30" t="inlineStr">
        <is>
          <t>Astraeus Core Lite 2TB NVMe SSD</t>
        </is>
      </c>
      <c r="T159" s="31" t="n">
        <v>244.99</v>
      </c>
      <c r="U159" s="30" t="inlineStr">
        <is>
          <t>Astraeus Vibe USB-C Docking Station</t>
        </is>
      </c>
      <c r="V159" s="31" t="n">
        <v>260.99</v>
      </c>
      <c r="W159" s="30" t="inlineStr">
        <is>
          <t>Astraeus Spark Pro Desktop CPU</t>
        </is>
      </c>
      <c r="X159" s="31" t="n">
        <v>322.99</v>
      </c>
      <c r="Y159" s="30" t="inlineStr">
        <is>
          <t>Astraeus Apex Ultra ATX Motherboard</t>
        </is>
      </c>
      <c r="Z159" s="31" t="n">
        <v>494.99</v>
      </c>
      <c r="AA159" s="30" t="inlineStr">
        <is>
          <t>Astraeus Core Pro 27" 1440p Monitor</t>
        </is>
      </c>
      <c r="AB159" s="31" t="n">
        <v>644.99</v>
      </c>
      <c r="AC159" s="42">
        <f>MIN(J159,L159,N159,P159,R159,T159,V159,X159,Z159,AB159)</f>
        <v/>
      </c>
      <c r="AD159" s="42">
        <f>MAX(J159,L159,N159,P159,R159,T159,V159,X159,Z159,AB159)</f>
        <v/>
      </c>
      <c r="AE159" s="42">
        <f>AVERAGE(J159,L159,N159,P159,R159,T159,V159,X159,Z159,AB159)</f>
        <v/>
      </c>
      <c r="AF159" s="0" t="n">
        <v>60</v>
      </c>
    </row>
    <row r="160" ht="15.75" customHeight="1" s="51">
      <c r="A160" s="30" t="n">
        <v>147</v>
      </c>
      <c r="B160" s="34" t="inlineStr">
        <is>
          <t>Kratos</t>
        </is>
      </c>
      <c r="C160" s="30" t="inlineStr">
        <is>
          <t>Computer Hardware</t>
        </is>
      </c>
      <c r="D160" s="30" t="inlineStr">
        <is>
          <t>Kratos Hardware; KRATOS; Krattos; Krato</t>
        </is>
      </c>
      <c r="E160" s="30" t="inlineStr">
        <is>
          <t>2 year limited</t>
        </is>
      </c>
      <c r="F160" s="30" t="inlineStr">
        <is>
          <t>ISO 9001, ISO/IEC 27001, ISO 14001</t>
        </is>
      </c>
      <c r="G160" s="30" t="inlineStr">
        <is>
          <t>gaming, PC building, streaming, remote work</t>
        </is>
      </c>
      <c r="H160" s="30" t="inlineStr">
        <is>
          <t>Case Fans, Cooling, Docking Station, Mouse, Networking, Power Supply, Processor, Storage, Webcam</t>
        </is>
      </c>
      <c r="I160" s="30" t="inlineStr">
        <is>
          <t>Kratos Orbit Plus Gaming Mouse</t>
        </is>
      </c>
      <c r="J160" s="31" t="n">
        <v>26.99</v>
      </c>
      <c r="K160" s="30" t="inlineStr">
        <is>
          <t>Kratos Apex Pro Wi-Fi 7 PCIe Card</t>
        </is>
      </c>
      <c r="L160" s="31" t="n">
        <v>39.99</v>
      </c>
      <c r="M160" s="30" t="inlineStr">
        <is>
          <t>Kratos Lumen RGB Case Fan 3-Pack</t>
        </is>
      </c>
      <c r="N160" s="31" t="n">
        <v>76.98999999999999</v>
      </c>
      <c r="O160" s="30" t="inlineStr">
        <is>
          <t>Kratos Echo Air 360mm AIO CPU Cooler</t>
        </is>
      </c>
      <c r="P160" s="31" t="n">
        <v>120.99</v>
      </c>
      <c r="Q160" s="30" t="inlineStr">
        <is>
          <t>Kratos Strata Lite 4TB External Hard Drive</t>
        </is>
      </c>
      <c r="R160" s="31" t="n">
        <v>138.99</v>
      </c>
      <c r="S160" s="30" t="inlineStr">
        <is>
          <t>Kratos Flux Air 4K Webcam</t>
        </is>
      </c>
      <c r="T160" s="31" t="n">
        <v>165.99</v>
      </c>
      <c r="U160" s="30" t="inlineStr">
        <is>
          <t>Kratos Onyx X USB-C Docking Station</t>
        </is>
      </c>
      <c r="V160" s="31" t="n">
        <v>191.99</v>
      </c>
      <c r="W160" s="30" t="inlineStr">
        <is>
          <t>Kratos Spark Air 850W Power Supply</t>
        </is>
      </c>
      <c r="X160" s="31" t="n">
        <v>196.99</v>
      </c>
      <c r="Y160" s="30" t="inlineStr">
        <is>
          <t>Kratos Zen 2TB NVMe SSD</t>
        </is>
      </c>
      <c r="Z160" s="31" t="n">
        <v>215.99</v>
      </c>
      <c r="AA160" s="30" t="inlineStr">
        <is>
          <t>Kratos Core SE Desktop CPU</t>
        </is>
      </c>
      <c r="AB160" s="31" t="n">
        <v>651.99</v>
      </c>
      <c r="AC160" s="42">
        <f>MIN(J160,L160,N160,P160,R160,T160,V160,X160,Z160,AB160)</f>
        <v/>
      </c>
      <c r="AD160" s="42">
        <f>MAX(J160,L160,N160,P160,R160,T160,V160,X160,Z160,AB160)</f>
        <v/>
      </c>
      <c r="AE160" s="42">
        <f>AVERAGE(J160,L160,N160,P160,R160,T160,V160,X160,Z160,AB160)</f>
        <v/>
      </c>
      <c r="AF160" s="0" t="n">
        <v>60</v>
      </c>
    </row>
    <row r="161" ht="15.75" customHeight="1" s="51">
      <c r="A161" s="30" t="n">
        <v>148</v>
      </c>
      <c r="B161" s="34" t="inlineStr">
        <is>
          <t>Eris</t>
        </is>
      </c>
      <c r="C161" s="30" t="inlineStr">
        <is>
          <t>Computer Hardware</t>
        </is>
      </c>
      <c r="D161" s="30" t="inlineStr">
        <is>
          <t>Eris Hardware; ERIS; Eriis; Eriss</t>
        </is>
      </c>
      <c r="E161" s="30" t="inlineStr">
        <is>
          <t>2 year limited</t>
        </is>
      </c>
      <c r="F161" s="30" t="inlineStr">
        <is>
          <t>ISO 9001, RoHS Compliant, ISO/IEC 27001</t>
        </is>
      </c>
      <c r="G161" s="30" t="inlineStr">
        <is>
          <t>gaming, PC building, office, content creation</t>
        </is>
      </c>
      <c r="H161" s="30" t="inlineStr">
        <is>
          <t>Case Fans, Docking Station, Keyboard, Memory, Monitor, Motherboard, Mouse, Power Supply, Storage</t>
        </is>
      </c>
      <c r="I161" s="30" t="inlineStr">
        <is>
          <t>Eris Strata SE RGB Case Fan 3-Pack</t>
        </is>
      </c>
      <c r="J161" s="31" t="n">
        <v>83.98999999999999</v>
      </c>
      <c r="K161" s="30" t="inlineStr">
        <is>
          <t>Eris Aeon Lite Mechanical Keyboard</t>
        </is>
      </c>
      <c r="L161" s="31" t="n">
        <v>119.99</v>
      </c>
      <c r="M161" s="30" t="inlineStr">
        <is>
          <t>Eris Halo SE Gaming Mouse</t>
        </is>
      </c>
      <c r="N161" s="31" t="n">
        <v>126.99</v>
      </c>
      <c r="O161" s="30" t="inlineStr">
        <is>
          <t>Eris Aria 32GB DDR5 RAM Kit</t>
        </is>
      </c>
      <c r="P161" s="31" t="n">
        <v>136.99</v>
      </c>
      <c r="Q161" s="30" t="inlineStr">
        <is>
          <t>Eris Vibe X 4TB External Hard Drive</t>
        </is>
      </c>
      <c r="R161" s="31" t="n">
        <v>161.99</v>
      </c>
      <c r="S161" s="30" t="inlineStr">
        <is>
          <t>Eris Wave Ultra 850W Power Supply</t>
        </is>
      </c>
      <c r="T161" s="31" t="n">
        <v>181.99</v>
      </c>
      <c r="U161" s="30" t="inlineStr">
        <is>
          <t>Eris Sable Pro USB-C Docking Station</t>
        </is>
      </c>
      <c r="V161" s="31" t="n">
        <v>216.99</v>
      </c>
      <c r="W161" s="30" t="inlineStr">
        <is>
          <t>Eris Onyx Plus 2TB NVMe SSD</t>
        </is>
      </c>
      <c r="X161" s="31" t="n">
        <v>277.99</v>
      </c>
      <c r="Y161" s="30" t="inlineStr">
        <is>
          <t>Eris Strata SE ATX Motherboard</t>
        </is>
      </c>
      <c r="Z161" s="31" t="n">
        <v>334.99</v>
      </c>
      <c r="AA161" s="30" t="inlineStr">
        <is>
          <t>Eris Crest Plus 27" 1440p Monitor</t>
        </is>
      </c>
      <c r="AB161" s="31" t="n">
        <v>688.99</v>
      </c>
      <c r="AC161" s="42">
        <f>MIN(J161,L161,N161,P161,R161,T161,V161,X161,Z161,AB161)</f>
        <v/>
      </c>
      <c r="AD161" s="42">
        <f>MAX(J161,L161,N161,P161,R161,T161,V161,X161,Z161,AB161)</f>
        <v/>
      </c>
      <c r="AE161" s="42">
        <f>AVERAGE(J161,L161,N161,P161,R161,T161,V161,X161,Z161,AB161)</f>
        <v/>
      </c>
      <c r="AF161" s="0" t="n">
        <v>30</v>
      </c>
    </row>
    <row r="162" ht="15.75" customHeight="1" s="51">
      <c r="A162" s="30" t="n">
        <v>149</v>
      </c>
      <c r="B162" s="34" t="inlineStr">
        <is>
          <t>Eileithyia</t>
        </is>
      </c>
      <c r="C162" s="30" t="inlineStr">
        <is>
          <t>Computer Hardware</t>
        </is>
      </c>
      <c r="D162" s="30" t="inlineStr">
        <is>
          <t>Eileithyia Hardware; EILEITHYIA; Eileithyi; Eiletihyia</t>
        </is>
      </c>
      <c r="E162" s="30" t="inlineStr">
        <is>
          <t>2 year limited</t>
        </is>
      </c>
      <c r="F162" s="30" t="inlineStr">
        <is>
          <t>ISO 9001, ISO 45001, WEEE Registered</t>
        </is>
      </c>
      <c r="G162" s="30" t="inlineStr">
        <is>
          <t>gaming, PC building, streaming, remote work</t>
        </is>
      </c>
      <c r="H162" s="30" t="inlineStr">
        <is>
          <t>Case Fans, Cooling, Docking Station, Graphics Card, Memory, Motherboard, Networking, PC Case, Storage, Webcam</t>
        </is>
      </c>
      <c r="I162" s="30" t="inlineStr">
        <is>
          <t>Eileithyia Nimbus 4K Webcam</t>
        </is>
      </c>
      <c r="J162" s="31" t="n">
        <v>60.99</v>
      </c>
      <c r="K162" s="30" t="inlineStr">
        <is>
          <t>Eileithyia Titan X Wi-Fi 7 PCIe Card</t>
        </is>
      </c>
      <c r="L162" s="31" t="n">
        <v>70.98999999999999</v>
      </c>
      <c r="M162" s="30" t="inlineStr">
        <is>
          <t>Eileithyia Blaze Plus RGB Case Fan 3-Pack</t>
        </is>
      </c>
      <c r="N162" s="31" t="n">
        <v>85.98999999999999</v>
      </c>
      <c r="O162" s="30" t="inlineStr">
        <is>
          <t>Eileithyia Quanta Air Mid-Tower PC Case</t>
        </is>
      </c>
      <c r="P162" s="31" t="n">
        <v>92.98999999999999</v>
      </c>
      <c r="Q162" s="30" t="inlineStr">
        <is>
          <t>Eileithyia Volt Plus 32GB DDR5 RAM Kit</t>
        </is>
      </c>
      <c r="R162" s="31" t="n">
        <v>144.99</v>
      </c>
      <c r="S162" s="30" t="inlineStr">
        <is>
          <t>Eileithyia Spark Max 4TB External Hard Drive</t>
        </is>
      </c>
      <c r="T162" s="31" t="n">
        <v>188.99</v>
      </c>
      <c r="U162" s="30" t="inlineStr">
        <is>
          <t>Eileithyia Wave 360mm AIO CPU Cooler</t>
        </is>
      </c>
      <c r="V162" s="31" t="n">
        <v>264.99</v>
      </c>
      <c r="W162" s="30" t="inlineStr">
        <is>
          <t>Eileithyia Aria USB-C Docking Station</t>
        </is>
      </c>
      <c r="X162" s="31" t="n">
        <v>321.99</v>
      </c>
      <c r="Y162" s="30" t="inlineStr">
        <is>
          <t>Eileithyia Blaze Plus ATX Motherboard</t>
        </is>
      </c>
      <c r="Z162" s="31" t="n">
        <v>421.99</v>
      </c>
      <c r="AA162" s="30" t="inlineStr">
        <is>
          <t>Eileithyia Aria Max Graphics Card</t>
        </is>
      </c>
      <c r="AB162" s="31" t="n">
        <v>689.99</v>
      </c>
      <c r="AC162" s="42">
        <f>MIN(J162,L162,N162,P162,R162,T162,V162,X162,Z162,AB162)</f>
        <v/>
      </c>
      <c r="AD162" s="42">
        <f>MAX(J162,L162,N162,P162,R162,T162,V162,X162,Z162,AB162)</f>
        <v/>
      </c>
      <c r="AE162" s="42">
        <f>AVERAGE(J162,L162,N162,P162,R162,T162,V162,X162,Z162,AB162)</f>
        <v/>
      </c>
      <c r="AF162" s="0" t="n">
        <v>60</v>
      </c>
    </row>
    <row r="163" ht="15.75" customHeight="1" s="51">
      <c r="A163" s="30" t="n">
        <v>150</v>
      </c>
      <c r="B163" s="34" t="inlineStr">
        <is>
          <t>Artemis</t>
        </is>
      </c>
      <c r="C163" s="30" t="inlineStr">
        <is>
          <t>Computer Hardware</t>
        </is>
      </c>
      <c r="D163" s="30" t="inlineStr">
        <is>
          <t>Artemis Hardware; ARTEMIS; Arteemis; Aretmis</t>
        </is>
      </c>
      <c r="E163" s="30" t="inlineStr">
        <is>
          <t>2 year limited</t>
        </is>
      </c>
      <c r="F163" s="30" t="inlineStr">
        <is>
          <t>ISO 9001, RoHS Compliant, ISO/IEC 27001</t>
        </is>
      </c>
      <c r="G163" s="30" t="inlineStr">
        <is>
          <t>gaming, PC building, workstation builds, multitasking</t>
        </is>
      </c>
      <c r="H163" s="30" t="inlineStr">
        <is>
          <t>Graphics Card, Keyboard, Memory, Motherboard, Mouse, PC Case, Power Supply, Processor, Storage, Webcam</t>
        </is>
      </c>
      <c r="I163" s="30" t="inlineStr">
        <is>
          <t>Artemis Wave Plus 32GB DDR5 RAM Kit</t>
        </is>
      </c>
      <c r="J163" s="31" t="n">
        <v>98.98999999999999</v>
      </c>
      <c r="K163" s="30" t="inlineStr">
        <is>
          <t>Artemis Volt Plus Mechanical Keyboard</t>
        </is>
      </c>
      <c r="L163" s="31" t="n">
        <v>120.99</v>
      </c>
      <c r="M163" s="30" t="inlineStr">
        <is>
          <t>Artemis Strata Gaming Mouse</t>
        </is>
      </c>
      <c r="N163" s="31" t="n">
        <v>121.99</v>
      </c>
      <c r="O163" s="30" t="inlineStr">
        <is>
          <t>Artemis Aeon Lite Mid-Tower PC Case</t>
        </is>
      </c>
      <c r="P163" s="31" t="n">
        <v>131.99</v>
      </c>
      <c r="Q163" s="30" t="inlineStr">
        <is>
          <t>Artemis Drift X 4K Webcam</t>
        </is>
      </c>
      <c r="R163" s="31" t="n">
        <v>155.99</v>
      </c>
      <c r="S163" s="30" t="inlineStr">
        <is>
          <t>Artemis Prism Max 4TB External Hard Drive</t>
        </is>
      </c>
      <c r="T163" s="31" t="n">
        <v>171.99</v>
      </c>
      <c r="U163" s="30" t="inlineStr">
        <is>
          <t>Artemis Spark Ultra 850W Power Supply</t>
        </is>
      </c>
      <c r="V163" s="31" t="n">
        <v>218.99</v>
      </c>
      <c r="W163" s="30" t="inlineStr">
        <is>
          <t>Artemis Zen Plus ATX Motherboard</t>
        </is>
      </c>
      <c r="X163" s="31" t="n">
        <v>264.99</v>
      </c>
      <c r="Y163" s="30" t="inlineStr">
        <is>
          <t>Artemis Drift Plus Desktop CPU</t>
        </is>
      </c>
      <c r="Z163" s="31" t="n">
        <v>299.99</v>
      </c>
      <c r="AA163" s="30" t="inlineStr">
        <is>
          <t>Artemis Nimbus X Graphics Card</t>
        </is>
      </c>
      <c r="AB163" s="31" t="n">
        <v>408.99</v>
      </c>
      <c r="AC163" s="42">
        <f>MIN(J163,L163,N163,P163,R163,T163,V163,X163,Z163,AB163)</f>
        <v/>
      </c>
      <c r="AD163" s="42">
        <f>MAX(J163,L163,N163,P163,R163,T163,V163,X163,Z163,AB163)</f>
        <v/>
      </c>
      <c r="AE163" s="42">
        <f>AVERAGE(J163,L163,N163,P163,R163,T163,V163,X163,Z163,AB163)</f>
        <v/>
      </c>
      <c r="AF163" s="0" t="n">
        <v>30</v>
      </c>
    </row>
    <row r="164" ht="15.75" customHeight="1" s="51"/>
    <row r="165" ht="15.75" customHeight="1" s="51"/>
    <row r="166" ht="15.75" customHeight="1" s="51"/>
    <row r="167" ht="15.75" customHeight="1" s="51"/>
    <row r="168" ht="15.75" customHeight="1" s="51"/>
    <row r="169" ht="15.75" customHeight="1" s="51"/>
    <row r="170" ht="15.75" customHeight="1" s="51"/>
    <row r="171" ht="15.75" customHeight="1" s="51"/>
    <row r="172" ht="15.75" customHeight="1" s="51"/>
    <row r="173" ht="15.75" customHeight="1" s="51"/>
    <row r="174" ht="15.75" customHeight="1" s="51"/>
    <row r="175" ht="15.75" customHeight="1" s="51"/>
    <row r="176" ht="15.75" customHeight="1" s="51"/>
    <row r="177" ht="15.75" customHeight="1" s="51"/>
    <row r="178" ht="15.75" customHeight="1" s="51"/>
    <row r="179" ht="15.75" customHeight="1" s="51"/>
    <row r="180" ht="15.75" customHeight="1" s="51"/>
    <row r="181" ht="15.75" customHeight="1" s="51"/>
    <row r="182" ht="15.75" customHeight="1" s="51"/>
    <row r="183" ht="15.75" customHeight="1" s="51"/>
    <row r="184" ht="15.75" customHeight="1" s="51"/>
    <row r="185" ht="15.75" customHeight="1" s="51"/>
    <row r="186" ht="15.75" customHeight="1" s="51"/>
    <row r="187" ht="15.75" customHeight="1" s="51"/>
    <row r="188" ht="15.75" customHeight="1" s="51"/>
    <row r="189" ht="15.75" customHeight="1" s="51"/>
    <row r="190" ht="15.75" customHeight="1" s="51"/>
    <row r="191" ht="15.75" customHeight="1" s="51"/>
    <row r="192" ht="15.75" customHeight="1" s="51"/>
    <row r="193" ht="15.75" customHeight="1" s="51"/>
    <row r="194" ht="15.75" customHeight="1" s="51"/>
    <row r="195" ht="15.75" customHeight="1" s="51"/>
    <row r="196" ht="15.75" customHeight="1" s="51"/>
    <row r="197" ht="15.75" customHeight="1" s="51"/>
    <row r="198" ht="15.75" customHeight="1" s="51"/>
    <row r="199" ht="15.75" customHeight="1" s="51"/>
    <row r="200" ht="15.75" customHeight="1" s="51"/>
    <row r="201" ht="15.75" customHeight="1" s="51"/>
    <row r="202" ht="15.75" customHeight="1" s="51"/>
    <row r="203" ht="15.75" customHeight="1" s="51"/>
    <row r="204" ht="15.75" customHeight="1" s="51"/>
    <row r="205" ht="15.75" customHeight="1" s="51"/>
    <row r="206" ht="15.75" customHeight="1" s="51"/>
    <row r="207" ht="15.75" customHeight="1" s="51"/>
    <row r="208" ht="15.75" customHeight="1" s="51"/>
    <row r="209" ht="15.75" customHeight="1" s="51"/>
    <row r="210" ht="15.75" customHeight="1" s="51"/>
    <row r="211" ht="15.75" customHeight="1" s="51"/>
    <row r="212" ht="15.75" customHeight="1" s="51"/>
    <row r="213" ht="15.75" customHeight="1" s="51"/>
    <row r="214" ht="15.75" customHeight="1" s="51"/>
    <row r="215" ht="15.75" customHeight="1" s="51"/>
    <row r="216" ht="15.75" customHeight="1" s="51"/>
    <row r="217" ht="15.75" customHeight="1" s="51"/>
    <row r="218" ht="15.75" customHeight="1" s="51"/>
    <row r="219" ht="15.75" customHeight="1" s="51"/>
    <row r="220" ht="15.75" customHeight="1" s="51"/>
    <row r="221" ht="15.75" customHeight="1" s="51"/>
    <row r="222" ht="15.75" customHeight="1" s="51"/>
    <row r="223" ht="15.75" customHeight="1" s="51"/>
    <row r="224" ht="15.75" customHeight="1" s="51"/>
    <row r="225" ht="15.75" customHeight="1" s="51"/>
    <row r="226" ht="15.75" customHeight="1" s="51"/>
    <row r="227" ht="15.75" customHeight="1" s="51"/>
    <row r="228" ht="15.75" customHeight="1" s="51"/>
    <row r="229" ht="15.75" customHeight="1" s="51"/>
    <row r="230" ht="15.75" customHeight="1" s="51"/>
    <row r="231" ht="15.75" customHeight="1" s="51"/>
    <row r="232" ht="15.75" customHeight="1" s="51"/>
    <row r="233" ht="15.75" customHeight="1" s="51"/>
    <row r="234" ht="15.75" customHeight="1" s="51"/>
    <row r="235" ht="15.75" customHeight="1" s="51"/>
    <row r="236" ht="15.75" customHeight="1" s="51"/>
    <row r="237" ht="15.75" customHeight="1" s="51"/>
    <row r="238" ht="15.75" customHeight="1" s="51"/>
    <row r="239" ht="15.75" customHeight="1" s="51"/>
    <row r="240" ht="15.75" customHeight="1" s="51"/>
    <row r="241" ht="15.75" customHeight="1" s="51"/>
    <row r="242" ht="15.75" customHeight="1" s="51"/>
    <row r="243" ht="15.75" customHeight="1" s="51"/>
    <row r="244" ht="15.75" customHeight="1" s="51"/>
    <row r="245" ht="15.75" customHeight="1" s="51"/>
    <row r="246" ht="15.75" customHeight="1" s="51"/>
    <row r="247" ht="15.75" customHeight="1" s="51"/>
    <row r="248" ht="15.75" customHeight="1" s="51"/>
    <row r="249" ht="15.75" customHeight="1" s="51"/>
    <row r="250" ht="15.75" customHeight="1" s="51"/>
    <row r="251" ht="15.75" customHeight="1" s="51"/>
    <row r="252" ht="15.75" customHeight="1" s="51"/>
    <row r="253" ht="15.75" customHeight="1" s="51"/>
    <row r="254" ht="15.75" customHeight="1" s="51"/>
    <row r="255" ht="15.75" customHeight="1" s="51"/>
    <row r="256" ht="15.75" customHeight="1" s="51"/>
    <row r="257" ht="15.75" customHeight="1" s="51"/>
    <row r="258" ht="15.75" customHeight="1" s="51"/>
    <row r="259" ht="15.75" customHeight="1" s="51"/>
    <row r="260" ht="15.75" customHeight="1" s="51"/>
    <row r="261" ht="15.75" customHeight="1" s="51"/>
    <row r="262" ht="15.75" customHeight="1" s="51"/>
    <row r="263" ht="15.75" customHeight="1" s="51"/>
    <row r="264" ht="15.75" customHeight="1" s="51"/>
    <row r="265" ht="15.75" customHeight="1" s="51"/>
    <row r="266" ht="15.75" customHeight="1" s="51"/>
    <row r="267" ht="15.75" customHeight="1" s="51"/>
    <row r="268" ht="15.75" customHeight="1" s="51"/>
    <row r="269" ht="15.75" customHeight="1" s="51"/>
    <row r="270" ht="15.75" customHeight="1" s="51"/>
    <row r="271" ht="15.75" customHeight="1" s="51"/>
    <row r="272" ht="15.75" customHeight="1" s="51"/>
    <row r="273" ht="15.75" customHeight="1" s="51"/>
    <row r="274" ht="15.75" customHeight="1" s="51"/>
    <row r="275" ht="15.75" customHeight="1" s="51"/>
    <row r="276" ht="15.75" customHeight="1" s="51"/>
    <row r="277" ht="15.75" customHeight="1" s="51"/>
    <row r="278" ht="15.75" customHeight="1" s="51"/>
    <row r="279" ht="15.75" customHeight="1" s="51"/>
    <row r="280" ht="15.75" customHeight="1" s="51"/>
    <row r="281" ht="15.75" customHeight="1" s="51"/>
    <row r="282" ht="15.75" customHeight="1" s="51"/>
    <row r="283" ht="15.75" customHeight="1" s="51"/>
    <row r="284" ht="15.75" customHeight="1" s="51"/>
    <row r="285" ht="15.75" customHeight="1" s="51"/>
    <row r="286" ht="15.75" customHeight="1" s="51"/>
    <row r="287" ht="15.75" customHeight="1" s="51"/>
    <row r="288" ht="15.75" customHeight="1" s="51"/>
    <row r="289" ht="15.75" customHeight="1" s="51"/>
    <row r="290" ht="15.75" customHeight="1" s="51"/>
    <row r="291" ht="15.75" customHeight="1" s="51"/>
    <row r="292" ht="15.75" customHeight="1" s="51"/>
    <row r="293" ht="15.75" customHeight="1" s="51"/>
    <row r="294" ht="15.75" customHeight="1" s="51"/>
    <row r="295" ht="15.75" customHeight="1" s="51"/>
    <row r="296" ht="15.75" customHeight="1" s="51"/>
    <row r="297" ht="15.75" customHeight="1" s="51"/>
    <row r="298" ht="15.75" customHeight="1" s="51"/>
    <row r="299" ht="15.75" customHeight="1" s="51"/>
    <row r="300" ht="15.75" customHeight="1" s="51"/>
    <row r="301" ht="15.75" customHeight="1" s="51"/>
    <row r="302" ht="15.75" customHeight="1" s="51"/>
    <row r="303" ht="15.75" customHeight="1" s="51"/>
    <row r="304" ht="15.75" customHeight="1" s="51"/>
    <row r="305" ht="15.75" customHeight="1" s="51"/>
    <row r="306" ht="15.75" customHeight="1" s="51"/>
    <row r="307" ht="15.75" customHeight="1" s="51"/>
    <row r="308" ht="15.75" customHeight="1" s="51"/>
    <row r="309" ht="15.75" customHeight="1" s="51"/>
    <row r="310" ht="15.75" customHeight="1" s="51"/>
    <row r="311" ht="15.75" customHeight="1" s="51"/>
    <row r="312" ht="15.75" customHeight="1" s="51"/>
    <row r="313" ht="15.75" customHeight="1" s="51"/>
    <row r="314" ht="15.75" customHeight="1" s="51"/>
    <row r="315" ht="15.75" customHeight="1" s="51"/>
    <row r="316" ht="15.75" customHeight="1" s="51"/>
    <row r="317" ht="15.75" customHeight="1" s="51"/>
    <row r="318" ht="15.75" customHeight="1" s="51"/>
    <row r="319" ht="15.75" customHeight="1" s="51"/>
    <row r="320" ht="15.75" customHeight="1" s="51"/>
    <row r="321" ht="15.75" customHeight="1" s="51"/>
    <row r="322" ht="15.75" customHeight="1" s="51"/>
    <row r="323" ht="15.75" customHeight="1" s="51"/>
    <row r="324" ht="15.75" customHeight="1" s="51"/>
    <row r="325" ht="15.75" customHeight="1" s="51"/>
    <row r="326" ht="15.75" customHeight="1" s="51"/>
    <row r="327" ht="15.75" customHeight="1" s="51"/>
    <row r="328" ht="15.75" customHeight="1" s="51"/>
    <row r="329" ht="15.75" customHeight="1" s="51"/>
    <row r="330" ht="15.75" customHeight="1" s="51"/>
    <row r="331" ht="15.75" customHeight="1" s="51"/>
    <row r="332" ht="15.75" customHeight="1" s="51"/>
    <row r="333" ht="15.75" customHeight="1" s="51"/>
    <row r="334" ht="15.75" customHeight="1" s="51"/>
    <row r="335" ht="15.75" customHeight="1" s="51"/>
    <row r="336" ht="15.75" customHeight="1" s="51"/>
    <row r="337" ht="15.75" customHeight="1" s="51"/>
    <row r="338" ht="15.75" customHeight="1" s="51"/>
    <row r="339" ht="15.75" customHeight="1" s="51"/>
    <row r="340" ht="15.75" customHeight="1" s="51"/>
    <row r="341" ht="15.75" customHeight="1" s="51"/>
    <row r="342" ht="15.75" customHeight="1" s="51"/>
    <row r="343" ht="15.75" customHeight="1" s="51"/>
    <row r="344" ht="15.75" customHeight="1" s="51"/>
    <row r="345" ht="15.75" customHeight="1" s="51"/>
    <row r="346" ht="15.75" customHeight="1" s="51"/>
    <row r="347" ht="15.75" customHeight="1" s="51"/>
    <row r="348" ht="15.75" customHeight="1" s="51"/>
    <row r="349" ht="15.75" customHeight="1" s="51"/>
    <row r="350" ht="15.75" customHeight="1" s="51"/>
    <row r="351" ht="15.75" customHeight="1" s="51"/>
    <row r="352" ht="15.75" customHeight="1" s="51"/>
    <row r="353" ht="15.75" customHeight="1" s="51"/>
    <row r="354" ht="15.75" customHeight="1" s="51"/>
    <row r="355" ht="15.75" customHeight="1" s="51"/>
    <row r="356" ht="15.75" customHeight="1" s="51"/>
    <row r="357" ht="15.75" customHeight="1" s="51"/>
    <row r="358" ht="15.75" customHeight="1" s="51"/>
    <row r="359" ht="15.75" customHeight="1" s="51"/>
    <row r="360" ht="15.75" customHeight="1" s="51"/>
    <row r="361" ht="15.75" customHeight="1" s="51"/>
    <row r="362" ht="15.75" customHeight="1" s="51"/>
    <row r="363" ht="15.75" customHeight="1" s="51"/>
    <row r="364" ht="15.75" customHeight="1" s="51"/>
    <row r="365" ht="15.75" customHeight="1" s="51"/>
    <row r="366" ht="15.75" customHeight="1" s="51"/>
    <row r="367" ht="15.75" customHeight="1" s="51"/>
    <row r="368" ht="15.75" customHeight="1" s="51"/>
    <row r="369" ht="15.75" customHeight="1" s="51"/>
    <row r="370" ht="15.75" customHeight="1" s="51"/>
    <row r="371" ht="15.75" customHeight="1" s="51"/>
    <row r="372" ht="15.75" customHeight="1" s="51"/>
    <row r="373" ht="15.75" customHeight="1" s="51"/>
    <row r="374" ht="15.75" customHeight="1" s="51"/>
    <row r="375" ht="15.75" customHeight="1" s="51"/>
    <row r="376" ht="15.75" customHeight="1" s="51"/>
    <row r="377" ht="15.75" customHeight="1" s="51"/>
    <row r="378" ht="15.75" customHeight="1" s="51"/>
    <row r="379" ht="15.75" customHeight="1" s="51"/>
    <row r="380" ht="15.75" customHeight="1" s="51"/>
    <row r="381" ht="15.75" customHeight="1" s="51"/>
    <row r="382" ht="15.75" customHeight="1" s="51"/>
    <row r="383" ht="15.75" customHeight="1" s="51"/>
    <row r="384" ht="15.75" customHeight="1" s="51"/>
    <row r="385" ht="15.75" customHeight="1" s="51"/>
    <row r="386" ht="15.75" customHeight="1" s="51"/>
    <row r="387" ht="15.75" customHeight="1" s="51"/>
    <row r="388" ht="15.75" customHeight="1" s="51"/>
    <row r="389" ht="15.75" customHeight="1" s="51"/>
    <row r="390" ht="15.75" customHeight="1" s="51"/>
    <row r="391" ht="15.75" customHeight="1" s="51"/>
    <row r="392" ht="15.75" customHeight="1" s="51"/>
    <row r="393" ht="15.75" customHeight="1" s="51"/>
    <row r="394" ht="15.75" customHeight="1" s="51"/>
    <row r="395" ht="15.75" customHeight="1" s="51"/>
    <row r="396" ht="15.75" customHeight="1" s="51"/>
    <row r="397" ht="15.75" customHeight="1" s="51"/>
    <row r="398" ht="15.75" customHeight="1" s="51"/>
    <row r="399" ht="15.75" customHeight="1" s="51"/>
    <row r="400" ht="15.75" customHeight="1" s="51"/>
    <row r="401" ht="15.75" customHeight="1" s="51"/>
    <row r="402" ht="15.75" customHeight="1" s="51"/>
    <row r="403" ht="15.75" customHeight="1" s="51"/>
    <row r="404" ht="15.75" customHeight="1" s="51"/>
    <row r="405" ht="15.75" customHeight="1" s="51"/>
    <row r="406" ht="15.75" customHeight="1" s="51"/>
    <row r="407" ht="15.75" customHeight="1" s="51"/>
    <row r="408" ht="15.75" customHeight="1" s="51"/>
    <row r="409" ht="15.75" customHeight="1" s="51"/>
    <row r="410" ht="15.75" customHeight="1" s="51"/>
    <row r="411" ht="15.75" customHeight="1" s="51"/>
    <row r="412" ht="15.75" customHeight="1" s="51"/>
    <row r="413" ht="15.75" customHeight="1" s="51"/>
    <row r="414" ht="15.75" customHeight="1" s="51"/>
    <row r="415" ht="15.75" customHeight="1" s="51"/>
    <row r="416" ht="15.75" customHeight="1" s="51"/>
    <row r="417" ht="15.75" customHeight="1" s="51"/>
    <row r="418" ht="15.75" customHeight="1" s="51"/>
    <row r="419" ht="15.75" customHeight="1" s="51"/>
    <row r="420" ht="15.75" customHeight="1" s="51"/>
    <row r="421" ht="15.75" customHeight="1" s="51"/>
    <row r="422" ht="15.75" customHeight="1" s="51"/>
    <row r="423" ht="15.75" customHeight="1" s="51"/>
    <row r="424" ht="15.75" customHeight="1" s="51"/>
    <row r="425" ht="15.75" customHeight="1" s="51"/>
    <row r="426" ht="15.75" customHeight="1" s="51"/>
    <row r="427" ht="15.75" customHeight="1" s="51"/>
    <row r="428" ht="15.75" customHeight="1" s="51"/>
    <row r="429" ht="15.75" customHeight="1" s="51"/>
    <row r="430" ht="15.75" customHeight="1" s="51"/>
    <row r="431" ht="15.75" customHeight="1" s="51"/>
    <row r="432" ht="15.75" customHeight="1" s="51"/>
    <row r="433" ht="15.75" customHeight="1" s="51"/>
    <row r="434" ht="15.75" customHeight="1" s="51"/>
    <row r="435" ht="15.75" customHeight="1" s="51"/>
    <row r="436" ht="15.75" customHeight="1" s="51"/>
    <row r="437" ht="15.75" customHeight="1" s="51"/>
    <row r="438" ht="15.75" customHeight="1" s="51"/>
    <row r="439" ht="15.75" customHeight="1" s="51"/>
    <row r="440" ht="15.75" customHeight="1" s="51"/>
    <row r="441" ht="15.75" customHeight="1" s="51"/>
    <row r="442" ht="15.75" customHeight="1" s="51"/>
    <row r="443" ht="15.75" customHeight="1" s="51"/>
    <row r="444" ht="15.75" customHeight="1" s="51"/>
    <row r="445" ht="15.75" customHeight="1" s="51"/>
    <row r="446" ht="15.75" customHeight="1" s="51"/>
    <row r="447" ht="15.75" customHeight="1" s="51"/>
    <row r="448" ht="15.75" customHeight="1" s="51"/>
    <row r="449" ht="15.75" customHeight="1" s="51"/>
    <row r="450" ht="15.75" customHeight="1" s="51"/>
    <row r="451" ht="15.75" customHeight="1" s="51"/>
    <row r="452" ht="15.75" customHeight="1" s="51"/>
    <row r="453" ht="15.75" customHeight="1" s="51"/>
    <row r="454" ht="15.75" customHeight="1" s="51"/>
    <row r="455" ht="15.75" customHeight="1" s="51"/>
    <row r="456" ht="15.75" customHeight="1" s="51"/>
    <row r="457" ht="15.75" customHeight="1" s="51"/>
    <row r="458" ht="15.75" customHeight="1" s="51"/>
    <row r="459" ht="15.75" customHeight="1" s="51"/>
    <row r="460" ht="15.75" customHeight="1" s="51"/>
    <row r="461" ht="15.75" customHeight="1" s="51"/>
    <row r="462" ht="15.75" customHeight="1" s="51"/>
    <row r="463" ht="15.75" customHeight="1" s="51"/>
    <row r="464" ht="15.75" customHeight="1" s="51"/>
    <row r="465" ht="15.75" customHeight="1" s="51"/>
    <row r="466" ht="15.75" customHeight="1" s="51"/>
    <row r="467" ht="15.75" customHeight="1" s="51"/>
    <row r="468" ht="15.75" customHeight="1" s="51"/>
    <row r="469" ht="15.75" customHeight="1" s="51"/>
    <row r="470" ht="15.75" customHeight="1" s="51"/>
    <row r="471" ht="15.75" customHeight="1" s="51"/>
    <row r="472" ht="15.75" customHeight="1" s="51"/>
    <row r="473" ht="15.75" customHeight="1" s="51"/>
    <row r="474" ht="15.75" customHeight="1" s="51"/>
    <row r="475" ht="15.75" customHeight="1" s="51"/>
    <row r="476" ht="15.75" customHeight="1" s="51"/>
    <row r="477" ht="15.75" customHeight="1" s="51"/>
    <row r="478" ht="15.75" customHeight="1" s="51"/>
    <row r="479" ht="15.75" customHeight="1" s="51"/>
    <row r="480" ht="15.75" customHeight="1" s="51"/>
    <row r="481" ht="15.75" customHeight="1" s="51"/>
    <row r="482" ht="15.75" customHeight="1" s="51"/>
    <row r="483" ht="15.75" customHeight="1" s="51"/>
    <row r="484" ht="15.75" customHeight="1" s="51"/>
    <row r="485" ht="15.75" customHeight="1" s="51"/>
    <row r="486" ht="15.75" customHeight="1" s="51"/>
    <row r="487" ht="15.75" customHeight="1" s="51"/>
    <row r="488" ht="15.75" customHeight="1" s="51"/>
    <row r="489" ht="15.75" customHeight="1" s="51"/>
    <row r="490" ht="15.75" customHeight="1" s="51"/>
    <row r="491" ht="15.75" customHeight="1" s="51"/>
    <row r="492" ht="15.75" customHeight="1" s="51"/>
    <row r="493" ht="15.75" customHeight="1" s="51"/>
    <row r="494" ht="15.75" customHeight="1" s="51"/>
    <row r="495" ht="15.75" customHeight="1" s="51"/>
    <row r="496" ht="15.75" customHeight="1" s="51"/>
    <row r="497" ht="15.75" customHeight="1" s="51"/>
    <row r="498" ht="15.75" customHeight="1" s="51"/>
    <row r="499" ht="15.75" customHeight="1" s="51"/>
    <row r="500" ht="15.75" customHeight="1" s="51"/>
    <row r="501" ht="15.75" customHeight="1" s="51"/>
    <row r="502" ht="15.75" customHeight="1" s="51"/>
    <row r="503" ht="15.75" customHeight="1" s="51"/>
    <row r="504" ht="15.75" customHeight="1" s="51"/>
    <row r="505" ht="15.75" customHeight="1" s="51"/>
    <row r="506" ht="15.75" customHeight="1" s="51"/>
    <row r="507" ht="15.75" customHeight="1" s="51"/>
    <row r="508" ht="15.75" customHeight="1" s="51"/>
    <row r="509" ht="15.75" customHeight="1" s="51"/>
    <row r="510" ht="15.75" customHeight="1" s="51"/>
    <row r="511" ht="15.75" customHeight="1" s="51"/>
    <row r="512" ht="15.75" customHeight="1" s="51"/>
    <row r="513" ht="15.75" customHeight="1" s="51"/>
    <row r="514" ht="15.75" customHeight="1" s="51"/>
    <row r="515" ht="15.75" customHeight="1" s="51"/>
    <row r="516" ht="15.75" customHeight="1" s="51"/>
    <row r="517" ht="15.75" customHeight="1" s="51"/>
    <row r="518" ht="15.75" customHeight="1" s="51"/>
    <row r="519" ht="15.75" customHeight="1" s="51"/>
    <row r="520" ht="15.75" customHeight="1" s="51"/>
    <row r="521" ht="15.75" customHeight="1" s="51"/>
    <row r="522" ht="15.75" customHeight="1" s="51"/>
    <row r="523" ht="15.75" customHeight="1" s="51"/>
    <row r="524" ht="15.75" customHeight="1" s="51"/>
    <row r="525" ht="15.75" customHeight="1" s="51"/>
    <row r="526" ht="15.75" customHeight="1" s="51"/>
    <row r="527" ht="15.75" customHeight="1" s="51"/>
    <row r="528" ht="15.75" customHeight="1" s="51"/>
    <row r="529" ht="15.75" customHeight="1" s="51"/>
    <row r="530" ht="15.75" customHeight="1" s="51"/>
    <row r="531" ht="15.75" customHeight="1" s="51"/>
    <row r="532" ht="15.75" customHeight="1" s="51"/>
    <row r="533" ht="15.75" customHeight="1" s="51"/>
    <row r="534" ht="15.75" customHeight="1" s="51"/>
    <row r="535" ht="15.75" customHeight="1" s="51"/>
    <row r="536" ht="15.75" customHeight="1" s="51"/>
    <row r="537" ht="15.75" customHeight="1" s="51"/>
    <row r="538" ht="15.75" customHeight="1" s="51"/>
    <row r="539" ht="15.75" customHeight="1" s="51"/>
    <row r="540" ht="15.75" customHeight="1" s="51"/>
    <row r="541" ht="15.75" customHeight="1" s="51"/>
    <row r="542" ht="15.75" customHeight="1" s="51"/>
    <row r="543" ht="15.75" customHeight="1" s="51"/>
    <row r="544" ht="15.75" customHeight="1" s="51"/>
    <row r="545" ht="15.75" customHeight="1" s="51"/>
    <row r="546" ht="15.75" customHeight="1" s="51"/>
    <row r="547" ht="15.75" customHeight="1" s="51"/>
    <row r="548" ht="15.75" customHeight="1" s="51"/>
    <row r="549" ht="15.75" customHeight="1" s="51"/>
    <row r="550" ht="15.75" customHeight="1" s="51"/>
    <row r="551" ht="15.75" customHeight="1" s="51"/>
    <row r="552" ht="15.75" customHeight="1" s="51"/>
    <row r="553" ht="15.75" customHeight="1" s="51"/>
    <row r="554" ht="15.75" customHeight="1" s="51"/>
    <row r="555" ht="15.75" customHeight="1" s="51"/>
    <row r="556" ht="15.75" customHeight="1" s="51"/>
    <row r="557" ht="15.75" customHeight="1" s="51"/>
    <row r="558" ht="15.75" customHeight="1" s="51"/>
    <row r="559" ht="15.75" customHeight="1" s="51"/>
    <row r="560" ht="15.75" customHeight="1" s="51"/>
    <row r="561" ht="15.75" customHeight="1" s="51"/>
    <row r="562" ht="15.75" customHeight="1" s="51"/>
    <row r="563" ht="15.75" customHeight="1" s="51"/>
    <row r="564" ht="15.75" customHeight="1" s="51"/>
    <row r="565" ht="15.75" customHeight="1" s="51"/>
    <row r="566" ht="15.75" customHeight="1" s="51"/>
    <row r="567" ht="15.75" customHeight="1" s="51"/>
    <row r="568" ht="15.75" customHeight="1" s="51"/>
    <row r="569" ht="15.75" customHeight="1" s="51"/>
    <row r="570" ht="15.75" customHeight="1" s="51"/>
    <row r="571" ht="15.75" customHeight="1" s="51"/>
    <row r="572" ht="15.75" customHeight="1" s="51"/>
    <row r="573" ht="15.75" customHeight="1" s="51"/>
    <row r="574" ht="15.75" customHeight="1" s="51"/>
    <row r="575" ht="15.75" customHeight="1" s="51"/>
    <row r="576" ht="15.75" customHeight="1" s="51"/>
    <row r="577" ht="15.75" customHeight="1" s="51"/>
    <row r="578" ht="15.75" customHeight="1" s="51"/>
    <row r="579" ht="15.75" customHeight="1" s="51"/>
    <row r="580" ht="15.75" customHeight="1" s="51"/>
    <row r="581" ht="15.75" customHeight="1" s="51"/>
    <row r="582" ht="15.75" customHeight="1" s="51"/>
    <row r="583" ht="15.75" customHeight="1" s="51"/>
    <row r="584" ht="15.75" customHeight="1" s="51"/>
    <row r="585" ht="15.75" customHeight="1" s="51"/>
    <row r="586" ht="15.75" customHeight="1" s="51"/>
    <row r="587" ht="15.75" customHeight="1" s="51"/>
    <row r="588" ht="15.75" customHeight="1" s="51"/>
    <row r="589" ht="15.75" customHeight="1" s="51"/>
    <row r="590" ht="15.75" customHeight="1" s="51"/>
    <row r="591" ht="15.75" customHeight="1" s="51"/>
    <row r="592" ht="15.75" customHeight="1" s="51"/>
    <row r="593" ht="15.75" customHeight="1" s="51"/>
    <row r="594" ht="15.75" customHeight="1" s="51"/>
    <row r="595" ht="15.75" customHeight="1" s="51"/>
    <row r="596" ht="15.75" customHeight="1" s="51"/>
    <row r="597" ht="15.75" customHeight="1" s="51"/>
    <row r="598" ht="15.75" customHeight="1" s="51"/>
    <row r="599" ht="15.75" customHeight="1" s="51"/>
    <row r="600" ht="15.75" customHeight="1" s="51"/>
    <row r="601" ht="15.75" customHeight="1" s="51"/>
    <row r="602" ht="15.75" customHeight="1" s="51"/>
    <row r="603" ht="15.75" customHeight="1" s="51"/>
    <row r="604" ht="15.75" customHeight="1" s="51"/>
    <row r="605" ht="15.75" customHeight="1" s="51"/>
    <row r="606" ht="15.75" customHeight="1" s="51"/>
    <row r="607" ht="15.75" customHeight="1" s="51"/>
    <row r="608" ht="15.75" customHeight="1" s="51"/>
    <row r="609" ht="15.75" customHeight="1" s="51"/>
    <row r="610" ht="15.75" customHeight="1" s="51"/>
    <row r="611" ht="15.75" customHeight="1" s="51"/>
    <row r="612" ht="15.75" customHeight="1" s="51"/>
    <row r="613" ht="15.75" customHeight="1" s="51"/>
    <row r="614" ht="15.75" customHeight="1" s="51"/>
    <row r="615" ht="15.75" customHeight="1" s="51"/>
    <row r="616" ht="15.75" customHeight="1" s="51"/>
    <row r="617" ht="15.75" customHeight="1" s="51"/>
    <row r="618" ht="15.75" customHeight="1" s="51"/>
    <row r="619" ht="15.75" customHeight="1" s="51"/>
    <row r="620" ht="15.75" customHeight="1" s="51"/>
    <row r="621" ht="15.75" customHeight="1" s="51"/>
    <row r="622" ht="15.75" customHeight="1" s="51"/>
    <row r="623" ht="15.75" customHeight="1" s="51"/>
    <row r="624" ht="15.75" customHeight="1" s="51"/>
    <row r="625" ht="15.75" customHeight="1" s="51"/>
    <row r="626" ht="15.75" customHeight="1" s="51"/>
    <row r="627" ht="15.75" customHeight="1" s="51"/>
    <row r="628" ht="15.75" customHeight="1" s="51"/>
    <row r="629" ht="15.75" customHeight="1" s="51"/>
    <row r="630" ht="15.75" customHeight="1" s="51"/>
    <row r="631" ht="15.75" customHeight="1" s="51"/>
    <row r="632" ht="15.75" customHeight="1" s="51"/>
    <row r="633" ht="15.75" customHeight="1" s="51"/>
    <row r="634" ht="15.75" customHeight="1" s="51"/>
    <row r="635" ht="15.75" customHeight="1" s="51"/>
    <row r="636" ht="15.75" customHeight="1" s="51"/>
    <row r="637" ht="15.75" customHeight="1" s="51"/>
    <row r="638" ht="15.75" customHeight="1" s="51"/>
    <row r="639" ht="15.75" customHeight="1" s="51"/>
    <row r="640" ht="15.75" customHeight="1" s="51"/>
    <row r="641" ht="15.75" customHeight="1" s="51"/>
    <row r="642" ht="15.75" customHeight="1" s="51"/>
    <row r="643" ht="15.75" customHeight="1" s="51"/>
    <row r="644" ht="15.75" customHeight="1" s="51"/>
    <row r="645" ht="15.75" customHeight="1" s="51"/>
    <row r="646" ht="15.75" customHeight="1" s="51"/>
    <row r="647" ht="15.75" customHeight="1" s="51"/>
    <row r="648" ht="15.75" customHeight="1" s="51"/>
    <row r="649" ht="15.75" customHeight="1" s="51"/>
    <row r="650" ht="15.75" customHeight="1" s="51"/>
    <row r="651" ht="15.75" customHeight="1" s="51"/>
    <row r="652" ht="15.75" customHeight="1" s="51"/>
    <row r="653" ht="15.75" customHeight="1" s="51"/>
    <row r="654" ht="15.75" customHeight="1" s="51"/>
    <row r="655" ht="15.75" customHeight="1" s="51"/>
    <row r="656" ht="15.75" customHeight="1" s="51"/>
    <row r="657" ht="15.75" customHeight="1" s="51"/>
    <row r="658" ht="15.75" customHeight="1" s="51"/>
    <row r="659" ht="15.75" customHeight="1" s="51"/>
    <row r="660" ht="15.75" customHeight="1" s="51"/>
    <row r="661" ht="15.75" customHeight="1" s="51"/>
    <row r="662" ht="15.75" customHeight="1" s="51"/>
    <row r="663" ht="15.75" customHeight="1" s="51"/>
    <row r="664" ht="15.75" customHeight="1" s="51"/>
    <row r="665" ht="15.75" customHeight="1" s="51"/>
    <row r="666" ht="15.75" customHeight="1" s="51"/>
    <row r="667" ht="15.75" customHeight="1" s="51"/>
    <row r="668" ht="15.75" customHeight="1" s="51"/>
    <row r="669" ht="15.75" customHeight="1" s="51"/>
    <row r="670" ht="15.75" customHeight="1" s="51"/>
    <row r="671" ht="15.75" customHeight="1" s="51"/>
    <row r="672" ht="15.75" customHeight="1" s="51"/>
    <row r="673" ht="15.75" customHeight="1" s="51"/>
    <row r="674" ht="15.75" customHeight="1" s="51"/>
    <row r="675" ht="15.75" customHeight="1" s="51"/>
    <row r="676" ht="15.75" customHeight="1" s="51"/>
    <row r="677" ht="15.75" customHeight="1" s="51"/>
    <row r="678" ht="15.75" customHeight="1" s="51"/>
    <row r="679" ht="15.75" customHeight="1" s="51"/>
    <row r="680" ht="15.75" customHeight="1" s="51"/>
    <row r="681" ht="15.75" customHeight="1" s="51"/>
    <row r="682" ht="15.75" customHeight="1" s="51"/>
    <row r="683" ht="15.75" customHeight="1" s="51"/>
    <row r="684" ht="15.75" customHeight="1" s="51"/>
    <row r="685" ht="15.75" customHeight="1" s="51"/>
    <row r="686" ht="15.75" customHeight="1" s="51"/>
    <row r="687" ht="15.75" customHeight="1" s="51"/>
    <row r="688" ht="15.75" customHeight="1" s="51"/>
    <row r="689" ht="15.75" customHeight="1" s="51"/>
    <row r="690" ht="15.75" customHeight="1" s="51"/>
    <row r="691" ht="15.75" customHeight="1" s="51"/>
    <row r="692" ht="15.75" customHeight="1" s="51"/>
    <row r="693" ht="15.75" customHeight="1" s="51"/>
    <row r="694" ht="15.75" customHeight="1" s="51"/>
    <row r="695" ht="15.75" customHeight="1" s="51"/>
    <row r="696" ht="15.75" customHeight="1" s="51"/>
    <row r="697" ht="15.75" customHeight="1" s="51"/>
    <row r="698" ht="15.75" customHeight="1" s="51"/>
    <row r="699" ht="15.75" customHeight="1" s="51"/>
    <row r="700" ht="15.75" customHeight="1" s="51"/>
    <row r="701" ht="15.75" customHeight="1" s="51"/>
    <row r="702" ht="15.75" customHeight="1" s="51"/>
    <row r="703" ht="15.75" customHeight="1" s="51"/>
    <row r="704" ht="15.75" customHeight="1" s="51"/>
    <row r="705" ht="15.75" customHeight="1" s="51"/>
    <row r="706" ht="15.75" customHeight="1" s="51"/>
    <row r="707" ht="15.75" customHeight="1" s="51"/>
    <row r="708" ht="15.75" customHeight="1" s="51"/>
    <row r="709" ht="15.75" customHeight="1" s="51"/>
    <row r="710" ht="15.75" customHeight="1" s="51"/>
    <row r="711" ht="15.75" customHeight="1" s="51"/>
    <row r="712" ht="15.75" customHeight="1" s="51"/>
    <row r="713" ht="15.75" customHeight="1" s="51"/>
    <row r="714" ht="15.75" customHeight="1" s="51"/>
    <row r="715" ht="15.75" customHeight="1" s="51"/>
    <row r="716" ht="15.75" customHeight="1" s="51"/>
    <row r="717" ht="15.75" customHeight="1" s="51"/>
    <row r="718" ht="15.75" customHeight="1" s="51"/>
    <row r="719" ht="15.75" customHeight="1" s="51"/>
    <row r="720" ht="15.75" customHeight="1" s="51"/>
    <row r="721" ht="15.75" customHeight="1" s="51"/>
    <row r="722" ht="15.75" customHeight="1" s="51"/>
    <row r="723" ht="15.75" customHeight="1" s="51"/>
    <row r="724" ht="15.75" customHeight="1" s="51"/>
    <row r="725" ht="15.75" customHeight="1" s="51"/>
    <row r="726" ht="15.75" customHeight="1" s="51"/>
    <row r="727" ht="15.75" customHeight="1" s="51"/>
    <row r="728" ht="15.75" customHeight="1" s="51"/>
    <row r="729" ht="15.75" customHeight="1" s="51"/>
    <row r="730" ht="15.75" customHeight="1" s="51"/>
    <row r="731" ht="15.75" customHeight="1" s="51"/>
    <row r="732" ht="15.75" customHeight="1" s="51"/>
    <row r="733" ht="15.75" customHeight="1" s="51"/>
    <row r="734" ht="15.75" customHeight="1" s="51"/>
    <row r="735" ht="15.75" customHeight="1" s="51"/>
    <row r="736" ht="15.75" customHeight="1" s="51"/>
    <row r="737" ht="15.75" customHeight="1" s="51"/>
    <row r="738" ht="15.75" customHeight="1" s="51"/>
    <row r="739" ht="15.75" customHeight="1" s="51"/>
    <row r="740" ht="15.75" customHeight="1" s="51"/>
    <row r="741" ht="15.75" customHeight="1" s="51"/>
    <row r="742" ht="15.75" customHeight="1" s="51"/>
    <row r="743" ht="15.75" customHeight="1" s="51"/>
    <row r="744" ht="15.75" customHeight="1" s="51"/>
    <row r="745" ht="15.75" customHeight="1" s="51"/>
    <row r="746" ht="15.75" customHeight="1" s="51"/>
    <row r="747" ht="15.75" customHeight="1" s="51"/>
    <row r="748" ht="15.75" customHeight="1" s="51"/>
    <row r="749" ht="15.75" customHeight="1" s="51"/>
    <row r="750" ht="15.75" customHeight="1" s="51"/>
    <row r="751" ht="15.75" customHeight="1" s="51"/>
    <row r="752" ht="15.75" customHeight="1" s="51"/>
    <row r="753" ht="15.75" customHeight="1" s="51"/>
    <row r="754" ht="15.75" customHeight="1" s="51"/>
    <row r="755" ht="15.75" customHeight="1" s="51"/>
    <row r="756" ht="15.75" customHeight="1" s="51"/>
    <row r="757" ht="15.75" customHeight="1" s="51"/>
    <row r="758" ht="15.75" customHeight="1" s="51"/>
    <row r="759" ht="15.75" customHeight="1" s="51"/>
    <row r="760" ht="15.75" customHeight="1" s="51"/>
    <row r="761" ht="15.75" customHeight="1" s="51"/>
    <row r="762" ht="15.75" customHeight="1" s="51"/>
    <row r="763" ht="15.75" customHeight="1" s="51"/>
    <row r="764" ht="15.75" customHeight="1" s="51"/>
    <row r="765" ht="15.75" customHeight="1" s="51"/>
    <row r="766" ht="15.75" customHeight="1" s="51"/>
    <row r="767" ht="15.75" customHeight="1" s="51"/>
    <row r="768" ht="15.75" customHeight="1" s="51"/>
    <row r="769" ht="15.75" customHeight="1" s="51"/>
    <row r="770" ht="15.75" customHeight="1" s="51"/>
    <row r="771" ht="15.75" customHeight="1" s="51"/>
    <row r="772" ht="15.75" customHeight="1" s="51"/>
    <row r="773" ht="15.75" customHeight="1" s="51"/>
    <row r="774" ht="15.75" customHeight="1" s="51"/>
    <row r="775" ht="15.75" customHeight="1" s="51"/>
    <row r="776" ht="15.75" customHeight="1" s="51"/>
    <row r="777" ht="15.75" customHeight="1" s="51"/>
    <row r="778" ht="15.75" customHeight="1" s="51"/>
    <row r="779" ht="15.75" customHeight="1" s="51"/>
    <row r="780" ht="15.75" customHeight="1" s="51"/>
    <row r="781" ht="15.75" customHeight="1" s="51"/>
    <row r="782" ht="15.75" customHeight="1" s="51"/>
    <row r="783" ht="15.75" customHeight="1" s="51"/>
    <row r="784" ht="15.75" customHeight="1" s="51"/>
    <row r="785" ht="15.75" customHeight="1" s="51"/>
    <row r="786" ht="15.75" customHeight="1" s="51"/>
    <row r="787" ht="15.75" customHeight="1" s="51"/>
    <row r="788" ht="15.75" customHeight="1" s="51"/>
    <row r="789" ht="15.75" customHeight="1" s="51"/>
    <row r="790" ht="15.75" customHeight="1" s="51"/>
    <row r="791" ht="15.75" customHeight="1" s="51"/>
    <row r="792" ht="15.75" customHeight="1" s="51"/>
    <row r="793" ht="15.75" customHeight="1" s="51"/>
    <row r="794" ht="15.75" customHeight="1" s="51"/>
    <row r="795" ht="15.75" customHeight="1" s="51"/>
    <row r="796" ht="15.75" customHeight="1" s="51"/>
    <row r="797" ht="15.75" customHeight="1" s="51"/>
    <row r="798" ht="15.75" customHeight="1" s="51"/>
    <row r="799" ht="15.75" customHeight="1" s="51"/>
    <row r="800" ht="15.75" customHeight="1" s="51"/>
    <row r="801" ht="15.75" customHeight="1" s="51"/>
    <row r="802" ht="15.75" customHeight="1" s="51"/>
    <row r="803" ht="15.75" customHeight="1" s="51"/>
    <row r="804" ht="15.75" customHeight="1" s="51"/>
    <row r="805" ht="15.75" customHeight="1" s="51"/>
    <row r="806" ht="15.75" customHeight="1" s="51"/>
    <row r="807" ht="15.75" customHeight="1" s="51"/>
    <row r="808" ht="15.75" customHeight="1" s="51"/>
    <row r="809" ht="15.75" customHeight="1" s="51"/>
    <row r="810" ht="15.75" customHeight="1" s="51"/>
    <row r="811" ht="15.75" customHeight="1" s="51"/>
    <row r="812" ht="15.75" customHeight="1" s="51"/>
    <row r="813" ht="15.75" customHeight="1" s="51"/>
    <row r="814" ht="15.75" customHeight="1" s="51"/>
    <row r="815" ht="15.75" customHeight="1" s="51"/>
    <row r="816" ht="15.75" customHeight="1" s="51"/>
    <row r="817" ht="15.75" customHeight="1" s="51"/>
    <row r="818" ht="15.75" customHeight="1" s="51"/>
    <row r="819" ht="15.75" customHeight="1" s="51"/>
    <row r="820" ht="15.75" customHeight="1" s="51"/>
    <row r="821" ht="15.75" customHeight="1" s="51"/>
    <row r="822" ht="15.75" customHeight="1" s="51"/>
    <row r="823" ht="15.75" customHeight="1" s="51"/>
    <row r="824" ht="15.75" customHeight="1" s="51"/>
    <row r="825" ht="15.75" customHeight="1" s="51"/>
    <row r="826" ht="15.75" customHeight="1" s="51"/>
    <row r="827" ht="15.75" customHeight="1" s="51"/>
    <row r="828" ht="15.75" customHeight="1" s="51"/>
    <row r="829" ht="15.75" customHeight="1" s="51"/>
    <row r="830" ht="15.75" customHeight="1" s="51"/>
    <row r="831" ht="15.75" customHeight="1" s="51"/>
    <row r="832" ht="15.75" customHeight="1" s="51"/>
    <row r="833" ht="15.75" customHeight="1" s="51"/>
    <row r="834" ht="15.75" customHeight="1" s="51"/>
    <row r="835" ht="15.75" customHeight="1" s="51"/>
    <row r="836" ht="15.75" customHeight="1" s="51"/>
    <row r="837" ht="15.75" customHeight="1" s="51"/>
    <row r="838" ht="15.75" customHeight="1" s="51"/>
    <row r="839" ht="15.75" customHeight="1" s="51"/>
    <row r="840" ht="15.75" customHeight="1" s="51"/>
    <row r="841" ht="15.75" customHeight="1" s="51"/>
    <row r="842" ht="15.75" customHeight="1" s="51"/>
    <row r="843" ht="15.75" customHeight="1" s="51"/>
    <row r="844" ht="15.75" customHeight="1" s="51"/>
    <row r="845" ht="15.75" customHeight="1" s="51"/>
    <row r="846" ht="15.75" customHeight="1" s="51"/>
    <row r="847" ht="15.75" customHeight="1" s="51"/>
    <row r="848" ht="15.75" customHeight="1" s="51"/>
    <row r="849" ht="15.75" customHeight="1" s="51"/>
    <row r="850" ht="15.75" customHeight="1" s="51"/>
    <row r="851" ht="15.75" customHeight="1" s="51"/>
    <row r="852" ht="15.75" customHeight="1" s="51"/>
    <row r="853" ht="15.75" customHeight="1" s="51"/>
    <row r="854" ht="15.75" customHeight="1" s="51"/>
    <row r="855" ht="15.75" customHeight="1" s="51"/>
    <row r="856" ht="15.75" customHeight="1" s="51"/>
    <row r="857" ht="15.75" customHeight="1" s="51"/>
    <row r="858" ht="15.75" customHeight="1" s="51"/>
    <row r="859" ht="15.75" customHeight="1" s="51"/>
    <row r="860" ht="15.75" customHeight="1" s="51"/>
    <row r="861" ht="15.75" customHeight="1" s="51"/>
    <row r="862" ht="15.75" customHeight="1" s="51"/>
    <row r="863" ht="15.75" customHeight="1" s="51"/>
    <row r="864" ht="15.75" customHeight="1" s="51"/>
    <row r="865" ht="15.75" customHeight="1" s="51"/>
    <row r="866" ht="15.75" customHeight="1" s="51"/>
    <row r="867" ht="15.75" customHeight="1" s="51"/>
    <row r="868" ht="15.75" customHeight="1" s="51"/>
    <row r="869" ht="15.75" customHeight="1" s="51"/>
    <row r="870" ht="15.75" customHeight="1" s="51"/>
    <row r="871" ht="15.75" customHeight="1" s="51"/>
    <row r="872" ht="15.75" customHeight="1" s="51"/>
    <row r="873" ht="15.75" customHeight="1" s="51"/>
    <row r="874" ht="15.75" customHeight="1" s="51"/>
    <row r="875" ht="15.75" customHeight="1" s="51"/>
    <row r="876" ht="15.75" customHeight="1" s="51"/>
    <row r="877" ht="15.75" customHeight="1" s="51"/>
    <row r="878" ht="15.75" customHeight="1" s="51"/>
    <row r="879" ht="15.75" customHeight="1" s="51"/>
    <row r="880" ht="15.75" customHeight="1" s="51"/>
    <row r="881" ht="15.75" customHeight="1" s="51"/>
    <row r="882" ht="15.75" customHeight="1" s="51"/>
    <row r="883" ht="15.75" customHeight="1" s="51"/>
    <row r="884" ht="15.75" customHeight="1" s="51"/>
    <row r="885" ht="15.75" customHeight="1" s="51"/>
    <row r="886" ht="15.75" customHeight="1" s="51"/>
    <row r="887" ht="15.75" customHeight="1" s="51"/>
    <row r="888" ht="15.75" customHeight="1" s="51"/>
    <row r="889" ht="15.75" customHeight="1" s="51"/>
    <row r="890" ht="15.75" customHeight="1" s="51"/>
    <row r="891" ht="15.75" customHeight="1" s="51"/>
    <row r="892" ht="15.75" customHeight="1" s="51"/>
    <row r="893" ht="15.75" customHeight="1" s="51"/>
    <row r="894" ht="15.75" customHeight="1" s="51"/>
    <row r="895" ht="15.75" customHeight="1" s="51"/>
    <row r="896" ht="15.75" customHeight="1" s="51"/>
    <row r="897" ht="15.75" customHeight="1" s="51"/>
    <row r="898" ht="15.75" customHeight="1" s="51"/>
    <row r="899" ht="15.75" customHeight="1" s="51"/>
    <row r="900" ht="15.75" customHeight="1" s="51"/>
    <row r="901" ht="15.75" customHeight="1" s="51"/>
    <row r="902" ht="15.75" customHeight="1" s="51"/>
    <row r="903" ht="15.75" customHeight="1" s="51"/>
    <row r="904" ht="15.75" customHeight="1" s="51"/>
    <row r="905" ht="15.75" customHeight="1" s="51"/>
    <row r="906" ht="15.75" customHeight="1" s="51"/>
    <row r="907" ht="15.75" customHeight="1" s="51"/>
    <row r="908" ht="15.75" customHeight="1" s="51"/>
    <row r="909" ht="15.75" customHeight="1" s="51"/>
    <row r="910" ht="15.75" customHeight="1" s="51"/>
    <row r="911" ht="15.75" customHeight="1" s="51"/>
    <row r="912" ht="15.75" customHeight="1" s="51"/>
    <row r="913" ht="15.75" customHeight="1" s="51"/>
    <row r="914" ht="15.75" customHeight="1" s="51"/>
    <row r="915" ht="15.75" customHeight="1" s="51"/>
    <row r="916" ht="15.75" customHeight="1" s="51"/>
    <row r="917" ht="15.75" customHeight="1" s="51"/>
    <row r="918" ht="15.75" customHeight="1" s="51"/>
    <row r="919" ht="15.75" customHeight="1" s="51"/>
    <row r="920" ht="15.75" customHeight="1" s="51"/>
    <row r="921" ht="15.75" customHeight="1" s="51"/>
    <row r="922" ht="15.75" customHeight="1" s="51"/>
    <row r="923" ht="15.75" customHeight="1" s="51"/>
    <row r="924" ht="15.75" customHeight="1" s="51"/>
    <row r="925" ht="15.75" customHeight="1" s="51"/>
    <row r="926" ht="15.75" customHeight="1" s="51"/>
    <row r="927" ht="15.75" customHeight="1" s="51"/>
    <row r="928" ht="15.75" customHeight="1" s="51"/>
    <row r="929" ht="15.75" customHeight="1" s="51"/>
    <row r="930" ht="15.75" customHeight="1" s="51"/>
    <row r="931" ht="15.75" customHeight="1" s="51"/>
    <row r="932" ht="15.75" customHeight="1" s="51"/>
    <row r="933" ht="15.75" customHeight="1" s="51"/>
    <row r="934" ht="15.75" customHeight="1" s="51"/>
    <row r="935" ht="15.75" customHeight="1" s="51"/>
    <row r="936" ht="15.75" customHeight="1" s="51"/>
    <row r="937" ht="15.75" customHeight="1" s="51"/>
    <row r="938" ht="15.75" customHeight="1" s="51"/>
    <row r="939" ht="15.75" customHeight="1" s="51"/>
    <row r="940" ht="15.75" customHeight="1" s="51"/>
    <row r="941" ht="15.75" customHeight="1" s="51"/>
    <row r="942" ht="15.75" customHeight="1" s="51"/>
    <row r="943" ht="15.75" customHeight="1" s="51"/>
    <row r="944" ht="15.75" customHeight="1" s="51"/>
    <row r="945" ht="15.75" customHeight="1" s="51"/>
    <row r="946" ht="15.75" customHeight="1" s="51"/>
    <row r="947" ht="15.75" customHeight="1" s="51"/>
    <row r="948" ht="15.75" customHeight="1" s="51"/>
    <row r="949" ht="15.75" customHeight="1" s="51"/>
    <row r="950" ht="15.75" customHeight="1" s="51"/>
    <row r="951" ht="15.75" customHeight="1" s="51"/>
    <row r="952" ht="15.75" customHeight="1" s="51"/>
    <row r="953" ht="15.75" customHeight="1" s="51"/>
    <row r="954" ht="15.75" customHeight="1" s="51"/>
    <row r="955" ht="15.75" customHeight="1" s="51"/>
    <row r="956" ht="15.75" customHeight="1" s="51"/>
    <row r="957" ht="15.75" customHeight="1" s="51"/>
    <row r="958" ht="15.75" customHeight="1" s="51"/>
    <row r="959" ht="15.75" customHeight="1" s="51"/>
    <row r="960" ht="15.75" customHeight="1" s="51"/>
    <row r="961" ht="15.75" customHeight="1" s="51"/>
    <row r="962" ht="15.75" customHeight="1" s="51"/>
    <row r="963" ht="15.75" customHeight="1" s="51"/>
    <row r="964" ht="15.75" customHeight="1" s="51"/>
    <row r="965" ht="15.75" customHeight="1" s="51"/>
    <row r="966" ht="15.75" customHeight="1" s="51"/>
    <row r="967" ht="15.75" customHeight="1" s="51"/>
    <row r="968" ht="15.75" customHeight="1" s="51"/>
    <row r="969" ht="15.75" customHeight="1" s="51"/>
    <row r="970" ht="15.75" customHeight="1" s="51"/>
    <row r="971" ht="15.75" customHeight="1" s="51"/>
    <row r="972" ht="15.75" customHeight="1" s="51"/>
    <row r="973" ht="15.75" customHeight="1" s="51"/>
    <row r="974" ht="15.75" customHeight="1" s="51"/>
    <row r="975" ht="15.75" customHeight="1" s="51"/>
    <row r="976" ht="15.75" customHeight="1" s="51"/>
    <row r="977" ht="15.75" customHeight="1" s="51"/>
    <row r="978" ht="15.75" customHeight="1" s="51"/>
    <row r="979" ht="15.75" customHeight="1" s="51"/>
    <row r="980" ht="15.75" customHeight="1" s="51"/>
    <row r="981" ht="15.75" customHeight="1" s="51"/>
    <row r="982" ht="15.75" customHeight="1" s="51"/>
    <row r="983" ht="15.75" customHeight="1" s="51"/>
    <row r="984" ht="15.75" customHeight="1" s="51"/>
    <row r="985" ht="15.75" customHeight="1" s="51"/>
    <row r="986" ht="15.75" customHeight="1" s="51"/>
    <row r="987" ht="15.75" customHeight="1" s="51"/>
    <row r="988" ht="15.75" customHeight="1" s="51"/>
    <row r="989" ht="15.75" customHeight="1" s="51"/>
    <row r="990" ht="15.75" customHeight="1" s="51"/>
    <row r="991" ht="15.75" customHeight="1" s="51"/>
    <row r="992" ht="15.75" customHeight="1" s="51"/>
    <row r="993" ht="15.75" customHeight="1" s="51"/>
    <row r="994" ht="15.75" customHeight="1" s="51"/>
    <row r="995" ht="15.75" customHeight="1" s="51"/>
    <row r="996" ht="15.75" customHeight="1" s="51"/>
    <row r="997" ht="15.75" customHeight="1" s="51"/>
    <row r="998" ht="15.75" customHeight="1" s="51"/>
    <row r="999" ht="15.75" customHeight="1" s="51"/>
    <row r="1000" ht="15.75" customHeight="1" s="51"/>
  </sheetData>
  <autoFilter ref="$A$13:$AE$163"/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12"/>
  <sheetViews>
    <sheetView workbookViewId="0">
      <pane xSplit="5" ySplit="12" topLeftCell="F13" activePane="bottomRight" state="frozen"/>
      <selection pane="topRight" activeCell="F1" sqref="F1"/>
      <selection pane="bottomLeft" activeCell="A13" sqref="A13"/>
      <selection pane="bottomRight" activeCell="F13" sqref="F13"/>
    </sheetView>
  </sheetViews>
  <sheetFormatPr baseColWidth="8" defaultColWidth="14.43" defaultRowHeight="15" customHeight="1"/>
  <cols>
    <col width="13" customWidth="1" style="51" min="1" max="1"/>
    <col width="14" customWidth="1" style="51" min="2" max="2"/>
    <col width="22" customWidth="1" style="51" min="3" max="3"/>
    <col width="16" customWidth="1" style="51" min="4" max="4"/>
    <col width="42" customWidth="1" style="51" min="5" max="5"/>
    <col width="11" customWidth="1" style="51" min="6" max="6"/>
    <col width="48" customWidth="1" style="51" min="7" max="7"/>
    <col width="22" customWidth="1" style="51" min="8" max="8"/>
    <col width="36" customWidth="1" style="51" min="9" max="9"/>
    <col width="34" customWidth="1" style="51" min="10" max="11"/>
    <col width="26" customWidth="1" style="51" min="12" max="12"/>
    <col width="20" customWidth="1" style="51" min="13" max="13"/>
    <col width="44" customWidth="1" style="51" min="14" max="14"/>
    <col width="22" customWidth="1" style="51" min="15" max="15"/>
    <col width="11" customWidth="1" style="51" min="16" max="16"/>
    <col width="10" customWidth="1" style="51" min="17" max="17"/>
    <col width="70" customWidth="1" style="51" min="18" max="18"/>
    <col width="34" customWidth="1" style="51" min="19" max="19"/>
    <col width="26" customWidth="1" style="51" min="20" max="20"/>
    <col width="34" customWidth="1" style="51" min="21" max="21"/>
    <col width="28" customWidth="1" style="51" min="22" max="22"/>
    <col width="30" customWidth="1" style="51" min="23" max="23"/>
    <col width="22" customWidth="1" style="51" min="24" max="24"/>
    <col width="26" customWidth="1" style="51" min="25" max="25"/>
    <col width="30" customWidth="1" style="51" min="26" max="26"/>
    <col width="25" customWidth="1" style="51" min="27" max="27"/>
  </cols>
  <sheetData>
    <row r="1">
      <c r="A1" s="1" t="inlineStr">
        <is>
          <t>Product Details and Verifiable Specifications</t>
        </is>
      </c>
    </row>
    <row r="2">
      <c r="A2" s="3" t="inlineStr">
        <is>
          <t>N/A means the field does not apply to that product. Verified Comparisons are checked against the competitor data in this workbook (competitor SKU shown in brackets).</t>
        </is>
      </c>
      <c r="T2" s="0" t="inlineStr">
        <is>
          <t>Columns marked (generated) were filled by script: deterministic sample values, not source data.</t>
        </is>
      </c>
    </row>
    <row r="3">
      <c r="B3" s="5" t="inlineStr">
        <is>
          <t>LEGEND</t>
        </is>
      </c>
    </row>
    <row r="4">
      <c r="B4" s="7" t="inlineStr">
        <is>
          <t>Color</t>
        </is>
      </c>
      <c r="C4" s="7" t="inlineStr">
        <is>
          <t>Company Type</t>
        </is>
      </c>
      <c r="D4" s="7" t="inlineStr">
        <is>
          <t>Count</t>
        </is>
      </c>
    </row>
    <row r="5">
      <c r="B5" s="8" t="n"/>
      <c r="C5" s="9" t="inlineStr">
        <is>
          <t>Headphones &amp; Earbuds</t>
        </is>
      </c>
      <c r="D5" s="12">
        <f>COUNTIF($C$13:$C$1512,C5)</f>
        <v/>
      </c>
    </row>
    <row r="6">
      <c r="B6" s="13" t="n"/>
      <c r="C6" s="9" t="inlineStr">
        <is>
          <t>Laptops</t>
        </is>
      </c>
      <c r="D6" s="12">
        <f>COUNTIF($C$13:$C$1512,C6)</f>
        <v/>
      </c>
    </row>
    <row r="7">
      <c r="B7" s="14" t="n"/>
      <c r="C7" s="9" t="inlineStr">
        <is>
          <t>Smartphones &amp; Tablets</t>
        </is>
      </c>
      <c r="D7" s="12">
        <f>COUNTIF($C$13:$C$1512,C7)</f>
        <v/>
      </c>
    </row>
    <row r="8">
      <c r="B8" s="16" t="n"/>
      <c r="C8" s="9" t="inlineStr">
        <is>
          <t>Computer Hardware</t>
        </is>
      </c>
      <c r="D8" s="12">
        <f>COUNTIF($C$13:$C$1512,C8)</f>
        <v/>
      </c>
    </row>
    <row r="9">
      <c r="C9" s="17" t="inlineStr">
        <is>
          <t>Total</t>
        </is>
      </c>
      <c r="D9" s="18">
        <f>SUM(D5:D8)</f>
        <v/>
      </c>
    </row>
    <row r="12" ht="31.5" customHeight="1" s="51">
      <c r="A12" s="2" t="inlineStr">
        <is>
          <t>SKU</t>
        </is>
      </c>
      <c r="B12" s="2" t="inlineStr">
        <is>
          <t>Company</t>
        </is>
      </c>
      <c r="C12" s="2" t="inlineStr">
        <is>
          <t>Category</t>
        </is>
      </c>
      <c r="D12" s="2" t="inlineStr">
        <is>
          <t>Product Category</t>
        </is>
      </c>
      <c r="E12" s="2" t="inlineStr">
        <is>
          <t>Product</t>
        </is>
      </c>
      <c r="F12" s="2" t="inlineStr">
        <is>
          <t>Price</t>
        </is>
      </c>
      <c r="G12" s="2" t="inlineStr">
        <is>
          <t>Other Names (short names, misspellings)</t>
        </is>
      </c>
      <c r="H12" s="2" t="inlineStr">
        <is>
          <t>Warranty</t>
        </is>
      </c>
      <c r="I12" s="2" t="inlineStr">
        <is>
          <t>Certifications</t>
        </is>
      </c>
      <c r="J12" s="2" t="inlineStr">
        <is>
          <t>Processor</t>
        </is>
      </c>
      <c r="K12" s="2" t="inlineStr">
        <is>
          <t>Graphics</t>
        </is>
      </c>
      <c r="L12" s="2" t="inlineStr">
        <is>
          <t>Display Type</t>
        </is>
      </c>
      <c r="M12" s="2" t="inlineStr">
        <is>
          <t>Resolution</t>
        </is>
      </c>
      <c r="N12" s="2" t="inlineStr">
        <is>
          <t>Ports</t>
        </is>
      </c>
      <c r="O12" s="2" t="inlineStr">
        <is>
          <t>Operating System</t>
        </is>
      </c>
      <c r="P12" s="2" t="inlineStr">
        <is>
          <t>Battery Life (hrs)</t>
        </is>
      </c>
      <c r="Q12" s="2" t="inlineStr">
        <is>
          <t>Weight (g)</t>
        </is>
      </c>
      <c r="R12" s="2" t="inlineStr">
        <is>
          <t>Verified Comparisons</t>
        </is>
      </c>
      <c r="S12" s="2" t="inlineStr">
        <is>
          <t>Use-Case Tags</t>
        </is>
      </c>
      <c r="T12" s="2" t="inlineStr">
        <is>
          <t>Availability (generated)</t>
        </is>
      </c>
      <c r="U12" s="2" t="inlineStr">
        <is>
          <t>Return Policy (days) (generated)</t>
        </is>
      </c>
      <c r="V12" s="2" t="inlineStr">
        <is>
          <t>Previous Price (generated)</t>
        </is>
      </c>
      <c r="W12" s="2" t="inlineStr">
        <is>
          <t>Price Changed On (generated)</t>
        </is>
      </c>
      <c r="X12" s="2" t="inlineStr">
        <is>
          <t>RAM (GB) (generated)</t>
        </is>
      </c>
      <c r="Y12" s="2" t="inlineStr">
        <is>
          <t>Storage (GB) (generated)</t>
        </is>
      </c>
      <c r="Z12" s="2" t="inlineStr">
        <is>
          <t>Screen Size (in) (generated)</t>
        </is>
      </c>
      <c r="AA12" s="2" t="inlineStr">
        <is>
          <t>Touchscreen (generated)</t>
        </is>
      </c>
    </row>
    <row r="13">
      <c r="A13" s="20" t="inlineStr">
        <is>
          <t>MOR-001-01</t>
        </is>
      </c>
      <c r="B13" s="20" t="inlineStr">
        <is>
          <t>Morpheus</t>
        </is>
      </c>
      <c r="C13" s="20" t="inlineStr">
        <is>
          <t>Headphones &amp; Earbuds</t>
        </is>
      </c>
      <c r="D13" s="20" t="inlineStr">
        <is>
          <t>Headphones</t>
        </is>
      </c>
      <c r="E13" s="21" t="inlineStr">
        <is>
          <t>Morpheus Onyx Air Kids Headphones</t>
        </is>
      </c>
      <c r="F13" s="23" t="n">
        <v>22.99</v>
      </c>
      <c r="G13" s="20" t="inlineStr">
        <is>
          <t>the Onyx Air; Morpheus Onyx Air; Morppheus Onyx Air; Onyx Air headphones</t>
        </is>
      </c>
      <c r="H13" s="20" t="inlineStr">
        <is>
          <t>1 year limited</t>
        </is>
      </c>
      <c r="I13" s="20" t="inlineStr">
        <is>
          <t>FCC, CE, Bluetooth SIG Qualified, EN 71 Toy Safety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  <c r="N13" s="20" t="inlineStr">
        <is>
          <t>USB-C charging, 3.5mm (85 dB limited)</t>
        </is>
      </c>
      <c r="O13" s="20" t="inlineStr">
        <is>
          <t>N/A</t>
        </is>
      </c>
      <c r="P13" s="20" t="n">
        <v>23</v>
      </c>
      <c r="Q13" s="24" t="n">
        <v>130</v>
      </c>
      <c r="R13" s="20" t="inlineStr">
        <is>
          <t>Lighter than Nereus Drift Kids Headphones [NER-020-01] (130 g vs 141 g); Lower price than Hesperus Onyx SE Kids Headphones [HES-025-01] ($22.99 vs $35.99)</t>
        </is>
      </c>
      <c r="S13" s="20" t="inlineStr">
        <is>
          <t>kids, school, travel</t>
        </is>
      </c>
      <c r="T13" s="0" t="inlineStr">
        <is>
          <t>in_stock</t>
        </is>
      </c>
      <c r="U13" s="0" t="n">
        <v>60</v>
      </c>
      <c r="V13" s="52" t="n">
        <v>24.99</v>
      </c>
      <c r="W13" s="0" t="inlineStr">
        <is>
          <t>2026-09-02</t>
        </is>
      </c>
      <c r="X13" s="0" t="inlineStr">
        <is>
          <t>N/A</t>
        </is>
      </c>
      <c r="Y13" s="0" t="inlineStr">
        <is>
          <t>N/A</t>
        </is>
      </c>
      <c r="Z13" s="0" t="inlineStr">
        <is>
          <t>N/A</t>
        </is>
      </c>
      <c r="AA13" s="0" t="inlineStr">
        <is>
          <t>N/A</t>
        </is>
      </c>
    </row>
    <row r="14">
      <c r="A14" s="20" t="inlineStr">
        <is>
          <t>MOR-001-02</t>
        </is>
      </c>
      <c r="B14" s="20" t="inlineStr">
        <is>
          <t>Morpheus</t>
        </is>
      </c>
      <c r="C14" s="20" t="inlineStr">
        <is>
          <t>Headphones &amp; Earbuds</t>
        </is>
      </c>
      <c r="D14" s="20" t="inlineStr">
        <is>
          <t>Earbuds</t>
        </is>
      </c>
      <c r="E14" s="21" t="inlineStr">
        <is>
          <t>Morpheus Nova Ultra Wired In-Ear Monitors</t>
        </is>
      </c>
      <c r="F14" s="23" t="n">
        <v>54.99</v>
      </c>
      <c r="G14" s="20" t="inlineStr">
        <is>
          <t>the Nova Ultra; Morpheus Nova Ultra; Morpheu Nova Ultra; Nova Ultra earbuds</t>
        </is>
      </c>
      <c r="H14" s="20" t="inlineStr">
        <is>
          <t>1 year limited</t>
        </is>
      </c>
      <c r="I14" s="20" t="inlineStr">
        <is>
          <t>CE, RoHS, Hi-Res Audio</t>
        </is>
      </c>
      <c r="J14" s="20" t="inlineStr">
        <is>
          <t>N/A</t>
        </is>
      </c>
      <c r="K14" s="20" t="inlineStr">
        <is>
          <t>N/A</t>
        </is>
      </c>
      <c r="L14" s="20" t="inlineStr">
        <is>
          <t>N/A</t>
        </is>
      </c>
      <c r="M14" s="20" t="inlineStr">
        <is>
          <t>N/A</t>
        </is>
      </c>
      <c r="N14" s="20" t="inlineStr">
        <is>
          <t>Detachable 2-pin cable: 3.5mm</t>
        </is>
      </c>
      <c r="O14" s="20" t="inlineStr">
        <is>
          <t>N/A</t>
        </is>
      </c>
      <c r="P14" s="20" t="inlineStr">
        <is>
          <t>N/A</t>
        </is>
      </c>
      <c r="Q14" s="24" t="n">
        <v>36</v>
      </c>
      <c r="R14" s="20" t="inlineStr">
        <is>
          <t>Lower price than Chaos Axis Max Wired In-Ear Monitors [CHA-016-02] ($54.99 vs $66.99); Lighter than Carpo Nova Air Wired In-Ear Monitors [CAR-002-06] (36 g vs 40 g)</t>
        </is>
      </c>
      <c r="S14" s="20" t="inlineStr">
        <is>
          <t>audiophile, stage monitoring, music</t>
        </is>
      </c>
      <c r="T14" s="0" t="inlineStr">
        <is>
          <t>low_stock</t>
        </is>
      </c>
      <c r="U14" s="0" t="n">
        <v>60</v>
      </c>
      <c r="V14" s="52" t="n">
        <v>59.99</v>
      </c>
      <c r="W14" s="0" t="inlineStr">
        <is>
          <t>2026-09-07</t>
        </is>
      </c>
      <c r="X14" s="0" t="inlineStr">
        <is>
          <t>N/A</t>
        </is>
      </c>
      <c r="Y14" s="0" t="inlineStr">
        <is>
          <t>N/A</t>
        </is>
      </c>
      <c r="Z14" s="0" t="inlineStr">
        <is>
          <t>N/A</t>
        </is>
      </c>
      <c r="AA14" s="0" t="inlineStr">
        <is>
          <t>N/A</t>
        </is>
      </c>
    </row>
    <row r="15">
      <c r="A15" s="20" t="inlineStr">
        <is>
          <t>MOR-001-03</t>
        </is>
      </c>
      <c r="B15" s="20" t="inlineStr">
        <is>
          <t>Morpheus</t>
        </is>
      </c>
      <c r="C15" s="20" t="inlineStr">
        <is>
          <t>Headphones &amp; Earbuds</t>
        </is>
      </c>
      <c r="D15" s="20" t="inlineStr">
        <is>
          <t>Earbuds</t>
        </is>
      </c>
      <c r="E15" s="21" t="inlineStr">
        <is>
          <t>Morpheus Spark Sport Earbuds</t>
        </is>
      </c>
      <c r="F15" s="23" t="n">
        <v>120.99</v>
      </c>
      <c r="G15" s="20" t="inlineStr">
        <is>
          <t>the Spark; Morpheus Spark; Morrpheus Spark; Spark earbuds</t>
        </is>
      </c>
      <c r="H15" s="20" t="inlineStr">
        <is>
          <t>1 year limited</t>
        </is>
      </c>
      <c r="I15" s="20" t="inlineStr">
        <is>
          <t>FCC, CE, Bluetooth SIG Qualified, IPX4</t>
        </is>
      </c>
      <c r="J15" s="20" t="inlineStr">
        <is>
          <t>N/A</t>
        </is>
      </c>
      <c r="K15" s="20" t="inlineStr">
        <is>
          <t>N/A</t>
        </is>
      </c>
      <c r="L15" s="20" t="inlineStr">
        <is>
          <t>N/A</t>
        </is>
      </c>
      <c r="M15" s="20" t="inlineStr">
        <is>
          <t>N/A</t>
        </is>
      </c>
      <c r="N15" s="20" t="inlineStr">
        <is>
          <t>USB-C charging case</t>
        </is>
      </c>
      <c r="O15" s="20" t="inlineStr">
        <is>
          <t>N/A</t>
        </is>
      </c>
      <c r="P15" s="20" t="n">
        <v>10</v>
      </c>
      <c r="Q15" s="24" t="n">
        <v>5</v>
      </c>
      <c r="R15" s="20" t="inlineStr">
        <is>
          <t>Longer battery than Ananke Strata Lite Sport Earbuds [ANA-023-02] (10 vs 9 hrs); Lighter than Hedone Prism Pro Sport Earbuds [HED-010-02] (5 g vs 7 g)</t>
        </is>
      </c>
      <c r="S15" s="20" t="inlineStr">
        <is>
          <t>gym, running, sport</t>
        </is>
      </c>
      <c r="T15" s="0" t="inlineStr">
        <is>
          <t>out_of_stock</t>
        </is>
      </c>
      <c r="U15" s="0" t="n">
        <v>60</v>
      </c>
      <c r="V15" s="52" t="n">
        <v>134.99</v>
      </c>
      <c r="W15" s="0" t="inlineStr">
        <is>
          <t>2026-08-09</t>
        </is>
      </c>
      <c r="X15" s="0" t="inlineStr">
        <is>
          <t>N/A</t>
        </is>
      </c>
      <c r="Y15" s="0" t="inlineStr">
        <is>
          <t>N/A</t>
        </is>
      </c>
      <c r="Z15" s="0" t="inlineStr">
        <is>
          <t>N/A</t>
        </is>
      </c>
      <c r="AA15" s="0" t="inlineStr">
        <is>
          <t>N/A</t>
        </is>
      </c>
    </row>
    <row r="16">
      <c r="A16" s="20" t="inlineStr">
        <is>
          <t>MOR-001-04</t>
        </is>
      </c>
      <c r="B16" s="20" t="inlineStr">
        <is>
          <t>Morpheus</t>
        </is>
      </c>
      <c r="C16" s="20" t="inlineStr">
        <is>
          <t>Headphones &amp; Earbuds</t>
        </is>
      </c>
      <c r="D16" s="20" t="inlineStr">
        <is>
          <t>Earbuds</t>
        </is>
      </c>
      <c r="E16" s="21" t="inlineStr">
        <is>
          <t>Morpheus Arc Open-Ear Earbuds</t>
        </is>
      </c>
      <c r="F16" s="23" t="n">
        <v>156.99</v>
      </c>
      <c r="G16" s="20" t="inlineStr">
        <is>
          <t>the Arc; Morpheus Arc; Morphues Arc; Arc earbuds</t>
        </is>
      </c>
      <c r="H16" s="20" t="inlineStr">
        <is>
          <t>1 year limited</t>
        </is>
      </c>
      <c r="I16" s="20" t="inlineStr">
        <is>
          <t>FCC, CE, Bluetooth SIG Qualified, IPX5</t>
        </is>
      </c>
      <c r="J16" s="20" t="inlineStr">
        <is>
          <t>N/A</t>
        </is>
      </c>
      <c r="K16" s="20" t="inlineStr">
        <is>
          <t>N/A</t>
        </is>
      </c>
      <c r="L16" s="20" t="inlineStr">
        <is>
          <t>N/A</t>
        </is>
      </c>
      <c r="M16" s="20" t="inlineStr">
        <is>
          <t>N/A</t>
        </is>
      </c>
      <c r="N16" s="20" t="inlineStr">
        <is>
          <t>USB-C charging case</t>
        </is>
      </c>
      <c r="O16" s="20" t="inlineStr">
        <is>
          <t>N/A</t>
        </is>
      </c>
      <c r="P16" s="20" t="n">
        <v>9</v>
      </c>
      <c r="Q16" s="24" t="n">
        <v>10</v>
      </c>
      <c r="R16" s="20" t="inlineStr">
        <is>
          <t>Lighter than Asclepius Axis Max Open-Ear Earbuds [ASC-024-06] (10 g vs 11 g); Longer battery than Zeus Strata X Open-Ear Earbuds [ZEU-013-02] (9 vs 8 hrs)</t>
        </is>
      </c>
      <c r="S16" s="20" t="inlineStr">
        <is>
          <t>running, outdoor, office</t>
        </is>
      </c>
      <c r="T16" s="0" t="inlineStr">
        <is>
          <t>in_stock</t>
        </is>
      </c>
      <c r="U16" s="0" t="n">
        <v>60</v>
      </c>
      <c r="V16" s="52" t="n">
        <v>180.99</v>
      </c>
      <c r="W16" s="0" t="inlineStr">
        <is>
          <t>2026-08-26</t>
        </is>
      </c>
      <c r="X16" s="0" t="inlineStr">
        <is>
          <t>N/A</t>
        </is>
      </c>
      <c r="Y16" s="0" t="inlineStr">
        <is>
          <t>N/A</t>
        </is>
      </c>
      <c r="Z16" s="0" t="inlineStr">
        <is>
          <t>N/A</t>
        </is>
      </c>
      <c r="AA16" s="0" t="inlineStr">
        <is>
          <t>N/A</t>
        </is>
      </c>
    </row>
    <row r="17">
      <c r="A17" s="20" t="inlineStr">
        <is>
          <t>MOR-001-05</t>
        </is>
      </c>
      <c r="B17" s="20" t="inlineStr">
        <is>
          <t>Morpheus</t>
        </is>
      </c>
      <c r="C17" s="20" t="inlineStr">
        <is>
          <t>Headphones &amp; Earbuds</t>
        </is>
      </c>
      <c r="D17" s="20" t="inlineStr">
        <is>
          <t>Headset</t>
        </is>
      </c>
      <c r="E17" s="21" t="inlineStr">
        <is>
          <t>Morpheus Quanta X Gaming Headset</t>
        </is>
      </c>
      <c r="F17" s="23" t="n">
        <v>171.99</v>
      </c>
      <c r="G17" s="20" t="inlineStr">
        <is>
          <t>the Quanta X; Morpheus Quanta X; Morphheus Quanta X; Quanta X headset</t>
        </is>
      </c>
      <c r="H17" s="20" t="inlineStr">
        <is>
          <t>1 year limited</t>
        </is>
      </c>
      <c r="I17" s="20" t="inlineStr">
        <is>
          <t>FCC, CE, Bluetooth SIG Qualified</t>
        </is>
      </c>
      <c r="J17" s="20" t="inlineStr">
        <is>
          <t>N/A</t>
        </is>
      </c>
      <c r="K17" s="20" t="inlineStr">
        <is>
          <t>N/A</t>
        </is>
      </c>
      <c r="L17" s="20" t="inlineStr">
        <is>
          <t>N/A</t>
        </is>
      </c>
      <c r="M17" s="20" t="inlineStr">
        <is>
          <t>N/A</t>
        </is>
      </c>
      <c r="N17" s="20" t="inlineStr">
        <is>
          <t>USB-C, 3.5mm, 2.4GHz USB dongle</t>
        </is>
      </c>
      <c r="O17" s="20" t="inlineStr">
        <is>
          <t>N/A</t>
        </is>
      </c>
      <c r="P17" s="20" t="n">
        <v>42</v>
      </c>
      <c r="Q17" s="24" t="n">
        <v>363</v>
      </c>
      <c r="R17" s="20" t="inlineStr">
        <is>
          <t>Longer battery than Glaucus Drift Pro Gaming Headset [GLA-012-07] (42 vs 23 hrs); Lower price than Hesperus Aeon Plus Gaming Headset [HES-025-06] ($171.99 vs $241.99)</t>
        </is>
      </c>
      <c r="S17" s="20" t="inlineStr">
        <is>
          <t>gaming, streaming, voice chat</t>
        </is>
      </c>
      <c r="T17" s="0" t="inlineStr">
        <is>
          <t>in_stock</t>
        </is>
      </c>
      <c r="U17" s="0" t="n">
        <v>60</v>
      </c>
      <c r="V17" s="52" t="n">
        <v>189.99</v>
      </c>
      <c r="W17" s="0" t="inlineStr">
        <is>
          <t>2026-08-22</t>
        </is>
      </c>
      <c r="X17" s="0" t="inlineStr">
        <is>
          <t>N/A</t>
        </is>
      </c>
      <c r="Y17" s="0" t="inlineStr">
        <is>
          <t>N/A</t>
        </is>
      </c>
      <c r="Z17" s="0" t="inlineStr">
        <is>
          <t>N/A</t>
        </is>
      </c>
      <c r="AA17" s="0" t="inlineStr">
        <is>
          <t>N/A</t>
        </is>
      </c>
    </row>
    <row r="18">
      <c r="A18" s="20" t="inlineStr">
        <is>
          <t>MOR-001-06</t>
        </is>
      </c>
      <c r="B18" s="20" t="inlineStr">
        <is>
          <t>Morpheus</t>
        </is>
      </c>
      <c r="C18" s="20" t="inlineStr">
        <is>
          <t>Headphones &amp; Earbuds</t>
        </is>
      </c>
      <c r="D18" s="20" t="inlineStr">
        <is>
          <t>Headphones</t>
        </is>
      </c>
      <c r="E18" s="21" t="inlineStr">
        <is>
          <t>Morpheus Pulse X Bone Conduction Headphones</t>
        </is>
      </c>
      <c r="F18" s="23" t="n">
        <v>195.99</v>
      </c>
      <c r="G18" s="20" t="inlineStr">
        <is>
          <t>the Pulse X; Morpheus Pulse X; Morrpheus Pulse X; Pulse X headphones</t>
        </is>
      </c>
      <c r="H18" s="20" t="inlineStr">
        <is>
          <t>1 year limited</t>
        </is>
      </c>
      <c r="I18" s="20" t="inlineStr">
        <is>
          <t>FCC, CE, Bluetooth SIG Qualified, IP67</t>
        </is>
      </c>
      <c r="J18" s="20" t="inlineStr">
        <is>
          <t>N/A</t>
        </is>
      </c>
      <c r="K18" s="20" t="inlineStr">
        <is>
          <t>N/A</t>
        </is>
      </c>
      <c r="L18" s="20" t="inlineStr">
        <is>
          <t>N/A</t>
        </is>
      </c>
      <c r="M18" s="20" t="inlineStr">
        <is>
          <t>N/A</t>
        </is>
      </c>
      <c r="N18" s="20" t="inlineStr">
        <is>
          <t>Magnetic USB charging</t>
        </is>
      </c>
      <c r="O18" s="20" t="inlineStr">
        <is>
          <t>N/A</t>
        </is>
      </c>
      <c r="P18" s="20" t="n">
        <v>10</v>
      </c>
      <c r="Q18" s="24" t="n">
        <v>34</v>
      </c>
      <c r="R18" s="20" t="inlineStr">
        <is>
          <t>Longer battery than Tartarus Volt Max Bone Conduction Headphones [TAR-017-03] (10 vs 7 hrs); Lighter than Deimos Crest Bone Conduction Headphones [DEI-005-03] (34 g vs 35 g)</t>
        </is>
      </c>
      <c r="S18" s="20" t="inlineStr">
        <is>
          <t>running, cycling, outdoor</t>
        </is>
      </c>
      <c r="T18" s="0" t="inlineStr">
        <is>
          <t>in_stock</t>
        </is>
      </c>
      <c r="U18" s="0" t="n">
        <v>60</v>
      </c>
      <c r="V18" s="52" t="n">
        <v>224.99</v>
      </c>
      <c r="W18" s="0" t="inlineStr">
        <is>
          <t>2026-08-27</t>
        </is>
      </c>
      <c r="X18" s="0" t="inlineStr">
        <is>
          <t>N/A</t>
        </is>
      </c>
      <c r="Y18" s="0" t="inlineStr">
        <is>
          <t>N/A</t>
        </is>
      </c>
      <c r="Z18" s="0" t="inlineStr">
        <is>
          <t>N/A</t>
        </is>
      </c>
      <c r="AA18" s="0" t="inlineStr">
        <is>
          <t>N/A</t>
        </is>
      </c>
    </row>
    <row r="19">
      <c r="A19" s="20" t="inlineStr">
        <is>
          <t>MOR-001-07</t>
        </is>
      </c>
      <c r="B19" s="20" t="inlineStr">
        <is>
          <t>Morpheus</t>
        </is>
      </c>
      <c r="C19" s="20" t="inlineStr">
        <is>
          <t>Headphones &amp; Earbuds</t>
        </is>
      </c>
      <c r="D19" s="20" t="inlineStr">
        <is>
          <t>Headphones</t>
        </is>
      </c>
      <c r="E19" s="21" t="inlineStr">
        <is>
          <t>Morpheus Rift Plus ANC Over-Ear Headphones</t>
        </is>
      </c>
      <c r="F19" s="23" t="n">
        <v>205.99</v>
      </c>
      <c r="G19" s="20" t="inlineStr">
        <is>
          <t>the Rift Plus; Morpheus Rift Plus; Morphues Rift Plus; Rift Plus headphones</t>
        </is>
      </c>
      <c r="H19" s="20" t="inlineStr">
        <is>
          <t>1 year limited</t>
        </is>
      </c>
      <c r="I19" s="20" t="inlineStr">
        <is>
          <t>FCC, CE, Bluetooth SIG Qualified</t>
        </is>
      </c>
      <c r="J19" s="20" t="inlineStr">
        <is>
          <t>N/A</t>
        </is>
      </c>
      <c r="K19" s="20" t="inlineStr">
        <is>
          <t>N/A</t>
        </is>
      </c>
      <c r="L19" s="20" t="inlineStr">
        <is>
          <t>N/A</t>
        </is>
      </c>
      <c r="M19" s="20" t="inlineStr">
        <is>
          <t>N/A</t>
        </is>
      </c>
      <c r="N19" s="20" t="inlineStr">
        <is>
          <t>USB-C charging and audio, 3.5mm</t>
        </is>
      </c>
      <c r="O19" s="20" t="inlineStr">
        <is>
          <t>N/A</t>
        </is>
      </c>
      <c r="P19" s="20" t="n">
        <v>56</v>
      </c>
      <c r="Q19" s="24" t="n">
        <v>259</v>
      </c>
      <c r="R19" s="20" t="inlineStr">
        <is>
          <t>Longer battery than Asclepius Rift Max ANC Over-Ear Headphones [ASC-024-10] (56 vs 36 hrs); Lighter than Nereus Crest X ANC Over-Ear Headphones [NER-020-09] (259 g vs 274 g)</t>
        </is>
      </c>
      <c r="S19" s="20" t="inlineStr">
        <is>
          <t>travel, commute, office</t>
        </is>
      </c>
      <c r="T19" s="0" t="inlineStr">
        <is>
          <t>in_stock</t>
        </is>
      </c>
      <c r="U19" s="0" t="n">
        <v>60</v>
      </c>
      <c r="V19" s="52" t="n">
        <v>229.99</v>
      </c>
      <c r="W19" s="0" t="inlineStr">
        <is>
          <t>2026-08-29</t>
        </is>
      </c>
      <c r="X19" s="0" t="inlineStr">
        <is>
          <t>N/A</t>
        </is>
      </c>
      <c r="Y19" s="0" t="inlineStr">
        <is>
          <t>N/A</t>
        </is>
      </c>
      <c r="Z19" s="0" t="inlineStr">
        <is>
          <t>N/A</t>
        </is>
      </c>
      <c r="AA19" s="0" t="inlineStr">
        <is>
          <t>N/A</t>
        </is>
      </c>
    </row>
    <row r="20">
      <c r="A20" s="20" t="inlineStr">
        <is>
          <t>MOR-001-08</t>
        </is>
      </c>
      <c r="B20" s="20" t="inlineStr">
        <is>
          <t>Morpheus</t>
        </is>
      </c>
      <c r="C20" s="20" t="inlineStr">
        <is>
          <t>Headphones &amp; Earbuds</t>
        </is>
      </c>
      <c r="D20" s="20" t="inlineStr">
        <is>
          <t>Earbuds</t>
        </is>
      </c>
      <c r="E20" s="21" t="inlineStr">
        <is>
          <t>Morpheus Vibe Lite True Wireless Earbuds</t>
        </is>
      </c>
      <c r="F20" s="23" t="n">
        <v>244.99</v>
      </c>
      <c r="G20" s="20" t="inlineStr">
        <is>
          <t>the Vibe Lite; Morpheus Vibe Lite; Morppheus Vibe Lite; Vibe Lite earbuds</t>
        </is>
      </c>
      <c r="H20" s="20" t="inlineStr">
        <is>
          <t>1 year limited</t>
        </is>
      </c>
      <c r="I20" s="20" t="inlineStr">
        <is>
          <t>FCC, CE, Bluetooth SIG Qualified, IPX4</t>
        </is>
      </c>
      <c r="J20" s="20" t="inlineStr">
        <is>
          <t>N/A</t>
        </is>
      </c>
      <c r="K20" s="20" t="inlineStr">
        <is>
          <t>N/A</t>
        </is>
      </c>
      <c r="L20" s="20" t="inlineStr">
        <is>
          <t>N/A</t>
        </is>
      </c>
      <c r="M20" s="20" t="inlineStr">
        <is>
          <t>N/A</t>
        </is>
      </c>
      <c r="N20" s="20" t="inlineStr">
        <is>
          <t>USB-C charging case</t>
        </is>
      </c>
      <c r="O20" s="20" t="inlineStr">
        <is>
          <t>N/A</t>
        </is>
      </c>
      <c r="P20" s="20" t="n">
        <v>8</v>
      </c>
      <c r="Q20" s="24" t="n">
        <v>4</v>
      </c>
      <c r="R20" s="20" t="inlineStr">
        <is>
          <t>Lighter than Menoetius Pulse Pro True Wireless Earbuds [MEN-008-02] (4 g vs 5 g); Lower price than Aura Halo Ultra True Wireless Earbuds [AUR-015-08] ($244.99 vs $290.99)</t>
        </is>
      </c>
      <c r="S20" s="20" t="inlineStr">
        <is>
          <t>commute, everyday, travel</t>
        </is>
      </c>
      <c r="T20" s="0" t="inlineStr">
        <is>
          <t>in_stock</t>
        </is>
      </c>
      <c r="U20" s="0" t="n">
        <v>60</v>
      </c>
      <c r="V20" s="52" t="n">
        <v>258.99</v>
      </c>
      <c r="W20" s="0" t="inlineStr">
        <is>
          <t>2026-08-19</t>
        </is>
      </c>
      <c r="X20" s="0" t="inlineStr">
        <is>
          <t>N/A</t>
        </is>
      </c>
      <c r="Y20" s="0" t="inlineStr">
        <is>
          <t>N/A</t>
        </is>
      </c>
      <c r="Z20" s="0" t="inlineStr">
        <is>
          <t>N/A</t>
        </is>
      </c>
      <c r="AA20" s="0" t="inlineStr">
        <is>
          <t>N/A</t>
        </is>
      </c>
    </row>
    <row r="21" ht="15.75" customHeight="1" s="51">
      <c r="A21" s="20" t="inlineStr">
        <is>
          <t>MOR-001-09</t>
        </is>
      </c>
      <c r="B21" s="20" t="inlineStr">
        <is>
          <t>Morpheus</t>
        </is>
      </c>
      <c r="C21" s="20" t="inlineStr">
        <is>
          <t>Headphones &amp; Earbuds</t>
        </is>
      </c>
      <c r="D21" s="20" t="inlineStr">
        <is>
          <t>Headphones</t>
        </is>
      </c>
      <c r="E21" s="21" t="inlineStr">
        <is>
          <t>Morpheus Onyx Air Studio Monitor Headphones</t>
        </is>
      </c>
      <c r="F21" s="23" t="n">
        <v>374.99</v>
      </c>
      <c r="G21" s="20" t="inlineStr">
        <is>
          <t>the Onyx Air; Morpheus Onyx Air; Morppheus Onyx Air; Onyx Air headphones</t>
        </is>
      </c>
      <c r="H21" s="20" t="inlineStr">
        <is>
          <t>1 year limited</t>
        </is>
      </c>
      <c r="I21" s="20" t="inlineStr">
        <is>
          <t>CE, RoHS, Hi-Res Audio</t>
        </is>
      </c>
      <c r="J21" s="20" t="inlineStr">
        <is>
          <t>N/A</t>
        </is>
      </c>
      <c r="K21" s="20" t="inlineStr">
        <is>
          <t>N/A</t>
        </is>
      </c>
      <c r="L21" s="20" t="inlineStr">
        <is>
          <t>N/A</t>
        </is>
      </c>
      <c r="M21" s="20" t="inlineStr">
        <is>
          <t>N/A</t>
        </is>
      </c>
      <c r="N21" s="20" t="inlineStr">
        <is>
          <t>Detachable cable: 3.5mm with 6.35mm adapter</t>
        </is>
      </c>
      <c r="O21" s="20" t="inlineStr">
        <is>
          <t>N/A</t>
        </is>
      </c>
      <c r="P21" s="20" t="inlineStr">
        <is>
          <t>N/A</t>
        </is>
      </c>
      <c r="Q21" s="24" t="n">
        <v>375</v>
      </c>
      <c r="R21" s="20" t="inlineStr">
        <is>
          <t>Lower price than Aura Drift Studio Monitor Headphones [AUR-015-10] ($374.99 vs $497.99)</t>
        </is>
      </c>
      <c r="S21" s="20" t="inlineStr">
        <is>
          <t>music production, studio, podcasting</t>
        </is>
      </c>
      <c r="T21" s="0" t="inlineStr">
        <is>
          <t>in_stock</t>
        </is>
      </c>
      <c r="U21" s="0" t="n">
        <v>60</v>
      </c>
      <c r="V21" s="52" t="n">
        <v>430.99</v>
      </c>
      <c r="W21" s="0" t="inlineStr">
        <is>
          <t>2026-09-13</t>
        </is>
      </c>
      <c r="X21" s="0" t="inlineStr">
        <is>
          <t>N/A</t>
        </is>
      </c>
      <c r="Y21" s="0" t="inlineStr">
        <is>
          <t>N/A</t>
        </is>
      </c>
      <c r="Z21" s="0" t="inlineStr">
        <is>
          <t>N/A</t>
        </is>
      </c>
      <c r="AA21" s="0" t="inlineStr">
        <is>
          <t>N/A</t>
        </is>
      </c>
    </row>
    <row r="22" ht="15.75" customHeight="1" s="51">
      <c r="A22" s="20" t="inlineStr">
        <is>
          <t>MOR-001-10</t>
        </is>
      </c>
      <c r="B22" s="20" t="inlineStr">
        <is>
          <t>Morpheus</t>
        </is>
      </c>
      <c r="C22" s="20" t="inlineStr">
        <is>
          <t>Headphones &amp; Earbuds</t>
        </is>
      </c>
      <c r="D22" s="20" t="inlineStr">
        <is>
          <t>Headphones</t>
        </is>
      </c>
      <c r="E22" s="21" t="inlineStr">
        <is>
          <t>Morpheus Onyx Lite Audiophile Planar Headphones</t>
        </is>
      </c>
      <c r="F22" s="23" t="n">
        <v>1063.99</v>
      </c>
      <c r="G22" s="20" t="inlineStr">
        <is>
          <t>the Onyx Lite; Morpheus Onyx Lite; Morpehus Onyx Lite; Onyx Lite headphones</t>
        </is>
      </c>
      <c r="H22" s="20" t="inlineStr">
        <is>
          <t>1 year limited</t>
        </is>
      </c>
      <c r="I22" s="20" t="inlineStr">
        <is>
          <t>CE, RoHS, Hi-Res Audio</t>
        </is>
      </c>
      <c r="J22" s="20" t="inlineStr">
        <is>
          <t>N/A</t>
        </is>
      </c>
      <c r="K22" s="20" t="inlineStr">
        <is>
          <t>N/A</t>
        </is>
      </c>
      <c r="L22" s="20" t="inlineStr">
        <is>
          <t>N/A</t>
        </is>
      </c>
      <c r="M22" s="20" t="inlineStr">
        <is>
          <t>N/A</t>
        </is>
      </c>
      <c r="N22" s="20" t="inlineStr">
        <is>
          <t>Detachable cable: 3.5mm, 6.35mm and 4.4mm balanced</t>
        </is>
      </c>
      <c r="O22" s="20" t="inlineStr">
        <is>
          <t>N/A</t>
        </is>
      </c>
      <c r="P22" s="20" t="inlineStr">
        <is>
          <t>N/A</t>
        </is>
      </c>
      <c r="Q22" s="24" t="n">
        <v>502</v>
      </c>
      <c r="R22" s="20" t="inlineStr">
        <is>
          <t>Lower price than Doris Vibe Pro Audiophile Planar Headphones [DOR-004-10] ($1,063.99 vs $1,294.99); Lighter than Himeros Aeon Audiophile Planar Headphones [HIM-003-10] (502 g vs 538 g)</t>
        </is>
      </c>
      <c r="S22" s="20" t="inlineStr">
        <is>
          <t>audiophile, home listening, studio</t>
        </is>
      </c>
      <c r="T22" s="0" t="inlineStr">
        <is>
          <t>in_stock</t>
        </is>
      </c>
      <c r="U22" s="0" t="n">
        <v>60</v>
      </c>
      <c r="V22" s="52" t="n">
        <v>1105.99</v>
      </c>
      <c r="W22" s="0" t="inlineStr">
        <is>
          <t>2026-08-26</t>
        </is>
      </c>
      <c r="X22" s="0" t="inlineStr">
        <is>
          <t>N/A</t>
        </is>
      </c>
      <c r="Y22" s="0" t="inlineStr">
        <is>
          <t>N/A</t>
        </is>
      </c>
      <c r="Z22" s="0" t="inlineStr">
        <is>
          <t>N/A</t>
        </is>
      </c>
      <c r="AA22" s="0" t="inlineStr">
        <is>
          <t>N/A</t>
        </is>
      </c>
    </row>
    <row r="23" ht="15.75" customHeight="1" s="51">
      <c r="A23" s="20" t="inlineStr">
        <is>
          <t>CAR-002-01</t>
        </is>
      </c>
      <c r="B23" s="20" t="inlineStr">
        <is>
          <t>Carpo</t>
        </is>
      </c>
      <c r="C23" s="20" t="inlineStr">
        <is>
          <t>Headphones &amp; Earbuds</t>
        </is>
      </c>
      <c r="D23" s="20" t="inlineStr">
        <is>
          <t>Headphones</t>
        </is>
      </c>
      <c r="E23" s="21" t="inlineStr">
        <is>
          <t>Carpo Apex Plus Kids Headphones</t>
        </is>
      </c>
      <c r="F23" s="23" t="n">
        <v>43.99</v>
      </c>
      <c r="G23" s="20" t="inlineStr">
        <is>
          <t>the Apex Plus; Carpo Apex Plus; Karpo Apex Plus; Apex Plus headphones</t>
        </is>
      </c>
      <c r="H23" s="20" t="inlineStr">
        <is>
          <t>1 year limited</t>
        </is>
      </c>
      <c r="I23" s="20" t="inlineStr">
        <is>
          <t>FCC, CE, Bluetooth SIG Qualified, EN 71 Toy Safety</t>
        </is>
      </c>
      <c r="J23" s="20" t="inlineStr">
        <is>
          <t>N/A</t>
        </is>
      </c>
      <c r="K23" s="20" t="inlineStr">
        <is>
          <t>N/A</t>
        </is>
      </c>
      <c r="L23" s="20" t="inlineStr">
        <is>
          <t>N/A</t>
        </is>
      </c>
      <c r="M23" s="20" t="inlineStr">
        <is>
          <t>N/A</t>
        </is>
      </c>
      <c r="N23" s="20" t="inlineStr">
        <is>
          <t>USB-C charging, 3.5mm (85 dB limited)</t>
        </is>
      </c>
      <c r="O23" s="20" t="inlineStr">
        <is>
          <t>N/A</t>
        </is>
      </c>
      <c r="P23" s="20" t="n">
        <v>21</v>
      </c>
      <c r="Q23" s="24" t="n">
        <v>155</v>
      </c>
      <c r="R23" s="20" t="inlineStr">
        <is>
          <t>Lighter than Asclepius Drift X Kids Headphones [ASC-024-01] (155 g vs 164 g); Lower price than Hebe Apex X Kids Headphones [HEB-011-02] ($43.99 vs $50.99)</t>
        </is>
      </c>
      <c r="S23" s="20" t="inlineStr">
        <is>
          <t>kids, school, travel</t>
        </is>
      </c>
      <c r="T23" s="0" t="inlineStr">
        <is>
          <t>in_stock</t>
        </is>
      </c>
      <c r="U23" s="0" t="n">
        <v>30</v>
      </c>
      <c r="V23" s="52" t="n">
        <v>48.99</v>
      </c>
      <c r="W23" s="0" t="inlineStr">
        <is>
          <t>2026-09-12</t>
        </is>
      </c>
      <c r="X23" s="0" t="inlineStr">
        <is>
          <t>N/A</t>
        </is>
      </c>
      <c r="Y23" s="0" t="inlineStr">
        <is>
          <t>N/A</t>
        </is>
      </c>
      <c r="Z23" s="0" t="inlineStr">
        <is>
          <t>N/A</t>
        </is>
      </c>
      <c r="AA23" s="0" t="inlineStr">
        <is>
          <t>N/A</t>
        </is>
      </c>
    </row>
    <row r="24" ht="15.75" customHeight="1" s="51">
      <c r="A24" s="20" t="inlineStr">
        <is>
          <t>CAR-002-02</t>
        </is>
      </c>
      <c r="B24" s="20" t="inlineStr">
        <is>
          <t>Carpo</t>
        </is>
      </c>
      <c r="C24" s="20" t="inlineStr">
        <is>
          <t>Headphones &amp; Earbuds</t>
        </is>
      </c>
      <c r="D24" s="20" t="inlineStr">
        <is>
          <t>Headphones</t>
        </is>
      </c>
      <c r="E24" s="21" t="inlineStr">
        <is>
          <t>Carpo Nova On-Ear Headphones</t>
        </is>
      </c>
      <c r="F24" s="23" t="n">
        <v>59.99</v>
      </c>
      <c r="G24" s="20" t="inlineStr">
        <is>
          <t>the Nova; Carpo Nova; Karpo Nova; Nova headphones</t>
        </is>
      </c>
      <c r="H24" s="20" t="inlineStr">
        <is>
          <t>1 year limited</t>
        </is>
      </c>
      <c r="I24" s="20" t="inlineStr">
        <is>
          <t>FCC, CE, Bluetooth SIG Qualified</t>
        </is>
      </c>
      <c r="J24" s="20" t="inlineStr">
        <is>
          <t>N/A</t>
        </is>
      </c>
      <c r="K24" s="20" t="inlineStr">
        <is>
          <t>N/A</t>
        </is>
      </c>
      <c r="L24" s="20" t="inlineStr">
        <is>
          <t>N/A</t>
        </is>
      </c>
      <c r="M24" s="20" t="inlineStr">
        <is>
          <t>N/A</t>
        </is>
      </c>
      <c r="N24" s="20" t="inlineStr">
        <is>
          <t>USB-C charging, 3.5mm</t>
        </is>
      </c>
      <c r="O24" s="20" t="inlineStr">
        <is>
          <t>N/A</t>
        </is>
      </c>
      <c r="P24" s="20" t="n">
        <v>45</v>
      </c>
      <c r="Q24" s="24" t="n">
        <v>189</v>
      </c>
      <c r="R24" s="20" t="inlineStr">
        <is>
          <t>Longer battery than Tartarus Core X On-Ear Headphones [TAR-017-05] (45 vs 30 hrs); Lower price than Soteria Rift SE On-Ear Headphones [SOT-014-02] ($59.99 vs $64.99)</t>
        </is>
      </c>
      <c r="S24" s="20" t="inlineStr">
        <is>
          <t>everyday, commute, school</t>
        </is>
      </c>
      <c r="T24" s="0" t="inlineStr">
        <is>
          <t>in_stock</t>
        </is>
      </c>
      <c r="U24" s="0" t="n">
        <v>30</v>
      </c>
      <c r="V24" s="52" t="n">
        <v>65.98999999999999</v>
      </c>
      <c r="W24" s="0" t="inlineStr">
        <is>
          <t>2026-09-11</t>
        </is>
      </c>
      <c r="X24" s="0" t="inlineStr">
        <is>
          <t>N/A</t>
        </is>
      </c>
      <c r="Y24" s="0" t="inlineStr">
        <is>
          <t>N/A</t>
        </is>
      </c>
      <c r="Z24" s="0" t="inlineStr">
        <is>
          <t>N/A</t>
        </is>
      </c>
      <c r="AA24" s="0" t="inlineStr">
        <is>
          <t>N/A</t>
        </is>
      </c>
    </row>
    <row r="25" ht="15.75" customHeight="1" s="51">
      <c r="A25" s="20" t="inlineStr">
        <is>
          <t>CAR-002-03</t>
        </is>
      </c>
      <c r="B25" s="20" t="inlineStr">
        <is>
          <t>Carpo</t>
        </is>
      </c>
      <c r="C25" s="20" t="inlineStr">
        <is>
          <t>Headphones &amp; Earbuds</t>
        </is>
      </c>
      <c r="D25" s="20" t="inlineStr">
        <is>
          <t>Headphones</t>
        </is>
      </c>
      <c r="E25" s="21" t="inlineStr">
        <is>
          <t>Carpo Quanta Air Bone Conduction Headphones</t>
        </is>
      </c>
      <c r="F25" s="23" t="n">
        <v>134.99</v>
      </c>
      <c r="G25" s="20" t="inlineStr">
        <is>
          <t>the Quanta Air; Carpo Quanta Air; Karpo Quanta Air; Quanta Air headphones</t>
        </is>
      </c>
      <c r="H25" s="20" t="inlineStr">
        <is>
          <t>1 year limited</t>
        </is>
      </c>
      <c r="I25" s="20" t="inlineStr">
        <is>
          <t>FCC, CE, Bluetooth SIG Qualified, IP67</t>
        </is>
      </c>
      <c r="J25" s="20" t="inlineStr">
        <is>
          <t>N/A</t>
        </is>
      </c>
      <c r="K25" s="20" t="inlineStr">
        <is>
          <t>N/A</t>
        </is>
      </c>
      <c r="L25" s="20" t="inlineStr">
        <is>
          <t>N/A</t>
        </is>
      </c>
      <c r="M25" s="20" t="inlineStr">
        <is>
          <t>N/A</t>
        </is>
      </c>
      <c r="N25" s="20" t="inlineStr">
        <is>
          <t>Magnetic USB charging</t>
        </is>
      </c>
      <c r="O25" s="20" t="inlineStr">
        <is>
          <t>N/A</t>
        </is>
      </c>
      <c r="P25" s="20" t="n">
        <v>10</v>
      </c>
      <c r="Q25" s="24" t="n">
        <v>30</v>
      </c>
      <c r="R25" s="20" t="inlineStr">
        <is>
          <t>Longer battery than Ananke Orbit Plus Bone Conduction Headphones [ANA-023-03] (10 vs 6 hrs); Lower price than Hedone Aria Bone Conduction Headphones [HED-010-05] ($134.99 vs $148.99)</t>
        </is>
      </c>
      <c r="S25" s="20" t="inlineStr">
        <is>
          <t>running, cycling, outdoor</t>
        </is>
      </c>
      <c r="T25" s="0" t="inlineStr">
        <is>
          <t>in_stock</t>
        </is>
      </c>
      <c r="U25" s="0" t="n">
        <v>30</v>
      </c>
      <c r="V25" s="52" t="n">
        <v>150.99</v>
      </c>
      <c r="W25" s="0" t="inlineStr">
        <is>
          <t>2026-08-26</t>
        </is>
      </c>
      <c r="X25" s="0" t="inlineStr">
        <is>
          <t>N/A</t>
        </is>
      </c>
      <c r="Y25" s="0" t="inlineStr">
        <is>
          <t>N/A</t>
        </is>
      </c>
      <c r="Z25" s="0" t="inlineStr">
        <is>
          <t>N/A</t>
        </is>
      </c>
      <c r="AA25" s="0" t="inlineStr">
        <is>
          <t>N/A</t>
        </is>
      </c>
    </row>
    <row r="26" ht="15.75" customHeight="1" s="51">
      <c r="A26" s="20" t="inlineStr">
        <is>
          <t>CAR-002-04</t>
        </is>
      </c>
      <c r="B26" s="20" t="inlineStr">
        <is>
          <t>Carpo</t>
        </is>
      </c>
      <c r="C26" s="20" t="inlineStr">
        <is>
          <t>Headphones &amp; Earbuds</t>
        </is>
      </c>
      <c r="D26" s="20" t="inlineStr">
        <is>
          <t>Earbuds</t>
        </is>
      </c>
      <c r="E26" s="21" t="inlineStr">
        <is>
          <t>Carpo Lumen Pro Open-Ear Earbuds</t>
        </is>
      </c>
      <c r="F26" s="23" t="n">
        <v>136.99</v>
      </c>
      <c r="G26" s="20" t="inlineStr">
        <is>
          <t>the Lumen Pro; Carpo Lumen Pro; Caarpo Lumen Pro; Lumen Pro earbuds</t>
        </is>
      </c>
      <c r="H26" s="20" t="inlineStr">
        <is>
          <t>1 year limited</t>
        </is>
      </c>
      <c r="I26" s="20" t="inlineStr">
        <is>
          <t>FCC, CE, Bluetooth SIG Qualified, IPX5</t>
        </is>
      </c>
      <c r="J26" s="20" t="inlineStr">
        <is>
          <t>N/A</t>
        </is>
      </c>
      <c r="K26" s="20" t="inlineStr">
        <is>
          <t>N/A</t>
        </is>
      </c>
      <c r="L26" s="20" t="inlineStr">
        <is>
          <t>N/A</t>
        </is>
      </c>
      <c r="M26" s="20" t="inlineStr">
        <is>
          <t>N/A</t>
        </is>
      </c>
      <c r="N26" s="20" t="inlineStr">
        <is>
          <t>USB-C charging case</t>
        </is>
      </c>
      <c r="O26" s="20" t="inlineStr">
        <is>
          <t>N/A</t>
        </is>
      </c>
      <c r="P26" s="20" t="n">
        <v>9</v>
      </c>
      <c r="Q26" s="24" t="n">
        <v>11</v>
      </c>
      <c r="R26" s="20" t="inlineStr">
        <is>
          <t>Lower price than Nereus Aeon Ultra Open-Ear Earbuds [NER-020-06] ($136.99 vs $175.99); Lighter than Aura Drift Open-Ear Earbuds [AUR-015-04] (11 g vs 12 g)</t>
        </is>
      </c>
      <c r="S26" s="20" t="inlineStr">
        <is>
          <t>running, outdoor, office</t>
        </is>
      </c>
      <c r="T26" s="0" t="inlineStr">
        <is>
          <t>low_stock</t>
        </is>
      </c>
      <c r="U26" s="0" t="n">
        <v>30</v>
      </c>
      <c r="V26" s="52" t="n">
        <v>143.99</v>
      </c>
      <c r="W26" s="0" t="inlineStr">
        <is>
          <t>2026-09-12</t>
        </is>
      </c>
      <c r="X26" s="0" t="inlineStr">
        <is>
          <t>N/A</t>
        </is>
      </c>
      <c r="Y26" s="0" t="inlineStr">
        <is>
          <t>N/A</t>
        </is>
      </c>
      <c r="Z26" s="0" t="inlineStr">
        <is>
          <t>N/A</t>
        </is>
      </c>
      <c r="AA26" s="0" t="inlineStr">
        <is>
          <t>N/A</t>
        </is>
      </c>
    </row>
    <row r="27" ht="15.75" customHeight="1" s="51">
      <c r="A27" s="20" t="inlineStr">
        <is>
          <t>CAR-002-05</t>
        </is>
      </c>
      <c r="B27" s="20" t="inlineStr">
        <is>
          <t>Carpo</t>
        </is>
      </c>
      <c r="C27" s="20" t="inlineStr">
        <is>
          <t>Headphones &amp; Earbuds</t>
        </is>
      </c>
      <c r="D27" s="20" t="inlineStr">
        <is>
          <t>Earbuds</t>
        </is>
      </c>
      <c r="E27" s="21" t="inlineStr">
        <is>
          <t>Carpo Flux Pro Sport Earbuds</t>
        </is>
      </c>
      <c r="F27" s="23" t="n">
        <v>153.99</v>
      </c>
      <c r="G27" s="20" t="inlineStr">
        <is>
          <t>the Flux Pro; Carpo Flux Pro; Carpoo Flux Pro; Flux Pro earbuds</t>
        </is>
      </c>
      <c r="H27" s="20" t="inlineStr">
        <is>
          <t>1 year limited</t>
        </is>
      </c>
      <c r="I27" s="20" t="inlineStr">
        <is>
          <t>FCC, CE, Bluetooth SIG Qualified, IPX5</t>
        </is>
      </c>
      <c r="J27" s="20" t="inlineStr">
        <is>
          <t>N/A</t>
        </is>
      </c>
      <c r="K27" s="20" t="inlineStr">
        <is>
          <t>N/A</t>
        </is>
      </c>
      <c r="L27" s="20" t="inlineStr">
        <is>
          <t>N/A</t>
        </is>
      </c>
      <c r="M27" s="20" t="inlineStr">
        <is>
          <t>N/A</t>
        </is>
      </c>
      <c r="N27" s="20" t="inlineStr">
        <is>
          <t>USB-C charging case</t>
        </is>
      </c>
      <c r="O27" s="20" t="inlineStr">
        <is>
          <t>N/A</t>
        </is>
      </c>
      <c r="P27" s="20" t="n">
        <v>7</v>
      </c>
      <c r="Q27" s="24" t="n">
        <v>9</v>
      </c>
      <c r="R27" s="20" t="inlineStr">
        <is>
          <t>Lower price than Chaos Flux SE Sport Earbuds [CHA-016-05] ($153.99 vs $163.99); Longer battery than Achelous Core Max Sport Earbuds [ACH-018-04] (7 vs 6 hrs)</t>
        </is>
      </c>
      <c r="S27" s="20" t="inlineStr">
        <is>
          <t>gym, running, sport</t>
        </is>
      </c>
      <c r="T27" s="0" t="inlineStr">
        <is>
          <t>in_stock</t>
        </is>
      </c>
      <c r="U27" s="0" t="n">
        <v>30</v>
      </c>
      <c r="V27" s="52" t="n">
        <v>166.99</v>
      </c>
      <c r="W27" s="0" t="inlineStr">
        <is>
          <t>2026-09-14</t>
        </is>
      </c>
      <c r="X27" s="0" t="inlineStr">
        <is>
          <t>N/A</t>
        </is>
      </c>
      <c r="Y27" s="0" t="inlineStr">
        <is>
          <t>N/A</t>
        </is>
      </c>
      <c r="Z27" s="0" t="inlineStr">
        <is>
          <t>N/A</t>
        </is>
      </c>
      <c r="AA27" s="0" t="inlineStr">
        <is>
          <t>N/A</t>
        </is>
      </c>
    </row>
    <row r="28" ht="15.75" customHeight="1" s="51">
      <c r="A28" s="20" t="inlineStr">
        <is>
          <t>CAR-002-06</t>
        </is>
      </c>
      <c r="B28" s="20" t="inlineStr">
        <is>
          <t>Carpo</t>
        </is>
      </c>
      <c r="C28" s="20" t="inlineStr">
        <is>
          <t>Headphones &amp; Earbuds</t>
        </is>
      </c>
      <c r="D28" s="20" t="inlineStr">
        <is>
          <t>Earbuds</t>
        </is>
      </c>
      <c r="E28" s="21" t="inlineStr">
        <is>
          <t>Carpo Nova Air Wired In-Ear Monitors</t>
        </is>
      </c>
      <c r="F28" s="23" t="n">
        <v>183.99</v>
      </c>
      <c r="G28" s="20" t="inlineStr">
        <is>
          <t>the Nova Air; Carpo Nova Air; Karpo Nova Air; Nova Air earbuds</t>
        </is>
      </c>
      <c r="H28" s="20" t="inlineStr">
        <is>
          <t>1 year limited</t>
        </is>
      </c>
      <c r="I28" s="20" t="inlineStr">
        <is>
          <t>CE, RoHS, Hi-Res Audio</t>
        </is>
      </c>
      <c r="J28" s="20" t="inlineStr">
        <is>
          <t>N/A</t>
        </is>
      </c>
      <c r="K28" s="20" t="inlineStr">
        <is>
          <t>N/A</t>
        </is>
      </c>
      <c r="L28" s="20" t="inlineStr">
        <is>
          <t>N/A</t>
        </is>
      </c>
      <c r="M28" s="20" t="inlineStr">
        <is>
          <t>N/A</t>
        </is>
      </c>
      <c r="N28" s="20" t="inlineStr">
        <is>
          <t>Detachable 2-pin cable: 3.5mm</t>
        </is>
      </c>
      <c r="O28" s="20" t="inlineStr">
        <is>
          <t>N/A</t>
        </is>
      </c>
      <c r="P28" s="20" t="inlineStr">
        <is>
          <t>N/A</t>
        </is>
      </c>
      <c r="Q28" s="24" t="n">
        <v>40</v>
      </c>
      <c r="R28" s="20" t="inlineStr">
        <is>
          <t>Lower price than Phosphorus Volt Plus Wired In-Ear Monitors [PHO-009-08] ($183.99 vs $236.99)</t>
        </is>
      </c>
      <c r="S28" s="20" t="inlineStr">
        <is>
          <t>audiophile, stage monitoring, music</t>
        </is>
      </c>
      <c r="T28" s="0" t="inlineStr">
        <is>
          <t>in_stock</t>
        </is>
      </c>
      <c r="U28" s="0" t="n">
        <v>30</v>
      </c>
      <c r="V28" s="52" t="n">
        <v>200.99</v>
      </c>
      <c r="W28" s="0" t="inlineStr">
        <is>
          <t>2026-08-16</t>
        </is>
      </c>
      <c r="X28" s="0" t="inlineStr">
        <is>
          <t>N/A</t>
        </is>
      </c>
      <c r="Y28" s="0" t="inlineStr">
        <is>
          <t>N/A</t>
        </is>
      </c>
      <c r="Z28" s="0" t="inlineStr">
        <is>
          <t>N/A</t>
        </is>
      </c>
      <c r="AA28" s="0" t="inlineStr">
        <is>
          <t>N/A</t>
        </is>
      </c>
    </row>
    <row r="29" ht="15.75" customHeight="1" s="51">
      <c r="A29" s="20" t="inlineStr">
        <is>
          <t>CAR-002-07</t>
        </is>
      </c>
      <c r="B29" s="20" t="inlineStr">
        <is>
          <t>Carpo</t>
        </is>
      </c>
      <c r="C29" s="20" t="inlineStr">
        <is>
          <t>Headphones &amp; Earbuds</t>
        </is>
      </c>
      <c r="D29" s="20" t="inlineStr">
        <is>
          <t>Headphones</t>
        </is>
      </c>
      <c r="E29" s="21" t="inlineStr">
        <is>
          <t>Carpo Nova Plus Studio Monitor Headphones</t>
        </is>
      </c>
      <c r="F29" s="23" t="n">
        <v>213.99</v>
      </c>
      <c r="G29" s="20" t="inlineStr">
        <is>
          <t>the Nova Plus; Carpo Nova Plus; Carrpo Nova Plus; Nova Plus headphones</t>
        </is>
      </c>
      <c r="H29" s="20" t="inlineStr">
        <is>
          <t>1 year limited</t>
        </is>
      </c>
      <c r="I29" s="20" t="inlineStr">
        <is>
          <t>CE, RoHS, Hi-Res Audio</t>
        </is>
      </c>
      <c r="J29" s="20" t="inlineStr">
        <is>
          <t>N/A</t>
        </is>
      </c>
      <c r="K29" s="20" t="inlineStr">
        <is>
          <t>N/A</t>
        </is>
      </c>
      <c r="L29" s="20" t="inlineStr">
        <is>
          <t>N/A</t>
        </is>
      </c>
      <c r="M29" s="20" t="inlineStr">
        <is>
          <t>N/A</t>
        </is>
      </c>
      <c r="N29" s="20" t="inlineStr">
        <is>
          <t>Detachable cable: 3.5mm with 6.35mm adapter</t>
        </is>
      </c>
      <c r="O29" s="20" t="inlineStr">
        <is>
          <t>N/A</t>
        </is>
      </c>
      <c r="P29" s="20" t="inlineStr">
        <is>
          <t>N/A</t>
        </is>
      </c>
      <c r="Q29" s="24" t="n">
        <v>361</v>
      </c>
      <c r="R29" s="20" t="inlineStr">
        <is>
          <t>Lower price than Hedone Sable X Studio Monitor Headphones [HED-010-08] ($213.99 vs $318.99); Lighter than Morpheus Onyx Air Studio Monitor Headphones [MOR-001-09] (361 g vs 375 g)</t>
        </is>
      </c>
      <c r="S29" s="20" t="inlineStr">
        <is>
          <t>music production, studio, podcasting</t>
        </is>
      </c>
      <c r="T29" s="0" t="inlineStr">
        <is>
          <t>in_stock</t>
        </is>
      </c>
      <c r="U29" s="0" t="n">
        <v>30</v>
      </c>
      <c r="V29" s="52" t="n">
        <v>225.99</v>
      </c>
      <c r="W29" s="0" t="inlineStr">
        <is>
          <t>2026-09-18</t>
        </is>
      </c>
      <c r="X29" s="0" t="inlineStr">
        <is>
          <t>N/A</t>
        </is>
      </c>
      <c r="Y29" s="0" t="inlineStr">
        <is>
          <t>N/A</t>
        </is>
      </c>
      <c r="Z29" s="0" t="inlineStr">
        <is>
          <t>N/A</t>
        </is>
      </c>
      <c r="AA29" s="0" t="inlineStr">
        <is>
          <t>N/A</t>
        </is>
      </c>
    </row>
    <row r="30" ht="15.75" customHeight="1" s="51">
      <c r="A30" s="20" t="inlineStr">
        <is>
          <t>CAR-002-08</t>
        </is>
      </c>
      <c r="B30" s="20" t="inlineStr">
        <is>
          <t>Carpo</t>
        </is>
      </c>
      <c r="C30" s="20" t="inlineStr">
        <is>
          <t>Headphones &amp; Earbuds</t>
        </is>
      </c>
      <c r="D30" s="20" t="inlineStr">
        <is>
          <t>Headphones</t>
        </is>
      </c>
      <c r="E30" s="21" t="inlineStr">
        <is>
          <t>Carpo Nova ANC Over-Ear Headphones</t>
        </is>
      </c>
      <c r="F30" s="23" t="n">
        <v>265.99</v>
      </c>
      <c r="G30" s="20" t="inlineStr">
        <is>
          <t>the Nova; Carpo Nova; Carp Nova; Nova headphones</t>
        </is>
      </c>
      <c r="H30" s="20" t="inlineStr">
        <is>
          <t>1 year limited</t>
        </is>
      </c>
      <c r="I30" s="20" t="inlineStr">
        <is>
          <t>FCC, CE, Bluetooth SIG Qualified</t>
        </is>
      </c>
      <c r="J30" s="20" t="inlineStr">
        <is>
          <t>N/A</t>
        </is>
      </c>
      <c r="K30" s="20" t="inlineStr">
        <is>
          <t>N/A</t>
        </is>
      </c>
      <c r="L30" s="20" t="inlineStr">
        <is>
          <t>N/A</t>
        </is>
      </c>
      <c r="M30" s="20" t="inlineStr">
        <is>
          <t>N/A</t>
        </is>
      </c>
      <c r="N30" s="20" t="inlineStr">
        <is>
          <t>USB-C charging and audio, 3.5mm</t>
        </is>
      </c>
      <c r="O30" s="20" t="inlineStr">
        <is>
          <t>N/A</t>
        </is>
      </c>
      <c r="P30" s="20" t="n">
        <v>26</v>
      </c>
      <c r="Q30" s="24" t="n">
        <v>276</v>
      </c>
      <c r="R30" s="20" t="inlineStr">
        <is>
          <t>Lighter than Tethys Quanta Plus ANC Over-Ear Headphones [TET-007-07] (276 g vs 278 g); Longer battery than Ananke Zen Max ANC Over-Ear Headphones [ANA-023-07] (26 vs 20 hrs)</t>
        </is>
      </c>
      <c r="S30" s="20" t="inlineStr">
        <is>
          <t>travel, commute, office</t>
        </is>
      </c>
      <c r="T30" s="0" t="inlineStr">
        <is>
          <t>low_stock</t>
        </is>
      </c>
      <c r="U30" s="0" t="n">
        <v>30</v>
      </c>
      <c r="V30" s="52" t="n">
        <v>284.99</v>
      </c>
      <c r="W30" s="0" t="inlineStr">
        <is>
          <t>2026-08-31</t>
        </is>
      </c>
      <c r="X30" s="0" t="inlineStr">
        <is>
          <t>N/A</t>
        </is>
      </c>
      <c r="Y30" s="0" t="inlineStr">
        <is>
          <t>N/A</t>
        </is>
      </c>
      <c r="Z30" s="0" t="inlineStr">
        <is>
          <t>N/A</t>
        </is>
      </c>
      <c r="AA30" s="0" t="inlineStr">
        <is>
          <t>N/A</t>
        </is>
      </c>
    </row>
    <row r="31" ht="15.75" customHeight="1" s="51">
      <c r="A31" s="20" t="inlineStr">
        <is>
          <t>CAR-002-09</t>
        </is>
      </c>
      <c r="B31" s="20" t="inlineStr">
        <is>
          <t>Carpo</t>
        </is>
      </c>
      <c r="C31" s="20" t="inlineStr">
        <is>
          <t>Headphones &amp; Earbuds</t>
        </is>
      </c>
      <c r="D31" s="20" t="inlineStr">
        <is>
          <t>Earbuds</t>
        </is>
      </c>
      <c r="E31" s="21" t="inlineStr">
        <is>
          <t>Carpo Halo Max Sleep Earbuds</t>
        </is>
      </c>
      <c r="F31" s="23" t="n">
        <v>274.99</v>
      </c>
      <c r="G31" s="20" t="inlineStr">
        <is>
          <t>the Halo Max; Carpo Halo Max; Carrpo Halo Max; Halo Max earbuds</t>
        </is>
      </c>
      <c r="H31" s="20" t="inlineStr">
        <is>
          <t>1 year limited</t>
        </is>
      </c>
      <c r="I31" s="20" t="inlineStr">
        <is>
          <t>FCC, CE, Bluetooth SIG Qualified</t>
        </is>
      </c>
      <c r="J31" s="20" t="inlineStr">
        <is>
          <t>N/A</t>
        </is>
      </c>
      <c r="K31" s="20" t="inlineStr">
        <is>
          <t>N/A</t>
        </is>
      </c>
      <c r="L31" s="20" t="inlineStr">
        <is>
          <t>N/A</t>
        </is>
      </c>
      <c r="M31" s="20" t="inlineStr">
        <is>
          <t>N/A</t>
        </is>
      </c>
      <c r="N31" s="20" t="inlineStr">
        <is>
          <t>USB-C charging case</t>
        </is>
      </c>
      <c r="O31" s="20" t="inlineStr">
        <is>
          <t>N/A</t>
        </is>
      </c>
      <c r="P31" s="20" t="n">
        <v>11</v>
      </c>
      <c r="Q31" s="24" t="n">
        <v>2</v>
      </c>
      <c r="R31" s="20" t="inlineStr">
        <is>
          <t>Longer battery than Clio Blaze Plus Sleep Earbuds [CLI-022-07] (11 vs 8 hrs); Lighter than Ananke Strata Air Sleep Earbuds [ANA-023-08] (2 g vs 4 g)</t>
        </is>
      </c>
      <c r="S31" s="20" t="inlineStr">
        <is>
          <t>sleep, travel, relaxation</t>
        </is>
      </c>
      <c r="T31" s="0" t="inlineStr">
        <is>
          <t>in_stock</t>
        </is>
      </c>
      <c r="U31" s="0" t="n">
        <v>30</v>
      </c>
      <c r="V31" s="52" t="n">
        <v>287.99</v>
      </c>
      <c r="W31" s="0" t="inlineStr">
        <is>
          <t>2026-08-19</t>
        </is>
      </c>
      <c r="X31" s="0" t="inlineStr">
        <is>
          <t>N/A</t>
        </is>
      </c>
      <c r="Y31" s="0" t="inlineStr">
        <is>
          <t>N/A</t>
        </is>
      </c>
      <c r="Z31" s="0" t="inlineStr">
        <is>
          <t>N/A</t>
        </is>
      </c>
      <c r="AA31" s="0" t="inlineStr">
        <is>
          <t>N/A</t>
        </is>
      </c>
    </row>
    <row r="32" ht="15.75" customHeight="1" s="51">
      <c r="A32" s="20" t="inlineStr">
        <is>
          <t>CAR-002-10</t>
        </is>
      </c>
      <c r="B32" s="20" t="inlineStr">
        <is>
          <t>Carpo</t>
        </is>
      </c>
      <c r="C32" s="20" t="inlineStr">
        <is>
          <t>Headphones &amp; Earbuds</t>
        </is>
      </c>
      <c r="D32" s="20" t="inlineStr">
        <is>
          <t>Headphones</t>
        </is>
      </c>
      <c r="E32" s="21" t="inlineStr">
        <is>
          <t>Carpo Lumen Air Audiophile Planar Headphones</t>
        </is>
      </c>
      <c r="F32" s="23" t="n">
        <v>341.99</v>
      </c>
      <c r="G32" s="20" t="inlineStr">
        <is>
          <t>the Lumen Air; Carpo Lumen Air; Karpo Lumen Air; Lumen Air headphones</t>
        </is>
      </c>
      <c r="H32" s="20" t="inlineStr">
        <is>
          <t>1 year limited</t>
        </is>
      </c>
      <c r="I32" s="20" t="inlineStr">
        <is>
          <t>CE, RoHS, Hi-Res Audio</t>
        </is>
      </c>
      <c r="J32" s="20" t="inlineStr">
        <is>
          <t>N/A</t>
        </is>
      </c>
      <c r="K32" s="20" t="inlineStr">
        <is>
          <t>N/A</t>
        </is>
      </c>
      <c r="L32" s="20" t="inlineStr">
        <is>
          <t>N/A</t>
        </is>
      </c>
      <c r="M32" s="20" t="inlineStr">
        <is>
          <t>N/A</t>
        </is>
      </c>
      <c r="N32" s="20" t="inlineStr">
        <is>
          <t>Detachable cable: 3.5mm, 6.35mm and 4.4mm balanced</t>
        </is>
      </c>
      <c r="O32" s="20" t="inlineStr">
        <is>
          <t>N/A</t>
        </is>
      </c>
      <c r="P32" s="20" t="inlineStr">
        <is>
          <t>N/A</t>
        </is>
      </c>
      <c r="Q32" s="24" t="n">
        <v>429</v>
      </c>
      <c r="R32" s="20" t="inlineStr">
        <is>
          <t>Lighter than Doris Vibe Pro Audiophile Planar Headphones [DOR-004-10] (429 g vs 514 g); Lower price than Glaucus Onyx Air Audiophile Planar Headphones [GLA-012-10] ($341.99 vs $865.99)</t>
        </is>
      </c>
      <c r="S32" s="20" t="inlineStr">
        <is>
          <t>audiophile, home listening, studio</t>
        </is>
      </c>
      <c r="T32" s="0" t="inlineStr">
        <is>
          <t>in_stock</t>
        </is>
      </c>
      <c r="U32" s="0" t="n">
        <v>30</v>
      </c>
      <c r="V32" s="52" t="n">
        <v>392.99</v>
      </c>
      <c r="W32" s="0" t="inlineStr">
        <is>
          <t>2026-09-13</t>
        </is>
      </c>
      <c r="X32" s="0" t="inlineStr">
        <is>
          <t>N/A</t>
        </is>
      </c>
      <c r="Y32" s="0" t="inlineStr">
        <is>
          <t>N/A</t>
        </is>
      </c>
      <c r="Z32" s="0" t="inlineStr">
        <is>
          <t>N/A</t>
        </is>
      </c>
      <c r="AA32" s="0" t="inlineStr">
        <is>
          <t>N/A</t>
        </is>
      </c>
    </row>
    <row r="33" ht="15.75" customHeight="1" s="51">
      <c r="A33" s="20" t="inlineStr">
        <is>
          <t>HIM-003-01</t>
        </is>
      </c>
      <c r="B33" s="20" t="inlineStr">
        <is>
          <t>Himeros</t>
        </is>
      </c>
      <c r="C33" s="20" t="inlineStr">
        <is>
          <t>Headphones &amp; Earbuds</t>
        </is>
      </c>
      <c r="D33" s="20" t="inlineStr">
        <is>
          <t>Headphones</t>
        </is>
      </c>
      <c r="E33" s="21" t="inlineStr">
        <is>
          <t>Himeros Volt SE Kids Headphones</t>
        </is>
      </c>
      <c r="F33" s="23" t="n">
        <v>45.99</v>
      </c>
      <c r="G33" s="20" t="inlineStr">
        <is>
          <t>the Volt SE; Himeros Volt SE; Himreos Volt SE; Volt SE headphones</t>
        </is>
      </c>
      <c r="H33" s="20" t="inlineStr">
        <is>
          <t>1 year limited</t>
        </is>
      </c>
      <c r="I33" s="20" t="inlineStr">
        <is>
          <t>FCC, CE, Bluetooth SIG Qualified, EN 71 Toy Safety</t>
        </is>
      </c>
      <c r="J33" s="20" t="inlineStr">
        <is>
          <t>N/A</t>
        </is>
      </c>
      <c r="K33" s="20" t="inlineStr">
        <is>
          <t>N/A</t>
        </is>
      </c>
      <c r="L33" s="20" t="inlineStr">
        <is>
          <t>N/A</t>
        </is>
      </c>
      <c r="M33" s="20" t="inlineStr">
        <is>
          <t>N/A</t>
        </is>
      </c>
      <c r="N33" s="20" t="inlineStr">
        <is>
          <t>USB-C charging, 3.5mm (85 dB limited)</t>
        </is>
      </c>
      <c r="O33" s="20" t="inlineStr">
        <is>
          <t>N/A</t>
        </is>
      </c>
      <c r="P33" s="20" t="n">
        <v>22</v>
      </c>
      <c r="Q33" s="24" t="n">
        <v>110</v>
      </c>
      <c r="R33" s="20" t="inlineStr">
        <is>
          <t>Longer battery than Carpo Apex Plus Kids Headphones [CAR-002-01] (22 vs 21 hrs); Lower price than Euphrosyne Vibe Max Kids Headphones [EUP-019-01] ($45.99 vs $52.99)</t>
        </is>
      </c>
      <c r="S33" s="20" t="inlineStr">
        <is>
          <t>kids, school, travel</t>
        </is>
      </c>
      <c r="T33" s="0" t="inlineStr">
        <is>
          <t>in_stock</t>
        </is>
      </c>
      <c r="U33" s="0" t="n">
        <v>30</v>
      </c>
      <c r="V33" s="52" t="n">
        <v>50.99</v>
      </c>
      <c r="W33" s="0" t="inlineStr">
        <is>
          <t>2026-08-12</t>
        </is>
      </c>
      <c r="X33" s="0" t="inlineStr">
        <is>
          <t>N/A</t>
        </is>
      </c>
      <c r="Y33" s="0" t="inlineStr">
        <is>
          <t>N/A</t>
        </is>
      </c>
      <c r="Z33" s="0" t="inlineStr">
        <is>
          <t>N/A</t>
        </is>
      </c>
      <c r="AA33" s="0" t="inlineStr">
        <is>
          <t>N/A</t>
        </is>
      </c>
    </row>
    <row r="34" ht="15.75" customHeight="1" s="51">
      <c r="A34" s="20" t="inlineStr">
        <is>
          <t>HIM-003-02</t>
        </is>
      </c>
      <c r="B34" s="20" t="inlineStr">
        <is>
          <t>Himeros</t>
        </is>
      </c>
      <c r="C34" s="20" t="inlineStr">
        <is>
          <t>Headphones &amp; Earbuds</t>
        </is>
      </c>
      <c r="D34" s="20" t="inlineStr">
        <is>
          <t>Earbuds</t>
        </is>
      </c>
      <c r="E34" s="21" t="inlineStr">
        <is>
          <t>Himeros Echo SE Sport Earbuds</t>
        </is>
      </c>
      <c r="F34" s="23" t="n">
        <v>63.99</v>
      </c>
      <c r="G34" s="20" t="inlineStr">
        <is>
          <t>the Echo SE; Himeros Echo SE; Hmieros Echo SE; Echo SE earbuds</t>
        </is>
      </c>
      <c r="H34" s="20" t="inlineStr">
        <is>
          <t>1 year limited</t>
        </is>
      </c>
      <c r="I34" s="20" t="inlineStr">
        <is>
          <t>FCC, CE, Bluetooth SIG Qualified, IP55</t>
        </is>
      </c>
      <c r="J34" s="20" t="inlineStr">
        <is>
          <t>N/A</t>
        </is>
      </c>
      <c r="K34" s="20" t="inlineStr">
        <is>
          <t>N/A</t>
        </is>
      </c>
      <c r="L34" s="20" t="inlineStr">
        <is>
          <t>N/A</t>
        </is>
      </c>
      <c r="M34" s="20" t="inlineStr">
        <is>
          <t>N/A</t>
        </is>
      </c>
      <c r="N34" s="20" t="inlineStr">
        <is>
          <t>USB-C charging case</t>
        </is>
      </c>
      <c r="O34" s="20" t="inlineStr">
        <is>
          <t>N/A</t>
        </is>
      </c>
      <c r="P34" s="20" t="n">
        <v>7</v>
      </c>
      <c r="Q34" s="24" t="n">
        <v>5</v>
      </c>
      <c r="R34" s="20" t="inlineStr">
        <is>
          <t>Lower price than Hesperus Lumen Ultra Sport Earbuds [HES-025-05] ($63.99 vs $188.99); Lighter than Tethys Quanta Lite Sport Earbuds [TET-007-02] (5 g vs 6 g)</t>
        </is>
      </c>
      <c r="S34" s="20" t="inlineStr">
        <is>
          <t>gym, running, sport</t>
        </is>
      </c>
      <c r="T34" s="0" t="inlineStr">
        <is>
          <t>in_stock</t>
        </is>
      </c>
      <c r="U34" s="0" t="n">
        <v>30</v>
      </c>
      <c r="V34" s="52" t="n">
        <v>68.98999999999999</v>
      </c>
      <c r="W34" s="0" t="inlineStr">
        <is>
          <t>2026-08-04</t>
        </is>
      </c>
      <c r="X34" s="0" t="inlineStr">
        <is>
          <t>N/A</t>
        </is>
      </c>
      <c r="Y34" s="0" t="inlineStr">
        <is>
          <t>N/A</t>
        </is>
      </c>
      <c r="Z34" s="0" t="inlineStr">
        <is>
          <t>N/A</t>
        </is>
      </c>
      <c r="AA34" s="0" t="inlineStr">
        <is>
          <t>N/A</t>
        </is>
      </c>
    </row>
    <row r="35" ht="15.75" customHeight="1" s="51">
      <c r="A35" s="20" t="inlineStr">
        <is>
          <t>HIM-003-03</t>
        </is>
      </c>
      <c r="B35" s="20" t="inlineStr">
        <is>
          <t>Himeros</t>
        </is>
      </c>
      <c r="C35" s="20" t="inlineStr">
        <is>
          <t>Headphones &amp; Earbuds</t>
        </is>
      </c>
      <c r="D35" s="20" t="inlineStr">
        <is>
          <t>Headphones</t>
        </is>
      </c>
      <c r="E35" s="21" t="inlineStr">
        <is>
          <t>Himeros Wave Max Bone Conduction Headphones</t>
        </is>
      </c>
      <c r="F35" s="23" t="n">
        <v>132.99</v>
      </c>
      <c r="G35" s="20" t="inlineStr">
        <is>
          <t>the Wave Max; Himeros Wave Max; Himeeros Wave Max; Wave Max headphones</t>
        </is>
      </c>
      <c r="H35" s="20" t="inlineStr">
        <is>
          <t>1 year limited</t>
        </is>
      </c>
      <c r="I35" s="20" t="inlineStr">
        <is>
          <t>FCC, CE, Bluetooth SIG Qualified, IP67</t>
        </is>
      </c>
      <c r="J35" s="20" t="inlineStr">
        <is>
          <t>N/A</t>
        </is>
      </c>
      <c r="K35" s="20" t="inlineStr">
        <is>
          <t>N/A</t>
        </is>
      </c>
      <c r="L35" s="20" t="inlineStr">
        <is>
          <t>N/A</t>
        </is>
      </c>
      <c r="M35" s="20" t="inlineStr">
        <is>
          <t>N/A</t>
        </is>
      </c>
      <c r="N35" s="20" t="inlineStr">
        <is>
          <t>Magnetic USB charging</t>
        </is>
      </c>
      <c r="O35" s="20" t="inlineStr">
        <is>
          <t>N/A</t>
        </is>
      </c>
      <c r="P35" s="20" t="n">
        <v>7</v>
      </c>
      <c r="Q35" s="24" t="n">
        <v>26</v>
      </c>
      <c r="R35" s="20" t="inlineStr">
        <is>
          <t>Lighter than Hedone Aria Bone Conduction Headphones [HED-010-05] (26 g vs 33 g); Longer battery than Ananke Orbit Plus Bone Conduction Headphones [ANA-023-03] (7 vs 6 hrs)</t>
        </is>
      </c>
      <c r="S35" s="20" t="inlineStr">
        <is>
          <t>running, cycling, outdoor</t>
        </is>
      </c>
      <c r="T35" s="0" t="inlineStr">
        <is>
          <t>in_stock</t>
        </is>
      </c>
      <c r="U35" s="0" t="n">
        <v>30</v>
      </c>
      <c r="V35" s="52" t="n">
        <v>149.99</v>
      </c>
      <c r="W35" s="0" t="inlineStr">
        <is>
          <t>2026-08-01</t>
        </is>
      </c>
      <c r="X35" s="0" t="inlineStr">
        <is>
          <t>N/A</t>
        </is>
      </c>
      <c r="Y35" s="0" t="inlineStr">
        <is>
          <t>N/A</t>
        </is>
      </c>
      <c r="Z35" s="0" t="inlineStr">
        <is>
          <t>N/A</t>
        </is>
      </c>
      <c r="AA35" s="0" t="inlineStr">
        <is>
          <t>N/A</t>
        </is>
      </c>
    </row>
    <row r="36" ht="15.75" customHeight="1" s="51">
      <c r="A36" s="20" t="inlineStr">
        <is>
          <t>HIM-003-04</t>
        </is>
      </c>
      <c r="B36" s="20" t="inlineStr">
        <is>
          <t>Himeros</t>
        </is>
      </c>
      <c r="C36" s="20" t="inlineStr">
        <is>
          <t>Headphones &amp; Earbuds</t>
        </is>
      </c>
      <c r="D36" s="20" t="inlineStr">
        <is>
          <t>Earbuds</t>
        </is>
      </c>
      <c r="E36" s="21" t="inlineStr">
        <is>
          <t>Himeros Halo Pro Sleep Earbuds</t>
        </is>
      </c>
      <c r="F36" s="23" t="n">
        <v>161.99</v>
      </c>
      <c r="G36" s="20" t="inlineStr">
        <is>
          <t>the Halo Pro; Himeros Halo Pro; Hiimeros Halo Pro; Halo Pro earbuds</t>
        </is>
      </c>
      <c r="H36" s="20" t="inlineStr">
        <is>
          <t>1 year limited</t>
        </is>
      </c>
      <c r="I36" s="20" t="inlineStr">
        <is>
          <t>FCC, CE, Bluetooth SIG Qualified</t>
        </is>
      </c>
      <c r="J36" s="20" t="inlineStr">
        <is>
          <t>N/A</t>
        </is>
      </c>
      <c r="K36" s="20" t="inlineStr">
        <is>
          <t>N/A</t>
        </is>
      </c>
      <c r="L36" s="20" t="inlineStr">
        <is>
          <t>N/A</t>
        </is>
      </c>
      <c r="M36" s="20" t="inlineStr">
        <is>
          <t>N/A</t>
        </is>
      </c>
      <c r="N36" s="20" t="inlineStr">
        <is>
          <t>USB-C charging case</t>
        </is>
      </c>
      <c r="O36" s="20" t="inlineStr">
        <is>
          <t>N/A</t>
        </is>
      </c>
      <c r="P36" s="20" t="n">
        <v>9</v>
      </c>
      <c r="Q36" s="24" t="n">
        <v>3</v>
      </c>
      <c r="R36" s="20" t="inlineStr">
        <is>
          <t>Lower price than Zeus Strata SE Sleep Earbuds [ZEU-013-07] ($161.99 vs $197.99); Lighter than Hebe Prism Pro Sleep Earbuds [HEB-011-07] (3 g vs 4 g)</t>
        </is>
      </c>
      <c r="S36" s="20" t="inlineStr">
        <is>
          <t>sleep, travel, relaxation</t>
        </is>
      </c>
      <c r="T36" s="0" t="inlineStr">
        <is>
          <t>in_stock</t>
        </is>
      </c>
      <c r="U36" s="0" t="n">
        <v>30</v>
      </c>
      <c r="V36" s="52" t="n">
        <v>183.99</v>
      </c>
      <c r="W36" s="0" t="inlineStr">
        <is>
          <t>2026-08-29</t>
        </is>
      </c>
      <c r="X36" s="0" t="inlineStr">
        <is>
          <t>N/A</t>
        </is>
      </c>
      <c r="Y36" s="0" t="inlineStr">
        <is>
          <t>N/A</t>
        </is>
      </c>
      <c r="Z36" s="0" t="inlineStr">
        <is>
          <t>N/A</t>
        </is>
      </c>
      <c r="AA36" s="0" t="inlineStr">
        <is>
          <t>N/A</t>
        </is>
      </c>
    </row>
    <row r="37" ht="15.75" customHeight="1" s="51">
      <c r="A37" s="20" t="inlineStr">
        <is>
          <t>HIM-003-05</t>
        </is>
      </c>
      <c r="B37" s="20" t="inlineStr">
        <is>
          <t>Himeros</t>
        </is>
      </c>
      <c r="C37" s="20" t="inlineStr">
        <is>
          <t>Headphones &amp; Earbuds</t>
        </is>
      </c>
      <c r="D37" s="20" t="inlineStr">
        <is>
          <t>Earbuds</t>
        </is>
      </c>
      <c r="E37" s="21" t="inlineStr">
        <is>
          <t>Himeros Arc True Wireless Earbuds</t>
        </is>
      </c>
      <c r="F37" s="23" t="n">
        <v>166.99</v>
      </c>
      <c r="G37" s="20" t="inlineStr">
        <is>
          <t>the Arc; Himeros Arc; Himeross Arc; Arc earbuds</t>
        </is>
      </c>
      <c r="H37" s="20" t="inlineStr">
        <is>
          <t>1 year limited</t>
        </is>
      </c>
      <c r="I37" s="20" t="inlineStr">
        <is>
          <t>FCC, CE, Bluetooth SIG Qualified, Hi-Res Audio Wireless</t>
        </is>
      </c>
      <c r="J37" s="20" t="inlineStr">
        <is>
          <t>N/A</t>
        </is>
      </c>
      <c r="K37" s="20" t="inlineStr">
        <is>
          <t>N/A</t>
        </is>
      </c>
      <c r="L37" s="20" t="inlineStr">
        <is>
          <t>N/A</t>
        </is>
      </c>
      <c r="M37" s="20" t="inlineStr">
        <is>
          <t>N/A</t>
        </is>
      </c>
      <c r="N37" s="20" t="inlineStr">
        <is>
          <t>USB-C charging case</t>
        </is>
      </c>
      <c r="O37" s="20" t="inlineStr">
        <is>
          <t>N/A</t>
        </is>
      </c>
      <c r="P37" s="20" t="n">
        <v>10</v>
      </c>
      <c r="Q37" s="24" t="n">
        <v>5</v>
      </c>
      <c r="R37" s="20" t="inlineStr">
        <is>
          <t>Longer battery than Nereus Onyx Air True Wireless Earbuds [NER-020-04] (10 vs 9 hrs); Lower price than Zeus Volt Max True Wireless Earbuds [ZEU-013-09] ($166.99 vs $289.99)</t>
        </is>
      </c>
      <c r="S37" s="20" t="inlineStr">
        <is>
          <t>commute, everyday, travel</t>
        </is>
      </c>
      <c r="T37" s="0" t="inlineStr">
        <is>
          <t>in_stock</t>
        </is>
      </c>
      <c r="U37" s="0" t="n">
        <v>30</v>
      </c>
      <c r="V37" s="52" t="n">
        <v>180.99</v>
      </c>
      <c r="W37" s="0" t="inlineStr">
        <is>
          <t>2026-09-01</t>
        </is>
      </c>
      <c r="X37" s="0" t="inlineStr">
        <is>
          <t>N/A</t>
        </is>
      </c>
      <c r="Y37" s="0" t="inlineStr">
        <is>
          <t>N/A</t>
        </is>
      </c>
      <c r="Z37" s="0" t="inlineStr">
        <is>
          <t>N/A</t>
        </is>
      </c>
      <c r="AA37" s="0" t="inlineStr">
        <is>
          <t>N/A</t>
        </is>
      </c>
    </row>
    <row r="38" ht="15.75" customHeight="1" s="51">
      <c r="A38" s="20" t="inlineStr">
        <is>
          <t>HIM-003-06</t>
        </is>
      </c>
      <c r="B38" s="20" t="inlineStr">
        <is>
          <t>Himeros</t>
        </is>
      </c>
      <c r="C38" s="20" t="inlineStr">
        <is>
          <t>Headphones &amp; Earbuds</t>
        </is>
      </c>
      <c r="D38" s="20" t="inlineStr">
        <is>
          <t>Headphones</t>
        </is>
      </c>
      <c r="E38" s="21" t="inlineStr">
        <is>
          <t>Himeros Sable SE On-Ear Headphones</t>
        </is>
      </c>
      <c r="F38" s="23" t="n">
        <v>179.99</v>
      </c>
      <c r="G38" s="20" t="inlineStr">
        <is>
          <t>the Sable SE; Himeros Sable SE; Hiemros Sable SE; Sable SE headphones</t>
        </is>
      </c>
      <c r="H38" s="20" t="inlineStr">
        <is>
          <t>1 year limited</t>
        </is>
      </c>
      <c r="I38" s="20" t="inlineStr">
        <is>
          <t>FCC, CE, Bluetooth SIG Qualified</t>
        </is>
      </c>
      <c r="J38" s="20" t="inlineStr">
        <is>
          <t>N/A</t>
        </is>
      </c>
      <c r="K38" s="20" t="inlineStr">
        <is>
          <t>N/A</t>
        </is>
      </c>
      <c r="L38" s="20" t="inlineStr">
        <is>
          <t>N/A</t>
        </is>
      </c>
      <c r="M38" s="20" t="inlineStr">
        <is>
          <t>N/A</t>
        </is>
      </c>
      <c r="N38" s="20" t="inlineStr">
        <is>
          <t>USB-C charging, 3.5mm</t>
        </is>
      </c>
      <c r="O38" s="20" t="inlineStr">
        <is>
          <t>N/A</t>
        </is>
      </c>
      <c r="P38" s="20" t="n">
        <v>55</v>
      </c>
      <c r="Q38" s="24" t="n">
        <v>179</v>
      </c>
      <c r="R38" s="20" t="inlineStr">
        <is>
          <t>Longer battery than Euphrosyne Blaze X On-Ear Headphones [EUP-019-03] (55 vs 35 hrs); Lighter than Tartarus Core X On-Ear Headphones [TAR-017-05] (179 g vs 208 g)</t>
        </is>
      </c>
      <c r="S38" s="20" t="inlineStr">
        <is>
          <t>everyday, commute, school</t>
        </is>
      </c>
      <c r="T38" s="0" t="inlineStr">
        <is>
          <t>in_stock</t>
        </is>
      </c>
      <c r="U38" s="0" t="n">
        <v>30</v>
      </c>
      <c r="V38" s="52" t="n">
        <v>204.99</v>
      </c>
      <c r="W38" s="0" t="inlineStr">
        <is>
          <t>2026-09-19</t>
        </is>
      </c>
      <c r="X38" s="0" t="inlineStr">
        <is>
          <t>N/A</t>
        </is>
      </c>
      <c r="Y38" s="0" t="inlineStr">
        <is>
          <t>N/A</t>
        </is>
      </c>
      <c r="Z38" s="0" t="inlineStr">
        <is>
          <t>N/A</t>
        </is>
      </c>
      <c r="AA38" s="0" t="inlineStr">
        <is>
          <t>N/A</t>
        </is>
      </c>
    </row>
    <row r="39" ht="15.75" customHeight="1" s="51">
      <c r="A39" s="20" t="inlineStr">
        <is>
          <t>HIM-003-07</t>
        </is>
      </c>
      <c r="B39" s="20" t="inlineStr">
        <is>
          <t>Himeros</t>
        </is>
      </c>
      <c r="C39" s="20" t="inlineStr">
        <is>
          <t>Headphones &amp; Earbuds</t>
        </is>
      </c>
      <c r="D39" s="20" t="inlineStr">
        <is>
          <t>Headphones</t>
        </is>
      </c>
      <c r="E39" s="21" t="inlineStr">
        <is>
          <t>Himeros Flux Studio Monitor Headphones</t>
        </is>
      </c>
      <c r="F39" s="23" t="n">
        <v>195.99</v>
      </c>
      <c r="G39" s="20" t="inlineStr">
        <is>
          <t>the Flux; Himeros Flux; Himeroos Flux; Flux headphones</t>
        </is>
      </c>
      <c r="H39" s="20" t="inlineStr">
        <is>
          <t>1 year limited</t>
        </is>
      </c>
      <c r="I39" s="20" t="inlineStr">
        <is>
          <t>CE, RoHS, Hi-Res Audio</t>
        </is>
      </c>
      <c r="J39" s="20" t="inlineStr">
        <is>
          <t>N/A</t>
        </is>
      </c>
      <c r="K39" s="20" t="inlineStr">
        <is>
          <t>N/A</t>
        </is>
      </c>
      <c r="L39" s="20" t="inlineStr">
        <is>
          <t>N/A</t>
        </is>
      </c>
      <c r="M39" s="20" t="inlineStr">
        <is>
          <t>N/A</t>
        </is>
      </c>
      <c r="N39" s="20" t="inlineStr">
        <is>
          <t>Detachable cable: 3.5mm with 6.35mm adapter</t>
        </is>
      </c>
      <c r="O39" s="20" t="inlineStr">
        <is>
          <t>N/A</t>
        </is>
      </c>
      <c r="P39" s="20" t="inlineStr">
        <is>
          <t>N/A</t>
        </is>
      </c>
      <c r="Q39" s="24" t="n">
        <v>349</v>
      </c>
      <c r="R39" s="20" t="inlineStr">
        <is>
          <t>Lower price than Asclepius Flux Lite Studio Monitor Headphones [ASC-024-08] ($195.99 vs $334.99); Lighter than Zeus Arc SE Studio Monitor Headphones [ZEU-013-05] (349 g vs 358 g)</t>
        </is>
      </c>
      <c r="S39" s="20" t="inlineStr">
        <is>
          <t>music production, studio, podcasting</t>
        </is>
      </c>
      <c r="T39" s="0" t="inlineStr">
        <is>
          <t>in_stock</t>
        </is>
      </c>
      <c r="U39" s="0" t="n">
        <v>30</v>
      </c>
      <c r="V39" s="52" t="n">
        <v>222.99</v>
      </c>
      <c r="W39" s="0" t="inlineStr">
        <is>
          <t>2026-08-03</t>
        </is>
      </c>
      <c r="X39" s="0" t="inlineStr">
        <is>
          <t>N/A</t>
        </is>
      </c>
      <c r="Y39" s="0" t="inlineStr">
        <is>
          <t>N/A</t>
        </is>
      </c>
      <c r="Z39" s="0" t="inlineStr">
        <is>
          <t>N/A</t>
        </is>
      </c>
      <c r="AA39" s="0" t="inlineStr">
        <is>
          <t>N/A</t>
        </is>
      </c>
    </row>
    <row r="40" ht="15.75" customHeight="1" s="51">
      <c r="A40" s="20" t="inlineStr">
        <is>
          <t>HIM-003-08</t>
        </is>
      </c>
      <c r="B40" s="20" t="inlineStr">
        <is>
          <t>Himeros</t>
        </is>
      </c>
      <c r="C40" s="20" t="inlineStr">
        <is>
          <t>Headphones &amp; Earbuds</t>
        </is>
      </c>
      <c r="D40" s="20" t="inlineStr">
        <is>
          <t>Earbuds</t>
        </is>
      </c>
      <c r="E40" s="21" t="inlineStr">
        <is>
          <t>Himeros Aeon Lite Open-Ear Earbuds</t>
        </is>
      </c>
      <c r="F40" s="23" t="n">
        <v>215.99</v>
      </c>
      <c r="G40" s="20" t="inlineStr">
        <is>
          <t>the Aeon Lite; Himeros Aeon Lite; Himero Aeon Lite; Aeon Lite earbuds</t>
        </is>
      </c>
      <c r="H40" s="20" t="inlineStr">
        <is>
          <t>1 year limited</t>
        </is>
      </c>
      <c r="I40" s="20" t="inlineStr">
        <is>
          <t>FCC, CE, Bluetooth SIG Qualified, IP55</t>
        </is>
      </c>
      <c r="J40" s="20" t="inlineStr">
        <is>
          <t>N/A</t>
        </is>
      </c>
      <c r="K40" s="20" t="inlineStr">
        <is>
          <t>N/A</t>
        </is>
      </c>
      <c r="L40" s="20" t="inlineStr">
        <is>
          <t>N/A</t>
        </is>
      </c>
      <c r="M40" s="20" t="inlineStr">
        <is>
          <t>N/A</t>
        </is>
      </c>
      <c r="N40" s="20" t="inlineStr">
        <is>
          <t>USB-C charging case</t>
        </is>
      </c>
      <c r="O40" s="20" t="inlineStr">
        <is>
          <t>N/A</t>
        </is>
      </c>
      <c r="P40" s="20" t="n">
        <v>6</v>
      </c>
      <c r="Q40" s="24" t="n">
        <v>8</v>
      </c>
      <c r="R40" s="20" t="inlineStr">
        <is>
          <t>Lighter than Euphrosyne Flux Open-Ear Earbuds [EUP-019-07] (8 g vs 12 g)</t>
        </is>
      </c>
      <c r="S40" s="20" t="inlineStr">
        <is>
          <t>running, outdoor, office</t>
        </is>
      </c>
      <c r="T40" s="0" t="inlineStr">
        <is>
          <t>in_stock</t>
        </is>
      </c>
      <c r="U40" s="0" t="n">
        <v>30</v>
      </c>
      <c r="V40" s="52" t="n">
        <v>245.99</v>
      </c>
      <c r="W40" s="0" t="inlineStr">
        <is>
          <t>2026-08-31</t>
        </is>
      </c>
      <c r="X40" s="0" t="inlineStr">
        <is>
          <t>N/A</t>
        </is>
      </c>
      <c r="Y40" s="0" t="inlineStr">
        <is>
          <t>N/A</t>
        </is>
      </c>
      <c r="Z40" s="0" t="inlineStr">
        <is>
          <t>N/A</t>
        </is>
      </c>
      <c r="AA40" s="0" t="inlineStr">
        <is>
          <t>N/A</t>
        </is>
      </c>
    </row>
    <row r="41" ht="15.75" customHeight="1" s="51">
      <c r="A41" s="20" t="inlineStr">
        <is>
          <t>HIM-003-09</t>
        </is>
      </c>
      <c r="B41" s="20" t="inlineStr">
        <is>
          <t>Himeros</t>
        </is>
      </c>
      <c r="C41" s="20" t="inlineStr">
        <is>
          <t>Headphones &amp; Earbuds</t>
        </is>
      </c>
      <c r="D41" s="20" t="inlineStr">
        <is>
          <t>Headset</t>
        </is>
      </c>
      <c r="E41" s="21" t="inlineStr">
        <is>
          <t>Himeros Sable Gaming Headset</t>
        </is>
      </c>
      <c r="F41" s="23" t="n">
        <v>221.99</v>
      </c>
      <c r="G41" s="20" t="inlineStr">
        <is>
          <t>the Sable; Himeros Sable; Himerros Sable; Sable headset</t>
        </is>
      </c>
      <c r="H41" s="20" t="inlineStr">
        <is>
          <t>1 year limited</t>
        </is>
      </c>
      <c r="I41" s="20" t="inlineStr">
        <is>
          <t>FCC, CE, Bluetooth SIG Qualified</t>
        </is>
      </c>
      <c r="J41" s="20" t="inlineStr">
        <is>
          <t>N/A</t>
        </is>
      </c>
      <c r="K41" s="20" t="inlineStr">
        <is>
          <t>N/A</t>
        </is>
      </c>
      <c r="L41" s="20" t="inlineStr">
        <is>
          <t>N/A</t>
        </is>
      </c>
      <c r="M41" s="20" t="inlineStr">
        <is>
          <t>N/A</t>
        </is>
      </c>
      <c r="N41" s="20" t="inlineStr">
        <is>
          <t>USB-C, 3.5mm, 2.4GHz USB dongle</t>
        </is>
      </c>
      <c r="O41" s="20" t="inlineStr">
        <is>
          <t>N/A</t>
        </is>
      </c>
      <c r="P41" s="20" t="n">
        <v>40</v>
      </c>
      <c r="Q41" s="24" t="n">
        <v>376</v>
      </c>
      <c r="R41" s="20" t="inlineStr">
        <is>
          <t>Longer battery than Hedone Halo SE Gaming Headset [HED-010-01] (40 vs 37 hrs); Lower price than Glaucus Drift Pro Gaming Headset [GLA-012-07] ($221.99 vs $296.99)</t>
        </is>
      </c>
      <c r="S41" s="20" t="inlineStr">
        <is>
          <t>gaming, streaming, voice chat</t>
        </is>
      </c>
      <c r="T41" s="0" t="inlineStr">
        <is>
          <t>in_stock</t>
        </is>
      </c>
      <c r="U41" s="0" t="n">
        <v>30</v>
      </c>
      <c r="V41" s="52" t="n">
        <v>245.99</v>
      </c>
      <c r="W41" s="0" t="inlineStr">
        <is>
          <t>2026-08-07</t>
        </is>
      </c>
      <c r="X41" s="0" t="inlineStr">
        <is>
          <t>N/A</t>
        </is>
      </c>
      <c r="Y41" s="0" t="inlineStr">
        <is>
          <t>N/A</t>
        </is>
      </c>
      <c r="Z41" s="0" t="inlineStr">
        <is>
          <t>N/A</t>
        </is>
      </c>
      <c r="AA41" s="0" t="inlineStr">
        <is>
          <t>N/A</t>
        </is>
      </c>
    </row>
    <row r="42" ht="15.75" customHeight="1" s="51">
      <c r="A42" s="20" t="inlineStr">
        <is>
          <t>HIM-003-10</t>
        </is>
      </c>
      <c r="B42" s="20" t="inlineStr">
        <is>
          <t>Himeros</t>
        </is>
      </c>
      <c r="C42" s="20" t="inlineStr">
        <is>
          <t>Headphones &amp; Earbuds</t>
        </is>
      </c>
      <c r="D42" s="20" t="inlineStr">
        <is>
          <t>Headphones</t>
        </is>
      </c>
      <c r="E42" s="21" t="inlineStr">
        <is>
          <t>Himeros Aeon Audiophile Planar Headphones</t>
        </is>
      </c>
      <c r="F42" s="23" t="n">
        <v>1139.99</v>
      </c>
      <c r="G42" s="20" t="inlineStr">
        <is>
          <t>the Aeon; Himeros Aeon; Himreos Aeon; Aeon headphones</t>
        </is>
      </c>
      <c r="H42" s="20" t="inlineStr">
        <is>
          <t>1 year limited</t>
        </is>
      </c>
      <c r="I42" s="20" t="inlineStr">
        <is>
          <t>CE, RoHS, Hi-Res Audio</t>
        </is>
      </c>
      <c r="J42" s="20" t="inlineStr">
        <is>
          <t>N/A</t>
        </is>
      </c>
      <c r="K42" s="20" t="inlineStr">
        <is>
          <t>N/A</t>
        </is>
      </c>
      <c r="L42" s="20" t="inlineStr">
        <is>
          <t>N/A</t>
        </is>
      </c>
      <c r="M42" s="20" t="inlineStr">
        <is>
          <t>N/A</t>
        </is>
      </c>
      <c r="N42" s="20" t="inlineStr">
        <is>
          <t>Detachable cable: 3.5mm, 6.35mm and 4.4mm balanced</t>
        </is>
      </c>
      <c r="O42" s="20" t="inlineStr">
        <is>
          <t>N/A</t>
        </is>
      </c>
      <c r="P42" s="20" t="inlineStr">
        <is>
          <t>N/A</t>
        </is>
      </c>
      <c r="Q42" s="24" t="n">
        <v>538</v>
      </c>
      <c r="R42" s="20" t="inlineStr">
        <is>
          <t>Lighter than Achelous Axis Ultra Audiophile Planar Headphones [ACH-018-10] (538 g vs 550 g); Lower price than Deimos Orbit Plus Audiophile Planar Headphones [DEI-005-10] ($1,139.99 vs $1,455.99)</t>
        </is>
      </c>
      <c r="S42" s="20" t="inlineStr">
        <is>
          <t>audiophile, home listening, studio</t>
        </is>
      </c>
      <c r="T42" s="0" t="inlineStr">
        <is>
          <t>in_stock</t>
        </is>
      </c>
      <c r="U42" s="0" t="n">
        <v>30</v>
      </c>
      <c r="V42" s="52" t="n">
        <v>1284.99</v>
      </c>
      <c r="W42" s="0" t="inlineStr">
        <is>
          <t>2026-09-03</t>
        </is>
      </c>
      <c r="X42" s="0" t="inlineStr">
        <is>
          <t>N/A</t>
        </is>
      </c>
      <c r="Y42" s="0" t="inlineStr">
        <is>
          <t>N/A</t>
        </is>
      </c>
      <c r="Z42" s="0" t="inlineStr">
        <is>
          <t>N/A</t>
        </is>
      </c>
      <c r="AA42" s="0" t="inlineStr">
        <is>
          <t>N/A</t>
        </is>
      </c>
    </row>
    <row r="43" ht="15.75" customHeight="1" s="51">
      <c r="A43" s="20" t="inlineStr">
        <is>
          <t>DOR-004-01</t>
        </is>
      </c>
      <c r="B43" s="20" t="inlineStr">
        <is>
          <t>Doris</t>
        </is>
      </c>
      <c r="C43" s="20" t="inlineStr">
        <is>
          <t>Headphones &amp; Earbuds</t>
        </is>
      </c>
      <c r="D43" s="20" t="inlineStr">
        <is>
          <t>Headphones</t>
        </is>
      </c>
      <c r="E43" s="21" t="inlineStr">
        <is>
          <t>Doris Halo SE Kids Headphones</t>
        </is>
      </c>
      <c r="F43" s="23" t="n">
        <v>48.99</v>
      </c>
      <c r="G43" s="20" t="inlineStr">
        <is>
          <t>the Halo SE; Doris Halo SE; Doriss Halo SE; Halo SE headphones</t>
        </is>
      </c>
      <c r="H43" s="20" t="inlineStr">
        <is>
          <t>1 year limited</t>
        </is>
      </c>
      <c r="I43" s="20" t="inlineStr">
        <is>
          <t>FCC, CE, Bluetooth SIG Qualified, EN 71 Toy Safety</t>
        </is>
      </c>
      <c r="J43" s="20" t="inlineStr">
        <is>
          <t>N/A</t>
        </is>
      </c>
      <c r="K43" s="20" t="inlineStr">
        <is>
          <t>N/A</t>
        </is>
      </c>
      <c r="L43" s="20" t="inlineStr">
        <is>
          <t>N/A</t>
        </is>
      </c>
      <c r="M43" s="20" t="inlineStr">
        <is>
          <t>N/A</t>
        </is>
      </c>
      <c r="N43" s="20" t="inlineStr">
        <is>
          <t>USB-C charging, 3.5mm (85 dB limited)</t>
        </is>
      </c>
      <c r="O43" s="20" t="inlineStr">
        <is>
          <t>N/A</t>
        </is>
      </c>
      <c r="P43" s="20" t="n">
        <v>26</v>
      </c>
      <c r="Q43" s="24" t="n">
        <v>137</v>
      </c>
      <c r="R43" s="20" t="inlineStr">
        <is>
          <t>Lighter than Asclepius Drift X Kids Headphones [ASC-024-01] (137 g vs 164 g); Lower price than Tethys Pulse Kids Headphones [TET-007-01] ($48.99 vs $53.99)</t>
        </is>
      </c>
      <c r="S43" s="20" t="inlineStr">
        <is>
          <t>kids, school, travel</t>
        </is>
      </c>
      <c r="T43" s="0" t="inlineStr">
        <is>
          <t>in_stock</t>
        </is>
      </c>
      <c r="U43" s="0" t="n">
        <v>60</v>
      </c>
      <c r="V43" s="52" t="n">
        <v>54.99</v>
      </c>
      <c r="W43" s="0" t="inlineStr">
        <is>
          <t>2026-09-09</t>
        </is>
      </c>
      <c r="X43" s="0" t="inlineStr">
        <is>
          <t>N/A</t>
        </is>
      </c>
      <c r="Y43" s="0" t="inlineStr">
        <is>
          <t>N/A</t>
        </is>
      </c>
      <c r="Z43" s="0" t="inlineStr">
        <is>
          <t>N/A</t>
        </is>
      </c>
      <c r="AA43" s="0" t="inlineStr">
        <is>
          <t>N/A</t>
        </is>
      </c>
    </row>
    <row r="44" ht="15.75" customHeight="1" s="51">
      <c r="A44" s="20" t="inlineStr">
        <is>
          <t>DOR-004-02</t>
        </is>
      </c>
      <c r="B44" s="20" t="inlineStr">
        <is>
          <t>Doris</t>
        </is>
      </c>
      <c r="C44" s="20" t="inlineStr">
        <is>
          <t>Headphones &amp; Earbuds</t>
        </is>
      </c>
      <c r="D44" s="20" t="inlineStr">
        <is>
          <t>Headphones</t>
        </is>
      </c>
      <c r="E44" s="21" t="inlineStr">
        <is>
          <t>Doris Echo X On-Ear Headphones</t>
        </is>
      </c>
      <c r="F44" s="23" t="n">
        <v>72.98999999999999</v>
      </c>
      <c r="G44" s="20" t="inlineStr">
        <is>
          <t>the Echo X; Doris Echo X; Dooris Echo X; Echo X headphones</t>
        </is>
      </c>
      <c r="H44" s="20" t="inlineStr">
        <is>
          <t>1 year limited</t>
        </is>
      </c>
      <c r="I44" s="20" t="inlineStr">
        <is>
          <t>FCC, CE, Bluetooth SIG Qualified</t>
        </is>
      </c>
      <c r="J44" s="20" t="inlineStr">
        <is>
          <t>N/A</t>
        </is>
      </c>
      <c r="K44" s="20" t="inlineStr">
        <is>
          <t>N/A</t>
        </is>
      </c>
      <c r="L44" s="20" t="inlineStr">
        <is>
          <t>N/A</t>
        </is>
      </c>
      <c r="M44" s="20" t="inlineStr">
        <is>
          <t>N/A</t>
        </is>
      </c>
      <c r="N44" s="20" t="inlineStr">
        <is>
          <t>USB-C charging, 3.5mm</t>
        </is>
      </c>
      <c r="O44" s="20" t="inlineStr">
        <is>
          <t>N/A</t>
        </is>
      </c>
      <c r="P44" s="20" t="n">
        <v>51</v>
      </c>
      <c r="Q44" s="24" t="n">
        <v>168</v>
      </c>
      <c r="R44" s="20" t="inlineStr">
        <is>
          <t>Lighter than Ananke Flux SE On-Ear Headphones [ANA-023-04] (168 g vs 216 g); Lower price than Menoetius Sable Lite On-Ear Headphones [MEN-008-01] ($72.99 vs $99.99)</t>
        </is>
      </c>
      <c r="S44" s="20" t="inlineStr">
        <is>
          <t>everyday, commute, school</t>
        </is>
      </c>
      <c r="T44" s="0" t="inlineStr">
        <is>
          <t>in_stock</t>
        </is>
      </c>
      <c r="U44" s="0" t="n">
        <v>60</v>
      </c>
      <c r="V44" s="52" t="n">
        <v>77.98999999999999</v>
      </c>
      <c r="W44" s="0" t="inlineStr">
        <is>
          <t>2026-08-24</t>
        </is>
      </c>
      <c r="X44" s="0" t="inlineStr">
        <is>
          <t>N/A</t>
        </is>
      </c>
      <c r="Y44" s="0" t="inlineStr">
        <is>
          <t>N/A</t>
        </is>
      </c>
      <c r="Z44" s="0" t="inlineStr">
        <is>
          <t>N/A</t>
        </is>
      </c>
      <c r="AA44" s="0" t="inlineStr">
        <is>
          <t>N/A</t>
        </is>
      </c>
    </row>
    <row r="45" ht="15.75" customHeight="1" s="51">
      <c r="A45" s="20" t="inlineStr">
        <is>
          <t>DOR-004-03</t>
        </is>
      </c>
      <c r="B45" s="20" t="inlineStr">
        <is>
          <t>Doris</t>
        </is>
      </c>
      <c r="C45" s="20" t="inlineStr">
        <is>
          <t>Headphones &amp; Earbuds</t>
        </is>
      </c>
      <c r="D45" s="20" t="inlineStr">
        <is>
          <t>Earbuds</t>
        </is>
      </c>
      <c r="E45" s="21" t="inlineStr">
        <is>
          <t>Doris Rift Ultra True Wireless Earbuds</t>
        </is>
      </c>
      <c r="F45" s="23" t="n">
        <v>115.99</v>
      </c>
      <c r="G45" s="20" t="inlineStr">
        <is>
          <t>the Rift Ultra; Doris Rift Ultra; Dooris Rift Ultra; Rift Ultra earbuds</t>
        </is>
      </c>
      <c r="H45" s="20" t="inlineStr">
        <is>
          <t>1 year limited</t>
        </is>
      </c>
      <c r="I45" s="20" t="inlineStr">
        <is>
          <t>FCC, CE, Bluetooth SIG Qualified, Hi-Res Audio Wireless</t>
        </is>
      </c>
      <c r="J45" s="20" t="inlineStr">
        <is>
          <t>N/A</t>
        </is>
      </c>
      <c r="K45" s="20" t="inlineStr">
        <is>
          <t>N/A</t>
        </is>
      </c>
      <c r="L45" s="20" t="inlineStr">
        <is>
          <t>N/A</t>
        </is>
      </c>
      <c r="M45" s="20" t="inlineStr">
        <is>
          <t>N/A</t>
        </is>
      </c>
      <c r="N45" s="20" t="inlineStr">
        <is>
          <t>USB-C charging case</t>
        </is>
      </c>
      <c r="O45" s="20" t="inlineStr">
        <is>
          <t>N/A</t>
        </is>
      </c>
      <c r="P45" s="20" t="n">
        <v>6</v>
      </c>
      <c r="Q45" s="24" t="n">
        <v>4</v>
      </c>
      <c r="R45" s="20" t="inlineStr">
        <is>
          <t>Lower price than Hesperus Halo Pro True Wireless Earbuds [HES-025-07] ($115.99 vs $270.99); Lighter than Hedone Lumen Max True Wireless Earbuds [HED-010-07] (4 g vs 6 g)</t>
        </is>
      </c>
      <c r="S45" s="20" t="inlineStr">
        <is>
          <t>commute, everyday, travel</t>
        </is>
      </c>
      <c r="T45" s="0" t="inlineStr">
        <is>
          <t>in_stock</t>
        </is>
      </c>
      <c r="U45" s="0" t="n">
        <v>60</v>
      </c>
      <c r="V45" s="52" t="n">
        <v>128.99</v>
      </c>
      <c r="W45" s="0" t="inlineStr">
        <is>
          <t>2026-08-12</t>
        </is>
      </c>
      <c r="X45" s="0" t="inlineStr">
        <is>
          <t>N/A</t>
        </is>
      </c>
      <c r="Y45" s="0" t="inlineStr">
        <is>
          <t>N/A</t>
        </is>
      </c>
      <c r="Z45" s="0" t="inlineStr">
        <is>
          <t>N/A</t>
        </is>
      </c>
      <c r="AA45" s="0" t="inlineStr">
        <is>
          <t>N/A</t>
        </is>
      </c>
    </row>
    <row r="46" ht="15.75" customHeight="1" s="51">
      <c r="A46" s="20" t="inlineStr">
        <is>
          <t>DOR-004-04</t>
        </is>
      </c>
      <c r="B46" s="20" t="inlineStr">
        <is>
          <t>Doris</t>
        </is>
      </c>
      <c r="C46" s="20" t="inlineStr">
        <is>
          <t>Headphones &amp; Earbuds</t>
        </is>
      </c>
      <c r="D46" s="20" t="inlineStr">
        <is>
          <t>Earbuds</t>
        </is>
      </c>
      <c r="E46" s="21" t="inlineStr">
        <is>
          <t>Doris Halo Wired In-Ear Monitors</t>
        </is>
      </c>
      <c r="F46" s="23" t="n">
        <v>165.99</v>
      </c>
      <c r="G46" s="20" t="inlineStr">
        <is>
          <t>the Halo; Doris Halo; Dorris Halo; Halo earbuds</t>
        </is>
      </c>
      <c r="H46" s="20" t="inlineStr">
        <is>
          <t>1 year limited</t>
        </is>
      </c>
      <c r="I46" s="20" t="inlineStr">
        <is>
          <t>CE, RoHS, Hi-Res Audio</t>
        </is>
      </c>
      <c r="J46" s="20" t="inlineStr">
        <is>
          <t>N/A</t>
        </is>
      </c>
      <c r="K46" s="20" t="inlineStr">
        <is>
          <t>N/A</t>
        </is>
      </c>
      <c r="L46" s="20" t="inlineStr">
        <is>
          <t>N/A</t>
        </is>
      </c>
      <c r="M46" s="20" t="inlineStr">
        <is>
          <t>N/A</t>
        </is>
      </c>
      <c r="N46" s="20" t="inlineStr">
        <is>
          <t>Detachable 2-pin cable: 3.5mm</t>
        </is>
      </c>
      <c r="O46" s="20" t="inlineStr">
        <is>
          <t>N/A</t>
        </is>
      </c>
      <c r="P46" s="20" t="inlineStr">
        <is>
          <t>N/A</t>
        </is>
      </c>
      <c r="Q46" s="24" t="n">
        <v>40</v>
      </c>
      <c r="R46" s="20" t="inlineStr">
        <is>
          <t>Lower price than Deimos Rift Wired In-Ear Monitors [DEI-005-09] ($165.99 vs $398.99)</t>
        </is>
      </c>
      <c r="S46" s="20" t="inlineStr">
        <is>
          <t>audiophile, stage monitoring, music</t>
        </is>
      </c>
      <c r="T46" s="0" t="inlineStr">
        <is>
          <t>in_stock</t>
        </is>
      </c>
      <c r="U46" s="0" t="n">
        <v>60</v>
      </c>
      <c r="V46" s="52" t="n">
        <v>189.99</v>
      </c>
      <c r="W46" s="0" t="inlineStr">
        <is>
          <t>2026-08-23</t>
        </is>
      </c>
      <c r="X46" s="0" t="inlineStr">
        <is>
          <t>N/A</t>
        </is>
      </c>
      <c r="Y46" s="0" t="inlineStr">
        <is>
          <t>N/A</t>
        </is>
      </c>
      <c r="Z46" s="0" t="inlineStr">
        <is>
          <t>N/A</t>
        </is>
      </c>
      <c r="AA46" s="0" t="inlineStr">
        <is>
          <t>N/A</t>
        </is>
      </c>
    </row>
    <row r="47" ht="15.75" customHeight="1" s="51">
      <c r="A47" s="20" t="inlineStr">
        <is>
          <t>DOR-004-05</t>
        </is>
      </c>
      <c r="B47" s="20" t="inlineStr">
        <is>
          <t>Doris</t>
        </is>
      </c>
      <c r="C47" s="20" t="inlineStr">
        <is>
          <t>Headphones &amp; Earbuds</t>
        </is>
      </c>
      <c r="D47" s="20" t="inlineStr">
        <is>
          <t>Earbuds</t>
        </is>
      </c>
      <c r="E47" s="21" t="inlineStr">
        <is>
          <t>Doris Vertex Air Sleep Earbuds</t>
        </is>
      </c>
      <c r="F47" s="23" t="n">
        <v>171.99</v>
      </c>
      <c r="G47" s="20" t="inlineStr">
        <is>
          <t>the Vertex Air; Doris Vertex Air; Dorris Vertex Air; Vertex Air earbuds</t>
        </is>
      </c>
      <c r="H47" s="20" t="inlineStr">
        <is>
          <t>1 year limited</t>
        </is>
      </c>
      <c r="I47" s="20" t="inlineStr">
        <is>
          <t>FCC, CE, Bluetooth SIG Qualified</t>
        </is>
      </c>
      <c r="J47" s="20" t="inlineStr">
        <is>
          <t>N/A</t>
        </is>
      </c>
      <c r="K47" s="20" t="inlineStr">
        <is>
          <t>N/A</t>
        </is>
      </c>
      <c r="L47" s="20" t="inlineStr">
        <is>
          <t>N/A</t>
        </is>
      </c>
      <c r="M47" s="20" t="inlineStr">
        <is>
          <t>N/A</t>
        </is>
      </c>
      <c r="N47" s="20" t="inlineStr">
        <is>
          <t>USB-C charging case</t>
        </is>
      </c>
      <c r="O47" s="20" t="inlineStr">
        <is>
          <t>N/A</t>
        </is>
      </c>
      <c r="P47" s="20" t="n">
        <v>9</v>
      </c>
      <c r="Q47" s="24" t="n">
        <v>4</v>
      </c>
      <c r="R47" s="20" t="inlineStr">
        <is>
          <t>Lower price than Menoetius Pulse Lite Sleep Earbuds [MEN-008-06] ($171.99 vs $203.99); Longer battery than Soteria Echo Max Sleep Earbuds [SOT-014-06] (9 vs 8 hrs)</t>
        </is>
      </c>
      <c r="S47" s="20" t="inlineStr">
        <is>
          <t>sleep, travel, relaxation</t>
        </is>
      </c>
      <c r="T47" s="0" t="inlineStr">
        <is>
          <t>in_stock</t>
        </is>
      </c>
      <c r="U47" s="0" t="n">
        <v>60</v>
      </c>
      <c r="V47" s="52" t="n">
        <v>195.99</v>
      </c>
      <c r="W47" s="0" t="inlineStr">
        <is>
          <t>2026-09-24</t>
        </is>
      </c>
      <c r="X47" s="0" t="inlineStr">
        <is>
          <t>N/A</t>
        </is>
      </c>
      <c r="Y47" s="0" t="inlineStr">
        <is>
          <t>N/A</t>
        </is>
      </c>
      <c r="Z47" s="0" t="inlineStr">
        <is>
          <t>N/A</t>
        </is>
      </c>
      <c r="AA47" s="0" t="inlineStr">
        <is>
          <t>N/A</t>
        </is>
      </c>
    </row>
    <row r="48" ht="15.75" customHeight="1" s="51">
      <c r="A48" s="20" t="inlineStr">
        <is>
          <t>DOR-004-06</t>
        </is>
      </c>
      <c r="B48" s="20" t="inlineStr">
        <is>
          <t>Doris</t>
        </is>
      </c>
      <c r="C48" s="20" t="inlineStr">
        <is>
          <t>Headphones &amp; Earbuds</t>
        </is>
      </c>
      <c r="D48" s="20" t="inlineStr">
        <is>
          <t>Headphones</t>
        </is>
      </c>
      <c r="E48" s="21" t="inlineStr">
        <is>
          <t>Doris Echo Lite Bone Conduction Headphones</t>
        </is>
      </c>
      <c r="F48" s="23" t="n">
        <v>193.99</v>
      </c>
      <c r="G48" s="20" t="inlineStr">
        <is>
          <t>the Echo Lite; Doris Echo Lite; Drois Echo Lite; Echo Lite headphones</t>
        </is>
      </c>
      <c r="H48" s="20" t="inlineStr">
        <is>
          <t>1 year limited</t>
        </is>
      </c>
      <c r="I48" s="20" t="inlineStr">
        <is>
          <t>FCC, CE, Bluetooth SIG Qualified, IP67</t>
        </is>
      </c>
      <c r="J48" s="20" t="inlineStr">
        <is>
          <t>N/A</t>
        </is>
      </c>
      <c r="K48" s="20" t="inlineStr">
        <is>
          <t>N/A</t>
        </is>
      </c>
      <c r="L48" s="20" t="inlineStr">
        <is>
          <t>N/A</t>
        </is>
      </c>
      <c r="M48" s="20" t="inlineStr">
        <is>
          <t>N/A</t>
        </is>
      </c>
      <c r="N48" s="20" t="inlineStr">
        <is>
          <t>Magnetic USB charging</t>
        </is>
      </c>
      <c r="O48" s="20" t="inlineStr">
        <is>
          <t>N/A</t>
        </is>
      </c>
      <c r="P48" s="20" t="n">
        <v>9</v>
      </c>
      <c r="Q48" s="24" t="n">
        <v>30</v>
      </c>
      <c r="R48" s="20" t="inlineStr">
        <is>
          <t>Lighter than Asteria Drift Air Bone Conduction Headphones [AST-006-05] (30 g vs 34 g); Lower price than Morpheus Pulse X Bone Conduction Headphones [MOR-001-06] ($193.99 vs $195.99)</t>
        </is>
      </c>
      <c r="S48" s="20" t="inlineStr">
        <is>
          <t>running, cycling, outdoor</t>
        </is>
      </c>
      <c r="T48" s="0" t="inlineStr">
        <is>
          <t>out_of_stock</t>
        </is>
      </c>
      <c r="U48" s="0" t="n">
        <v>60</v>
      </c>
      <c r="V48" s="52" t="n">
        <v>220.99</v>
      </c>
      <c r="W48" s="0" t="inlineStr">
        <is>
          <t>2026-08-20</t>
        </is>
      </c>
      <c r="X48" s="0" t="inlineStr">
        <is>
          <t>N/A</t>
        </is>
      </c>
      <c r="Y48" s="0" t="inlineStr">
        <is>
          <t>N/A</t>
        </is>
      </c>
      <c r="Z48" s="0" t="inlineStr">
        <is>
          <t>N/A</t>
        </is>
      </c>
      <c r="AA48" s="0" t="inlineStr">
        <is>
          <t>N/A</t>
        </is>
      </c>
    </row>
    <row r="49" ht="15.75" customHeight="1" s="51">
      <c r="A49" s="20" t="inlineStr">
        <is>
          <t>DOR-004-07</t>
        </is>
      </c>
      <c r="B49" s="20" t="inlineStr">
        <is>
          <t>Doris</t>
        </is>
      </c>
      <c r="C49" s="20" t="inlineStr">
        <is>
          <t>Headphones &amp; Earbuds</t>
        </is>
      </c>
      <c r="D49" s="20" t="inlineStr">
        <is>
          <t>Headset</t>
        </is>
      </c>
      <c r="E49" s="21" t="inlineStr">
        <is>
          <t>Doris Echo Plus Gaming Headset</t>
        </is>
      </c>
      <c r="F49" s="23" t="n">
        <v>325.99</v>
      </c>
      <c r="G49" s="20" t="inlineStr">
        <is>
          <t>the Echo Plus; Doris Echo Plus; Dooris Echo Plus; Echo Plus headset</t>
        </is>
      </c>
      <c r="H49" s="20" t="inlineStr">
        <is>
          <t>1 year limited</t>
        </is>
      </c>
      <c r="I49" s="20" t="inlineStr">
        <is>
          <t>FCC, CE, Bluetooth SIG Qualified</t>
        </is>
      </c>
      <c r="J49" s="20" t="inlineStr">
        <is>
          <t>N/A</t>
        </is>
      </c>
      <c r="K49" s="20" t="inlineStr">
        <is>
          <t>N/A</t>
        </is>
      </c>
      <c r="L49" s="20" t="inlineStr">
        <is>
          <t>N/A</t>
        </is>
      </c>
      <c r="M49" s="20" t="inlineStr">
        <is>
          <t>N/A</t>
        </is>
      </c>
      <c r="N49" s="20" t="inlineStr">
        <is>
          <t>USB-C, 3.5mm, 2.4GHz USB dongle</t>
        </is>
      </c>
      <c r="O49" s="20" t="inlineStr">
        <is>
          <t>N/A</t>
        </is>
      </c>
      <c r="P49" s="20" t="n">
        <v>44</v>
      </c>
      <c r="Q49" s="24" t="n">
        <v>299</v>
      </c>
      <c r="R49" s="20" t="inlineStr">
        <is>
          <t>Lighter than Poseidon Sable X Gaming Headset [POS-021-06] (299 g vs 358 g); Longer battery than Euphrosyne Arc Plus Gaming Headset [EUP-019-06] (44 vs 22 hrs)</t>
        </is>
      </c>
      <c r="S49" s="20" t="inlineStr">
        <is>
          <t>gaming, streaming, voice chat</t>
        </is>
      </c>
      <c r="T49" s="0" t="inlineStr">
        <is>
          <t>in_stock</t>
        </is>
      </c>
      <c r="U49" s="0" t="n">
        <v>60</v>
      </c>
      <c r="V49" s="52" t="n">
        <v>363.99</v>
      </c>
      <c r="W49" s="0" t="inlineStr">
        <is>
          <t>2026-08-02</t>
        </is>
      </c>
      <c r="X49" s="0" t="inlineStr">
        <is>
          <t>N/A</t>
        </is>
      </c>
      <c r="Y49" s="0" t="inlineStr">
        <is>
          <t>N/A</t>
        </is>
      </c>
      <c r="Z49" s="0" t="inlineStr">
        <is>
          <t>N/A</t>
        </is>
      </c>
      <c r="AA49" s="0" t="inlineStr">
        <is>
          <t>N/A</t>
        </is>
      </c>
    </row>
    <row r="50" ht="15.75" customHeight="1" s="51">
      <c r="A50" s="20" t="inlineStr">
        <is>
          <t>DOR-004-08</t>
        </is>
      </c>
      <c r="B50" s="20" t="inlineStr">
        <is>
          <t>Doris</t>
        </is>
      </c>
      <c r="C50" s="20" t="inlineStr">
        <is>
          <t>Headphones &amp; Earbuds</t>
        </is>
      </c>
      <c r="D50" s="20" t="inlineStr">
        <is>
          <t>Headphones</t>
        </is>
      </c>
      <c r="E50" s="21" t="inlineStr">
        <is>
          <t>Doris Pulse SE ANC Over-Ear Headphones</t>
        </is>
      </c>
      <c r="F50" s="23" t="n">
        <v>342.99</v>
      </c>
      <c r="G50" s="20" t="inlineStr">
        <is>
          <t>the Pulse SE; Doris Pulse SE; Doriis Pulse SE; Pulse SE headphones</t>
        </is>
      </c>
      <c r="H50" s="20" t="inlineStr">
        <is>
          <t>1 year limited</t>
        </is>
      </c>
      <c r="I50" s="20" t="inlineStr">
        <is>
          <t>FCC, CE, Bluetooth SIG Qualified</t>
        </is>
      </c>
      <c r="J50" s="20" t="inlineStr">
        <is>
          <t>N/A</t>
        </is>
      </c>
      <c r="K50" s="20" t="inlineStr">
        <is>
          <t>N/A</t>
        </is>
      </c>
      <c r="L50" s="20" t="inlineStr">
        <is>
          <t>N/A</t>
        </is>
      </c>
      <c r="M50" s="20" t="inlineStr">
        <is>
          <t>N/A</t>
        </is>
      </c>
      <c r="N50" s="20" t="inlineStr">
        <is>
          <t>USB-C charging and audio, 3.5mm</t>
        </is>
      </c>
      <c r="O50" s="20" t="inlineStr">
        <is>
          <t>N/A</t>
        </is>
      </c>
      <c r="P50" s="20" t="n">
        <v>49</v>
      </c>
      <c r="Q50" s="24" t="n">
        <v>283</v>
      </c>
      <c r="R50" s="20" t="inlineStr">
        <is>
          <t>Lower price than Chaos Aria Pro ANC Over-Ear Headphones [CHA-016-09] ($342.99 vs $501.99); Longer battery than Ananke Zen Max ANC Over-Ear Headphones [ANA-023-07] (49 vs 20 hrs)</t>
        </is>
      </c>
      <c r="S50" s="20" t="inlineStr">
        <is>
          <t>travel, commute, office</t>
        </is>
      </c>
      <c r="T50" s="0" t="inlineStr">
        <is>
          <t>in_stock</t>
        </is>
      </c>
      <c r="U50" s="0" t="n">
        <v>60</v>
      </c>
      <c r="V50" s="52" t="n">
        <v>391.99</v>
      </c>
      <c r="W50" s="0" t="inlineStr">
        <is>
          <t>2026-08-07</t>
        </is>
      </c>
      <c r="X50" s="0" t="inlineStr">
        <is>
          <t>N/A</t>
        </is>
      </c>
      <c r="Y50" s="0" t="inlineStr">
        <is>
          <t>N/A</t>
        </is>
      </c>
      <c r="Z50" s="0" t="inlineStr">
        <is>
          <t>N/A</t>
        </is>
      </c>
      <c r="AA50" s="0" t="inlineStr">
        <is>
          <t>N/A</t>
        </is>
      </c>
    </row>
    <row r="51" ht="15.75" customHeight="1" s="51">
      <c r="A51" s="20" t="inlineStr">
        <is>
          <t>DOR-004-09</t>
        </is>
      </c>
      <c r="B51" s="20" t="inlineStr">
        <is>
          <t>Doris</t>
        </is>
      </c>
      <c r="C51" s="20" t="inlineStr">
        <is>
          <t>Headphones &amp; Earbuds</t>
        </is>
      </c>
      <c r="D51" s="20" t="inlineStr">
        <is>
          <t>Headphones</t>
        </is>
      </c>
      <c r="E51" s="21" t="inlineStr">
        <is>
          <t>Doris Rift Air Studio Monitor Headphones</t>
        </is>
      </c>
      <c r="F51" s="23" t="n">
        <v>355.99</v>
      </c>
      <c r="G51" s="20" t="inlineStr">
        <is>
          <t>the Rift Air; Doris Rift Air; Doirs Rift Air; Rift Air headphones</t>
        </is>
      </c>
      <c r="H51" s="20" t="inlineStr">
        <is>
          <t>1 year limited</t>
        </is>
      </c>
      <c r="I51" s="20" t="inlineStr">
        <is>
          <t>CE, RoHS, Hi-Res Audio</t>
        </is>
      </c>
      <c r="J51" s="20" t="inlineStr">
        <is>
          <t>N/A</t>
        </is>
      </c>
      <c r="K51" s="20" t="inlineStr">
        <is>
          <t>N/A</t>
        </is>
      </c>
      <c r="L51" s="20" t="inlineStr">
        <is>
          <t>N/A</t>
        </is>
      </c>
      <c r="M51" s="20" t="inlineStr">
        <is>
          <t>N/A</t>
        </is>
      </c>
      <c r="N51" s="20" t="inlineStr">
        <is>
          <t>Detachable cable: 3.5mm with 6.35mm adapter</t>
        </is>
      </c>
      <c r="O51" s="20" t="inlineStr">
        <is>
          <t>N/A</t>
        </is>
      </c>
      <c r="P51" s="20" t="inlineStr">
        <is>
          <t>N/A</t>
        </is>
      </c>
      <c r="Q51" s="24" t="n">
        <v>333</v>
      </c>
      <c r="R51" s="20" t="inlineStr">
        <is>
          <t>Lower price than Morpheus Onyx Air Studio Monitor Headphones [MOR-001-09] ($355.99 vs $374.99); Lighter than Hesperus Onyx Air Studio Monitor Headphones [HES-025-08] (333 g vs 338 g)</t>
        </is>
      </c>
      <c r="S51" s="20" t="inlineStr">
        <is>
          <t>music production, studio, podcasting</t>
        </is>
      </c>
      <c r="T51" s="0" t="inlineStr">
        <is>
          <t>in_stock</t>
        </is>
      </c>
      <c r="U51" s="0" t="n">
        <v>60</v>
      </c>
      <c r="V51" s="52" t="n">
        <v>390.99</v>
      </c>
      <c r="W51" s="0" t="inlineStr">
        <is>
          <t>2026-08-25</t>
        </is>
      </c>
      <c r="X51" s="0" t="inlineStr">
        <is>
          <t>N/A</t>
        </is>
      </c>
      <c r="Y51" s="0" t="inlineStr">
        <is>
          <t>N/A</t>
        </is>
      </c>
      <c r="Z51" s="0" t="inlineStr">
        <is>
          <t>N/A</t>
        </is>
      </c>
      <c r="AA51" s="0" t="inlineStr">
        <is>
          <t>N/A</t>
        </is>
      </c>
    </row>
    <row r="52" ht="15.75" customHeight="1" s="51">
      <c r="A52" s="20" t="inlineStr">
        <is>
          <t>DOR-004-10</t>
        </is>
      </c>
      <c r="B52" s="20" t="inlineStr">
        <is>
          <t>Doris</t>
        </is>
      </c>
      <c r="C52" s="20" t="inlineStr">
        <is>
          <t>Headphones &amp; Earbuds</t>
        </is>
      </c>
      <c r="D52" s="20" t="inlineStr">
        <is>
          <t>Headphones</t>
        </is>
      </c>
      <c r="E52" s="21" t="inlineStr">
        <is>
          <t>Doris Vibe Pro Audiophile Planar Headphones</t>
        </is>
      </c>
      <c r="F52" s="23" t="n">
        <v>1294.99</v>
      </c>
      <c r="G52" s="20" t="inlineStr">
        <is>
          <t>the Vibe Pro; Doris Vibe Pro; Drois Vibe Pro; Vibe Pro headphones</t>
        </is>
      </c>
      <c r="H52" s="20" t="inlineStr">
        <is>
          <t>1 year limited</t>
        </is>
      </c>
      <c r="I52" s="20" t="inlineStr">
        <is>
          <t>CE, RoHS, Hi-Res Audio</t>
        </is>
      </c>
      <c r="J52" s="20" t="inlineStr">
        <is>
          <t>N/A</t>
        </is>
      </c>
      <c r="K52" s="20" t="inlineStr">
        <is>
          <t>N/A</t>
        </is>
      </c>
      <c r="L52" s="20" t="inlineStr">
        <is>
          <t>N/A</t>
        </is>
      </c>
      <c r="M52" s="20" t="inlineStr">
        <is>
          <t>N/A</t>
        </is>
      </c>
      <c r="N52" s="20" t="inlineStr">
        <is>
          <t>Detachable cable: 3.5mm, 6.35mm and 4.4mm balanced</t>
        </is>
      </c>
      <c r="O52" s="20" t="inlineStr">
        <is>
          <t>N/A</t>
        </is>
      </c>
      <c r="P52" s="20" t="inlineStr">
        <is>
          <t>N/A</t>
        </is>
      </c>
      <c r="Q52" s="24" t="n">
        <v>514</v>
      </c>
      <c r="R52" s="20" t="inlineStr">
        <is>
          <t>Lighter than Achelous Axis Ultra Audiophile Planar Headphones [ACH-018-10] (514 g vs 550 g); Lower price than Ananke Aria Audiophile Planar Headphones [ANA-023-10] ($1,294.99 vs $1,351.99)</t>
        </is>
      </c>
      <c r="S52" s="20" t="inlineStr">
        <is>
          <t>audiophile, home listening, studio</t>
        </is>
      </c>
      <c r="T52" s="0" t="inlineStr">
        <is>
          <t>in_stock</t>
        </is>
      </c>
      <c r="U52" s="0" t="n">
        <v>60</v>
      </c>
      <c r="V52" s="52" t="n">
        <v>1391.99</v>
      </c>
      <c r="W52" s="0" t="inlineStr">
        <is>
          <t>2026-09-06</t>
        </is>
      </c>
      <c r="X52" s="0" t="inlineStr">
        <is>
          <t>N/A</t>
        </is>
      </c>
      <c r="Y52" s="0" t="inlineStr">
        <is>
          <t>N/A</t>
        </is>
      </c>
      <c r="Z52" s="0" t="inlineStr">
        <is>
          <t>N/A</t>
        </is>
      </c>
      <c r="AA52" s="0" t="inlineStr">
        <is>
          <t>N/A</t>
        </is>
      </c>
    </row>
    <row r="53" ht="15.75" customHeight="1" s="51">
      <c r="A53" s="20" t="inlineStr">
        <is>
          <t>DEI-005-01</t>
        </is>
      </c>
      <c r="B53" s="20" t="inlineStr">
        <is>
          <t>Deimos</t>
        </is>
      </c>
      <c r="C53" s="20" t="inlineStr">
        <is>
          <t>Headphones &amp; Earbuds</t>
        </is>
      </c>
      <c r="D53" s="20" t="inlineStr">
        <is>
          <t>Headphones</t>
        </is>
      </c>
      <c r="E53" s="21" t="inlineStr">
        <is>
          <t>Deimos Aeon X On-Ear Headphones</t>
        </is>
      </c>
      <c r="F53" s="23" t="n">
        <v>60.99</v>
      </c>
      <c r="G53" s="20" t="inlineStr">
        <is>
          <t>the Aeon X; Deimos Aeon X; Deimoss Aeon X; Aeon X headphones</t>
        </is>
      </c>
      <c r="H53" s="20" t="inlineStr">
        <is>
          <t>1 year limited</t>
        </is>
      </c>
      <c r="I53" s="20" t="inlineStr">
        <is>
          <t>FCC, CE, Bluetooth SIG Qualified</t>
        </is>
      </c>
      <c r="J53" s="20" t="inlineStr">
        <is>
          <t>N/A</t>
        </is>
      </c>
      <c r="K53" s="20" t="inlineStr">
        <is>
          <t>N/A</t>
        </is>
      </c>
      <c r="L53" s="20" t="inlineStr">
        <is>
          <t>N/A</t>
        </is>
      </c>
      <c r="M53" s="20" t="inlineStr">
        <is>
          <t>N/A</t>
        </is>
      </c>
      <c r="N53" s="20" t="inlineStr">
        <is>
          <t>USB-C charging, 3.5mm</t>
        </is>
      </c>
      <c r="O53" s="20" t="inlineStr">
        <is>
          <t>N/A</t>
        </is>
      </c>
      <c r="P53" s="20" t="n">
        <v>37</v>
      </c>
      <c r="Q53" s="24" t="n">
        <v>160</v>
      </c>
      <c r="R53" s="20" t="inlineStr">
        <is>
          <t>Lower price than Tartarus Core X On-Ear Headphones [TAR-017-05] ($60.99 vs $145.99); Longer battery than Euphrosyne Blaze X On-Ear Headphones [EUP-019-03] (37 vs 35 hrs)</t>
        </is>
      </c>
      <c r="S53" s="20" t="inlineStr">
        <is>
          <t>everyday, commute, school</t>
        </is>
      </c>
      <c r="T53" s="0" t="inlineStr">
        <is>
          <t>low_stock</t>
        </is>
      </c>
      <c r="U53" s="0" t="n">
        <v>15</v>
      </c>
      <c r="V53" s="52" t="n">
        <v>64.98999999999999</v>
      </c>
      <c r="W53" s="0" t="inlineStr">
        <is>
          <t>2026-09-12</t>
        </is>
      </c>
      <c r="X53" s="0" t="inlineStr">
        <is>
          <t>N/A</t>
        </is>
      </c>
      <c r="Y53" s="0" t="inlineStr">
        <is>
          <t>N/A</t>
        </is>
      </c>
      <c r="Z53" s="0" t="inlineStr">
        <is>
          <t>N/A</t>
        </is>
      </c>
      <c r="AA53" s="0" t="inlineStr">
        <is>
          <t>N/A</t>
        </is>
      </c>
    </row>
    <row r="54" ht="15.75" customHeight="1" s="51">
      <c r="A54" s="20" t="inlineStr">
        <is>
          <t>DEI-005-02</t>
        </is>
      </c>
      <c r="B54" s="20" t="inlineStr">
        <is>
          <t>Deimos</t>
        </is>
      </c>
      <c r="C54" s="20" t="inlineStr">
        <is>
          <t>Headphones &amp; Earbuds</t>
        </is>
      </c>
      <c r="D54" s="20" t="inlineStr">
        <is>
          <t>Earbuds</t>
        </is>
      </c>
      <c r="E54" s="21" t="inlineStr">
        <is>
          <t>Deimos Quanta X Sport Earbuds</t>
        </is>
      </c>
      <c r="F54" s="23" t="n">
        <v>68.98999999999999</v>
      </c>
      <c r="G54" s="20" t="inlineStr">
        <is>
          <t>the Quanta X; Deimos Quanta X; Deimoss Quanta X; Quanta X earbuds</t>
        </is>
      </c>
      <c r="H54" s="20" t="inlineStr">
        <is>
          <t>1 year limited</t>
        </is>
      </c>
      <c r="I54" s="20" t="inlineStr">
        <is>
          <t>FCC, CE, Bluetooth SIG Qualified, IPX4</t>
        </is>
      </c>
      <c r="J54" s="20" t="inlineStr">
        <is>
          <t>N/A</t>
        </is>
      </c>
      <c r="K54" s="20" t="inlineStr">
        <is>
          <t>N/A</t>
        </is>
      </c>
      <c r="L54" s="20" t="inlineStr">
        <is>
          <t>N/A</t>
        </is>
      </c>
      <c r="M54" s="20" t="inlineStr">
        <is>
          <t>N/A</t>
        </is>
      </c>
      <c r="N54" s="20" t="inlineStr">
        <is>
          <t>USB-C charging case</t>
        </is>
      </c>
      <c r="O54" s="20" t="inlineStr">
        <is>
          <t>N/A</t>
        </is>
      </c>
      <c r="P54" s="20" t="n">
        <v>10</v>
      </c>
      <c r="Q54" s="24" t="n">
        <v>6</v>
      </c>
      <c r="R54" s="20" t="inlineStr">
        <is>
          <t>Longer battery than Chaos Flux SE Sport Earbuds [CHA-016-05] (10 vs 8 hrs); Lighter than Asteria Core Sport Earbuds [AST-006-02] (6 g vs 9 g)</t>
        </is>
      </c>
      <c r="S54" s="20" t="inlineStr">
        <is>
          <t>gym, running, sport</t>
        </is>
      </c>
      <c r="T54" s="0" t="inlineStr">
        <is>
          <t>in_stock</t>
        </is>
      </c>
      <c r="U54" s="0" t="n">
        <v>15</v>
      </c>
      <c r="V54" s="52" t="n">
        <v>72.98999999999999</v>
      </c>
      <c r="W54" s="0" t="inlineStr">
        <is>
          <t>2026-09-22</t>
        </is>
      </c>
      <c r="X54" s="0" t="inlineStr">
        <is>
          <t>N/A</t>
        </is>
      </c>
      <c r="Y54" s="0" t="inlineStr">
        <is>
          <t>N/A</t>
        </is>
      </c>
      <c r="Z54" s="0" t="inlineStr">
        <is>
          <t>N/A</t>
        </is>
      </c>
      <c r="AA54" s="0" t="inlineStr">
        <is>
          <t>N/A</t>
        </is>
      </c>
    </row>
    <row r="55" ht="15.75" customHeight="1" s="51">
      <c r="A55" s="20" t="inlineStr">
        <is>
          <t>DEI-005-03</t>
        </is>
      </c>
      <c r="B55" s="20" t="inlineStr">
        <is>
          <t>Deimos</t>
        </is>
      </c>
      <c r="C55" s="20" t="inlineStr">
        <is>
          <t>Headphones &amp; Earbuds</t>
        </is>
      </c>
      <c r="D55" s="20" t="inlineStr">
        <is>
          <t>Headphones</t>
        </is>
      </c>
      <c r="E55" s="21" t="inlineStr">
        <is>
          <t>Deimos Crest Bone Conduction Headphones</t>
        </is>
      </c>
      <c r="F55" s="23" t="n">
        <v>83.98999999999999</v>
      </c>
      <c r="G55" s="20" t="inlineStr">
        <is>
          <t>the Crest; Deimos Crest; Deimoos Crest; Crest headphones</t>
        </is>
      </c>
      <c r="H55" s="20" t="inlineStr">
        <is>
          <t>1 year limited</t>
        </is>
      </c>
      <c r="I55" s="20" t="inlineStr">
        <is>
          <t>FCC, CE, Bluetooth SIG Qualified, IP67</t>
        </is>
      </c>
      <c r="J55" s="20" t="inlineStr">
        <is>
          <t>N/A</t>
        </is>
      </c>
      <c r="K55" s="20" t="inlineStr">
        <is>
          <t>N/A</t>
        </is>
      </c>
      <c r="L55" s="20" t="inlineStr">
        <is>
          <t>N/A</t>
        </is>
      </c>
      <c r="M55" s="20" t="inlineStr">
        <is>
          <t>N/A</t>
        </is>
      </c>
      <c r="N55" s="20" t="inlineStr">
        <is>
          <t>Magnetic USB charging</t>
        </is>
      </c>
      <c r="O55" s="20" t="inlineStr">
        <is>
          <t>N/A</t>
        </is>
      </c>
      <c r="P55" s="20" t="n">
        <v>6</v>
      </c>
      <c r="Q55" s="24" t="n">
        <v>35</v>
      </c>
      <c r="R55" s="20" t="inlineStr">
        <is>
          <t>Lower price than Nereus Nova Pro Bone Conduction Headphones [NER-020-05] ($83.99 vs $116.99)</t>
        </is>
      </c>
      <c r="S55" s="20" t="inlineStr">
        <is>
          <t>running, cycling, outdoor</t>
        </is>
      </c>
      <c r="T55" s="0" t="inlineStr">
        <is>
          <t>in_stock</t>
        </is>
      </c>
      <c r="U55" s="0" t="n">
        <v>15</v>
      </c>
      <c r="V55" s="52" t="n">
        <v>90.98999999999999</v>
      </c>
      <c r="W55" s="0" t="inlineStr">
        <is>
          <t>2026-08-14</t>
        </is>
      </c>
      <c r="X55" s="0" t="inlineStr">
        <is>
          <t>N/A</t>
        </is>
      </c>
      <c r="Y55" s="0" t="inlineStr">
        <is>
          <t>N/A</t>
        </is>
      </c>
      <c r="Z55" s="0" t="inlineStr">
        <is>
          <t>N/A</t>
        </is>
      </c>
      <c r="AA55" s="0" t="inlineStr">
        <is>
          <t>N/A</t>
        </is>
      </c>
    </row>
    <row r="56" ht="15.75" customHeight="1" s="51">
      <c r="A56" s="20" t="inlineStr">
        <is>
          <t>DEI-005-04</t>
        </is>
      </c>
      <c r="B56" s="20" t="inlineStr">
        <is>
          <t>Deimos</t>
        </is>
      </c>
      <c r="C56" s="20" t="inlineStr">
        <is>
          <t>Headphones &amp; Earbuds</t>
        </is>
      </c>
      <c r="D56" s="20" t="inlineStr">
        <is>
          <t>Earbuds</t>
        </is>
      </c>
      <c r="E56" s="21" t="inlineStr">
        <is>
          <t>Deimos Lumen X True Wireless Earbuds</t>
        </is>
      </c>
      <c r="F56" s="23" t="n">
        <v>111.99</v>
      </c>
      <c r="G56" s="20" t="inlineStr">
        <is>
          <t>the Lumen X; Deimos Lumen X; Deioms Lumen X; Lumen X earbuds</t>
        </is>
      </c>
      <c r="H56" s="20" t="inlineStr">
        <is>
          <t>1 year limited</t>
        </is>
      </c>
      <c r="I56" s="20" t="inlineStr">
        <is>
          <t>FCC, CE, Bluetooth SIG Qualified, IPX4</t>
        </is>
      </c>
      <c r="J56" s="20" t="inlineStr">
        <is>
          <t>N/A</t>
        </is>
      </c>
      <c r="K56" s="20" t="inlineStr">
        <is>
          <t>N/A</t>
        </is>
      </c>
      <c r="L56" s="20" t="inlineStr">
        <is>
          <t>N/A</t>
        </is>
      </c>
      <c r="M56" s="20" t="inlineStr">
        <is>
          <t>N/A</t>
        </is>
      </c>
      <c r="N56" s="20" t="inlineStr">
        <is>
          <t>USB-C charging case</t>
        </is>
      </c>
      <c r="O56" s="20" t="inlineStr">
        <is>
          <t>N/A</t>
        </is>
      </c>
      <c r="P56" s="20" t="n">
        <v>10</v>
      </c>
      <c r="Q56" s="24" t="n">
        <v>5</v>
      </c>
      <c r="R56" s="20" t="inlineStr">
        <is>
          <t>Longer battery than Doris Rift Ultra True Wireless Earbuds [DOR-004-03] (10 vs 6 hrs); Lower price than Poseidon Axis X True Wireless Earbuds [POS-021-05] ($111.99 vs $163.99)</t>
        </is>
      </c>
      <c r="S56" s="20" t="inlineStr">
        <is>
          <t>commute, everyday, travel</t>
        </is>
      </c>
      <c r="T56" s="0" t="inlineStr">
        <is>
          <t>in_stock</t>
        </is>
      </c>
      <c r="U56" s="0" t="n">
        <v>15</v>
      </c>
      <c r="V56" s="52" t="n">
        <v>120.99</v>
      </c>
      <c r="W56" s="0" t="inlineStr">
        <is>
          <t>2026-09-06</t>
        </is>
      </c>
      <c r="X56" s="0" t="inlineStr">
        <is>
          <t>N/A</t>
        </is>
      </c>
      <c r="Y56" s="0" t="inlineStr">
        <is>
          <t>N/A</t>
        </is>
      </c>
      <c r="Z56" s="0" t="inlineStr">
        <is>
          <t>N/A</t>
        </is>
      </c>
      <c r="AA56" s="0" t="inlineStr">
        <is>
          <t>N/A</t>
        </is>
      </c>
    </row>
    <row r="57" ht="15.75" customHeight="1" s="51">
      <c r="A57" s="20" t="inlineStr">
        <is>
          <t>DEI-005-05</t>
        </is>
      </c>
      <c r="B57" s="20" t="inlineStr">
        <is>
          <t>Deimos</t>
        </is>
      </c>
      <c r="C57" s="20" t="inlineStr">
        <is>
          <t>Headphones &amp; Earbuds</t>
        </is>
      </c>
      <c r="D57" s="20" t="inlineStr">
        <is>
          <t>Earbuds</t>
        </is>
      </c>
      <c r="E57" s="21" t="inlineStr">
        <is>
          <t>Deimos Aeon Plus Open-Ear Earbuds</t>
        </is>
      </c>
      <c r="F57" s="23" t="n">
        <v>154.99</v>
      </c>
      <c r="G57" s="20" t="inlineStr">
        <is>
          <t>the Aeon Plus; Deimos Aeon Plus; Deiimos Aeon Plus; Aeon Plus earbuds</t>
        </is>
      </c>
      <c r="H57" s="20" t="inlineStr">
        <is>
          <t>1 year limited</t>
        </is>
      </c>
      <c r="I57" s="20" t="inlineStr">
        <is>
          <t>FCC, CE, Bluetooth SIG Qualified, IP55</t>
        </is>
      </c>
      <c r="J57" s="20" t="inlineStr">
        <is>
          <t>N/A</t>
        </is>
      </c>
      <c r="K57" s="20" t="inlineStr">
        <is>
          <t>N/A</t>
        </is>
      </c>
      <c r="L57" s="20" t="inlineStr">
        <is>
          <t>N/A</t>
        </is>
      </c>
      <c r="M57" s="20" t="inlineStr">
        <is>
          <t>N/A</t>
        </is>
      </c>
      <c r="N57" s="20" t="inlineStr">
        <is>
          <t>USB-C charging case</t>
        </is>
      </c>
      <c r="O57" s="20" t="inlineStr">
        <is>
          <t>N/A</t>
        </is>
      </c>
      <c r="P57" s="20" t="n">
        <v>6</v>
      </c>
      <c r="Q57" s="24" t="n">
        <v>8</v>
      </c>
      <c r="R57" s="20" t="inlineStr">
        <is>
          <t>Lighter than Zeus Strata X Open-Ear Earbuds [ZEU-013-02] (8 g vs 12 g); Lower price than Morpheus Arc Open-Ear Earbuds [MOR-001-04] ($154.99 vs $156.99)</t>
        </is>
      </c>
      <c r="S57" s="20" t="inlineStr">
        <is>
          <t>running, outdoor, office</t>
        </is>
      </c>
      <c r="T57" s="0" t="inlineStr">
        <is>
          <t>in_stock</t>
        </is>
      </c>
      <c r="U57" s="0" t="n">
        <v>15</v>
      </c>
      <c r="V57" s="52" t="n">
        <v>175.99</v>
      </c>
      <c r="W57" s="0" t="inlineStr">
        <is>
          <t>2026-09-21</t>
        </is>
      </c>
      <c r="X57" s="0" t="inlineStr">
        <is>
          <t>N/A</t>
        </is>
      </c>
      <c r="Y57" s="0" t="inlineStr">
        <is>
          <t>N/A</t>
        </is>
      </c>
      <c r="Z57" s="0" t="inlineStr">
        <is>
          <t>N/A</t>
        </is>
      </c>
      <c r="AA57" s="0" t="inlineStr">
        <is>
          <t>N/A</t>
        </is>
      </c>
    </row>
    <row r="58" ht="15.75" customHeight="1" s="51">
      <c r="A58" s="20" t="inlineStr">
        <is>
          <t>DEI-005-06</t>
        </is>
      </c>
      <c r="B58" s="20" t="inlineStr">
        <is>
          <t>Deimos</t>
        </is>
      </c>
      <c r="C58" s="20" t="inlineStr">
        <is>
          <t>Headphones &amp; Earbuds</t>
        </is>
      </c>
      <c r="D58" s="20" t="inlineStr">
        <is>
          <t>Earbuds</t>
        </is>
      </c>
      <c r="E58" s="21" t="inlineStr">
        <is>
          <t>Deimos Halo Plus Sleep Earbuds</t>
        </is>
      </c>
      <c r="F58" s="23" t="n">
        <v>164.99</v>
      </c>
      <c r="G58" s="20" t="inlineStr">
        <is>
          <t>the Halo Plus; Deimos Halo Plus; Deimoss Halo Plus; Halo Plus earbuds</t>
        </is>
      </c>
      <c r="H58" s="20" t="inlineStr">
        <is>
          <t>1 year limited</t>
        </is>
      </c>
      <c r="I58" s="20" t="inlineStr">
        <is>
          <t>FCC, CE, Bluetooth SIG Qualified</t>
        </is>
      </c>
      <c r="J58" s="20" t="inlineStr">
        <is>
          <t>N/A</t>
        </is>
      </c>
      <c r="K58" s="20" t="inlineStr">
        <is>
          <t>N/A</t>
        </is>
      </c>
      <c r="L58" s="20" t="inlineStr">
        <is>
          <t>N/A</t>
        </is>
      </c>
      <c r="M58" s="20" t="inlineStr">
        <is>
          <t>N/A</t>
        </is>
      </c>
      <c r="N58" s="20" t="inlineStr">
        <is>
          <t>USB-C charging case</t>
        </is>
      </c>
      <c r="O58" s="20" t="inlineStr">
        <is>
          <t>N/A</t>
        </is>
      </c>
      <c r="P58" s="20" t="n">
        <v>10</v>
      </c>
      <c r="Q58" s="24" t="n">
        <v>4</v>
      </c>
      <c r="R58" s="20" t="inlineStr">
        <is>
          <t>Longer battery than Himeros Halo Pro Sleep Earbuds [HIM-003-04] (10 vs 9 hrs); Lower price than Doris Vertex Air Sleep Earbuds [DOR-004-05] ($164.99 vs $171.99)</t>
        </is>
      </c>
      <c r="S58" s="20" t="inlineStr">
        <is>
          <t>sleep, travel, relaxation</t>
        </is>
      </c>
      <c r="T58" s="0" t="inlineStr">
        <is>
          <t>in_stock</t>
        </is>
      </c>
      <c r="U58" s="0" t="n">
        <v>15</v>
      </c>
      <c r="V58" s="52" t="n">
        <v>171.99</v>
      </c>
      <c r="W58" s="0" t="inlineStr">
        <is>
          <t>2026-09-10</t>
        </is>
      </c>
      <c r="X58" s="0" t="inlineStr">
        <is>
          <t>N/A</t>
        </is>
      </c>
      <c r="Y58" s="0" t="inlineStr">
        <is>
          <t>N/A</t>
        </is>
      </c>
      <c r="Z58" s="0" t="inlineStr">
        <is>
          <t>N/A</t>
        </is>
      </c>
      <c r="AA58" s="0" t="inlineStr">
        <is>
          <t>N/A</t>
        </is>
      </c>
    </row>
    <row r="59" ht="15.75" customHeight="1" s="51">
      <c r="A59" s="20" t="inlineStr">
        <is>
          <t>DEI-005-07</t>
        </is>
      </c>
      <c r="B59" s="20" t="inlineStr">
        <is>
          <t>Deimos</t>
        </is>
      </c>
      <c r="C59" s="20" t="inlineStr">
        <is>
          <t>Headphones &amp; Earbuds</t>
        </is>
      </c>
      <c r="D59" s="20" t="inlineStr">
        <is>
          <t>Headphones</t>
        </is>
      </c>
      <c r="E59" s="21" t="inlineStr">
        <is>
          <t>Deimos Core SE Studio Monitor Headphones</t>
        </is>
      </c>
      <c r="F59" s="23" t="n">
        <v>220.99</v>
      </c>
      <c r="G59" s="20" t="inlineStr">
        <is>
          <t>the Core SE; Deimos Core SE; Deeimos Core SE; Core SE headphones</t>
        </is>
      </c>
      <c r="H59" s="20" t="inlineStr">
        <is>
          <t>1 year limited</t>
        </is>
      </c>
      <c r="I59" s="20" t="inlineStr">
        <is>
          <t>CE, RoHS, Hi-Res Audio</t>
        </is>
      </c>
      <c r="J59" s="20" t="inlineStr">
        <is>
          <t>N/A</t>
        </is>
      </c>
      <c r="K59" s="20" t="inlineStr">
        <is>
          <t>N/A</t>
        </is>
      </c>
      <c r="L59" s="20" t="inlineStr">
        <is>
          <t>N/A</t>
        </is>
      </c>
      <c r="M59" s="20" t="inlineStr">
        <is>
          <t>N/A</t>
        </is>
      </c>
      <c r="N59" s="20" t="inlineStr">
        <is>
          <t>Detachable cable: 3.5mm with 6.35mm adapter</t>
        </is>
      </c>
      <c r="O59" s="20" t="inlineStr">
        <is>
          <t>N/A</t>
        </is>
      </c>
      <c r="P59" s="20" t="inlineStr">
        <is>
          <t>N/A</t>
        </is>
      </c>
      <c r="Q59" s="24" t="n">
        <v>316</v>
      </c>
      <c r="R59" s="20" t="inlineStr">
        <is>
          <t>Lower price than Glaucus Strata Ultra Studio Monitor Headphones [GLA-012-09] ($220.99 vs $478.99); Lighter than Carpo Nova Plus Studio Monitor Headphones [CAR-002-07] (316 g vs 361 g)</t>
        </is>
      </c>
      <c r="S59" s="20" t="inlineStr">
        <is>
          <t>music production, studio, podcasting</t>
        </is>
      </c>
      <c r="T59" s="0" t="inlineStr">
        <is>
          <t>in_stock</t>
        </is>
      </c>
      <c r="U59" s="0" t="n">
        <v>15</v>
      </c>
      <c r="V59" s="52" t="n">
        <v>250.99</v>
      </c>
      <c r="W59" s="0" t="inlineStr">
        <is>
          <t>2026-08-11</t>
        </is>
      </c>
      <c r="X59" s="0" t="inlineStr">
        <is>
          <t>N/A</t>
        </is>
      </c>
      <c r="Y59" s="0" t="inlineStr">
        <is>
          <t>N/A</t>
        </is>
      </c>
      <c r="Z59" s="0" t="inlineStr">
        <is>
          <t>N/A</t>
        </is>
      </c>
      <c r="AA59" s="0" t="inlineStr">
        <is>
          <t>N/A</t>
        </is>
      </c>
    </row>
    <row r="60" ht="15.75" customHeight="1" s="51">
      <c r="A60" s="20" t="inlineStr">
        <is>
          <t>DEI-005-08</t>
        </is>
      </c>
      <c r="B60" s="20" t="inlineStr">
        <is>
          <t>Deimos</t>
        </is>
      </c>
      <c r="C60" s="20" t="inlineStr">
        <is>
          <t>Headphones &amp; Earbuds</t>
        </is>
      </c>
      <c r="D60" s="20" t="inlineStr">
        <is>
          <t>Headphones</t>
        </is>
      </c>
      <c r="E60" s="21" t="inlineStr">
        <is>
          <t>Deimos Apex X ANC Over-Ear Headphones</t>
        </is>
      </c>
      <c r="F60" s="23" t="n">
        <v>362.99</v>
      </c>
      <c r="G60" s="20" t="inlineStr">
        <is>
          <t>the Apex X; Deimos Apex X; Deiimos Apex X; Apex X headphones</t>
        </is>
      </c>
      <c r="H60" s="20" t="inlineStr">
        <is>
          <t>1 year limited</t>
        </is>
      </c>
      <c r="I60" s="20" t="inlineStr">
        <is>
          <t>FCC, CE, Bluetooth SIG Qualified, Hi-Res Audio Wireless</t>
        </is>
      </c>
      <c r="J60" s="20" t="inlineStr">
        <is>
          <t>N/A</t>
        </is>
      </c>
      <c r="K60" s="20" t="inlineStr">
        <is>
          <t>N/A</t>
        </is>
      </c>
      <c r="L60" s="20" t="inlineStr">
        <is>
          <t>N/A</t>
        </is>
      </c>
      <c r="M60" s="20" t="inlineStr">
        <is>
          <t>N/A</t>
        </is>
      </c>
      <c r="N60" s="20" t="inlineStr">
        <is>
          <t>USB-C charging and audio, 3.5mm</t>
        </is>
      </c>
      <c r="O60" s="20" t="inlineStr">
        <is>
          <t>N/A</t>
        </is>
      </c>
      <c r="P60" s="20" t="n">
        <v>36</v>
      </c>
      <c r="Q60" s="24" t="n">
        <v>273</v>
      </c>
      <c r="R60" s="20" t="inlineStr">
        <is>
          <t>Lighter than Glaucus Core Pro ANC Over-Ear Headphones [GLA-012-08] (273 g vs 282 g); Longer battery than Soteria Drift SE ANC Over-Ear Headphones [SOT-014-08] (36 vs 21 hrs)</t>
        </is>
      </c>
      <c r="S60" s="20" t="inlineStr">
        <is>
          <t>travel, commute, office</t>
        </is>
      </c>
      <c r="T60" s="0" t="inlineStr">
        <is>
          <t>low_stock</t>
        </is>
      </c>
      <c r="U60" s="0" t="n">
        <v>15</v>
      </c>
      <c r="V60" s="52" t="n">
        <v>408.99</v>
      </c>
      <c r="W60" s="0" t="inlineStr">
        <is>
          <t>2026-09-13</t>
        </is>
      </c>
      <c r="X60" s="0" t="inlineStr">
        <is>
          <t>N/A</t>
        </is>
      </c>
      <c r="Y60" s="0" t="inlineStr">
        <is>
          <t>N/A</t>
        </is>
      </c>
      <c r="Z60" s="0" t="inlineStr">
        <is>
          <t>N/A</t>
        </is>
      </c>
      <c r="AA60" s="0" t="inlineStr">
        <is>
          <t>N/A</t>
        </is>
      </c>
    </row>
    <row r="61" ht="15.75" customHeight="1" s="51">
      <c r="A61" s="20" t="inlineStr">
        <is>
          <t>DEI-005-09</t>
        </is>
      </c>
      <c r="B61" s="20" t="inlineStr">
        <is>
          <t>Deimos</t>
        </is>
      </c>
      <c r="C61" s="20" t="inlineStr">
        <is>
          <t>Headphones &amp; Earbuds</t>
        </is>
      </c>
      <c r="D61" s="20" t="inlineStr">
        <is>
          <t>Earbuds</t>
        </is>
      </c>
      <c r="E61" s="21" t="inlineStr">
        <is>
          <t>Deimos Rift Wired In-Ear Monitors</t>
        </is>
      </c>
      <c r="F61" s="23" t="n">
        <v>398.99</v>
      </c>
      <c r="G61" s="20" t="inlineStr">
        <is>
          <t>the Rift; Deimos Rift; Deiimos Rift; Rift earbuds</t>
        </is>
      </c>
      <c r="H61" s="20" t="inlineStr">
        <is>
          <t>1 year limited</t>
        </is>
      </c>
      <c r="I61" s="20" t="inlineStr">
        <is>
          <t>CE, RoHS, Hi-Res Audio</t>
        </is>
      </c>
      <c r="J61" s="20" t="inlineStr">
        <is>
          <t>N/A</t>
        </is>
      </c>
      <c r="K61" s="20" t="inlineStr">
        <is>
          <t>N/A</t>
        </is>
      </c>
      <c r="L61" s="20" t="inlineStr">
        <is>
          <t>N/A</t>
        </is>
      </c>
      <c r="M61" s="20" t="inlineStr">
        <is>
          <t>N/A</t>
        </is>
      </c>
      <c r="N61" s="20" t="inlineStr">
        <is>
          <t>Detachable 2-pin cable: 3.5mm and 4.4mm balanced</t>
        </is>
      </c>
      <c r="O61" s="20" t="inlineStr">
        <is>
          <t>N/A</t>
        </is>
      </c>
      <c r="P61" s="20" t="inlineStr">
        <is>
          <t>N/A</t>
        </is>
      </c>
      <c r="Q61" s="24" t="n">
        <v>18</v>
      </c>
      <c r="R61" s="20" t="inlineStr">
        <is>
          <t>Lighter than Poseidon Pulse SE Wired In-Ear Monitors [POS-021-03] (18 g vs 25 g)</t>
        </is>
      </c>
      <c r="S61" s="20" t="inlineStr">
        <is>
          <t>audiophile, stage monitoring, music</t>
        </is>
      </c>
      <c r="T61" s="0" t="inlineStr">
        <is>
          <t>in_stock</t>
        </is>
      </c>
      <c r="U61" s="0" t="n">
        <v>15</v>
      </c>
      <c r="V61" s="52" t="n">
        <v>454.99</v>
      </c>
      <c r="W61" s="0" t="inlineStr">
        <is>
          <t>2026-09-12</t>
        </is>
      </c>
      <c r="X61" s="0" t="inlineStr">
        <is>
          <t>N/A</t>
        </is>
      </c>
      <c r="Y61" s="0" t="inlineStr">
        <is>
          <t>N/A</t>
        </is>
      </c>
      <c r="Z61" s="0" t="inlineStr">
        <is>
          <t>N/A</t>
        </is>
      </c>
      <c r="AA61" s="0" t="inlineStr">
        <is>
          <t>N/A</t>
        </is>
      </c>
    </row>
    <row r="62" ht="15.75" customHeight="1" s="51">
      <c r="A62" s="20" t="inlineStr">
        <is>
          <t>DEI-005-10</t>
        </is>
      </c>
      <c r="B62" s="20" t="inlineStr">
        <is>
          <t>Deimos</t>
        </is>
      </c>
      <c r="C62" s="20" t="inlineStr">
        <is>
          <t>Headphones &amp; Earbuds</t>
        </is>
      </c>
      <c r="D62" s="20" t="inlineStr">
        <is>
          <t>Headphones</t>
        </is>
      </c>
      <c r="E62" s="21" t="inlineStr">
        <is>
          <t>Deimos Orbit Plus Audiophile Planar Headphones</t>
        </is>
      </c>
      <c r="F62" s="23" t="n">
        <v>1455.99</v>
      </c>
      <c r="G62" s="20" t="inlineStr">
        <is>
          <t>the Orbit Plus; Deimos Orbit Plus; Deioms Orbit Plus; Orbit Plus headphones</t>
        </is>
      </c>
      <c r="H62" s="20" t="inlineStr">
        <is>
          <t>1 year limited</t>
        </is>
      </c>
      <c r="I62" s="20" t="inlineStr">
        <is>
          <t>CE, RoHS, Hi-Res Audio</t>
        </is>
      </c>
      <c r="J62" s="20" t="inlineStr">
        <is>
          <t>N/A</t>
        </is>
      </c>
      <c r="K62" s="20" t="inlineStr">
        <is>
          <t>N/A</t>
        </is>
      </c>
      <c r="L62" s="20" t="inlineStr">
        <is>
          <t>N/A</t>
        </is>
      </c>
      <c r="M62" s="20" t="inlineStr">
        <is>
          <t>N/A</t>
        </is>
      </c>
      <c r="N62" s="20" t="inlineStr">
        <is>
          <t>Detachable cable: 3.5mm, 6.35mm and 4.4mm balanced</t>
        </is>
      </c>
      <c r="O62" s="20" t="inlineStr">
        <is>
          <t>N/A</t>
        </is>
      </c>
      <c r="P62" s="20" t="inlineStr">
        <is>
          <t>N/A</t>
        </is>
      </c>
      <c r="Q62" s="24" t="n">
        <v>460</v>
      </c>
      <c r="R62" s="20" t="inlineStr">
        <is>
          <t>Lighter than Tartarus Pulse Ultra Audiophile Planar Headphones [TAR-017-10] (460 g vs 497 g)</t>
        </is>
      </c>
      <c r="S62" s="20" t="inlineStr">
        <is>
          <t>audiophile, home listening, studio</t>
        </is>
      </c>
      <c r="T62" s="0" t="inlineStr">
        <is>
          <t>low_stock</t>
        </is>
      </c>
      <c r="U62" s="0" t="n">
        <v>15</v>
      </c>
      <c r="V62" s="52" t="n">
        <v>1614.99</v>
      </c>
      <c r="W62" s="0" t="inlineStr">
        <is>
          <t>2026-08-31</t>
        </is>
      </c>
      <c r="X62" s="0" t="inlineStr">
        <is>
          <t>N/A</t>
        </is>
      </c>
      <c r="Y62" s="0" t="inlineStr">
        <is>
          <t>N/A</t>
        </is>
      </c>
      <c r="Z62" s="0" t="inlineStr">
        <is>
          <t>N/A</t>
        </is>
      </c>
      <c r="AA62" s="0" t="inlineStr">
        <is>
          <t>N/A</t>
        </is>
      </c>
    </row>
    <row r="63" ht="15.75" customHeight="1" s="51">
      <c r="A63" s="20" t="inlineStr">
        <is>
          <t>AST-006-01</t>
        </is>
      </c>
      <c r="B63" s="20" t="inlineStr">
        <is>
          <t>Asteria</t>
        </is>
      </c>
      <c r="C63" s="20" t="inlineStr">
        <is>
          <t>Headphones &amp; Earbuds</t>
        </is>
      </c>
      <c r="D63" s="20" t="inlineStr">
        <is>
          <t>Headphones</t>
        </is>
      </c>
      <c r="E63" s="21" t="inlineStr">
        <is>
          <t>Asteria Apex Air On-Ear Headphones</t>
        </is>
      </c>
      <c r="F63" s="23" t="n">
        <v>60.99</v>
      </c>
      <c r="G63" s="20" t="inlineStr">
        <is>
          <t>the Apex Air; Asteria Apex Air; Atseria Apex Air; Apex Air headphones</t>
        </is>
      </c>
      <c r="H63" s="20" t="inlineStr">
        <is>
          <t>1 year limited</t>
        </is>
      </c>
      <c r="I63" s="20" t="inlineStr">
        <is>
          <t>FCC, CE, Bluetooth SIG Qualified</t>
        </is>
      </c>
      <c r="J63" s="20" t="inlineStr">
        <is>
          <t>N/A</t>
        </is>
      </c>
      <c r="K63" s="20" t="inlineStr">
        <is>
          <t>N/A</t>
        </is>
      </c>
      <c r="L63" s="20" t="inlineStr">
        <is>
          <t>N/A</t>
        </is>
      </c>
      <c r="M63" s="20" t="inlineStr">
        <is>
          <t>N/A</t>
        </is>
      </c>
      <c r="N63" s="20" t="inlineStr">
        <is>
          <t>USB-C charging, 3.5mm</t>
        </is>
      </c>
      <c r="O63" s="20" t="inlineStr">
        <is>
          <t>N/A</t>
        </is>
      </c>
      <c r="P63" s="20" t="n">
        <v>49</v>
      </c>
      <c r="Q63" s="24" t="n">
        <v>187</v>
      </c>
      <c r="R63" s="20" t="inlineStr">
        <is>
          <t>Longer battery than Tethys Pulse Plus On-Ear Headphones [TET-007-03] (49 vs 38 hrs); Lighter than Asclepius Vertex On-Ear Headphones [ASC-024-05] (187 g vs 220 g)</t>
        </is>
      </c>
      <c r="S63" s="20" t="inlineStr">
        <is>
          <t>everyday, commute, school</t>
        </is>
      </c>
      <c r="T63" s="0" t="inlineStr">
        <is>
          <t>in_stock</t>
        </is>
      </c>
      <c r="U63" s="0" t="n">
        <v>15</v>
      </c>
      <c r="V63" s="52" t="n">
        <v>67.98999999999999</v>
      </c>
      <c r="W63" s="0" t="inlineStr">
        <is>
          <t>2026-08-26</t>
        </is>
      </c>
      <c r="X63" s="0" t="inlineStr">
        <is>
          <t>N/A</t>
        </is>
      </c>
      <c r="Y63" s="0" t="inlineStr">
        <is>
          <t>N/A</t>
        </is>
      </c>
      <c r="Z63" s="0" t="inlineStr">
        <is>
          <t>N/A</t>
        </is>
      </c>
      <c r="AA63" s="0" t="inlineStr">
        <is>
          <t>N/A</t>
        </is>
      </c>
    </row>
    <row r="64" ht="15.75" customHeight="1" s="51">
      <c r="A64" s="20" t="inlineStr">
        <is>
          <t>AST-006-02</t>
        </is>
      </c>
      <c r="B64" s="20" t="inlineStr">
        <is>
          <t>Asteria</t>
        </is>
      </c>
      <c r="C64" s="20" t="inlineStr">
        <is>
          <t>Headphones &amp; Earbuds</t>
        </is>
      </c>
      <c r="D64" s="20" t="inlineStr">
        <is>
          <t>Earbuds</t>
        </is>
      </c>
      <c r="E64" s="21" t="inlineStr">
        <is>
          <t>Asteria Core Sport Earbuds</t>
        </is>
      </c>
      <c r="F64" s="23" t="n">
        <v>72.98999999999999</v>
      </c>
      <c r="G64" s="20" t="inlineStr">
        <is>
          <t>the Core; Asteria Core; Asteriaa Core; Core earbuds</t>
        </is>
      </c>
      <c r="H64" s="20" t="inlineStr">
        <is>
          <t>1 year limited</t>
        </is>
      </c>
      <c r="I64" s="20" t="inlineStr">
        <is>
          <t>FCC, CE, Bluetooth SIG Qualified, IPX5</t>
        </is>
      </c>
      <c r="J64" s="20" t="inlineStr">
        <is>
          <t>N/A</t>
        </is>
      </c>
      <c r="K64" s="20" t="inlineStr">
        <is>
          <t>N/A</t>
        </is>
      </c>
      <c r="L64" s="20" t="inlineStr">
        <is>
          <t>N/A</t>
        </is>
      </c>
      <c r="M64" s="20" t="inlineStr">
        <is>
          <t>N/A</t>
        </is>
      </c>
      <c r="N64" s="20" t="inlineStr">
        <is>
          <t>USB-C charging case</t>
        </is>
      </c>
      <c r="O64" s="20" t="inlineStr">
        <is>
          <t>N/A</t>
        </is>
      </c>
      <c r="P64" s="20" t="n">
        <v>8</v>
      </c>
      <c r="Q64" s="24" t="n">
        <v>9</v>
      </c>
      <c r="R64" s="20" t="inlineStr">
        <is>
          <t>Lower price than Asclepius Aria Sport Earbuds [ASC-024-02] ($72.99 vs $95.99); Longer battery than Achelous Core Max Sport Earbuds [ACH-018-04] (8 vs 6 hrs)</t>
        </is>
      </c>
      <c r="S64" s="20" t="inlineStr">
        <is>
          <t>gym, running, sport</t>
        </is>
      </c>
      <c r="T64" s="0" t="inlineStr">
        <is>
          <t>in_stock</t>
        </is>
      </c>
      <c r="U64" s="0" t="n">
        <v>15</v>
      </c>
      <c r="V64" s="52" t="n">
        <v>78.98999999999999</v>
      </c>
      <c r="W64" s="0" t="inlineStr">
        <is>
          <t>2026-09-16</t>
        </is>
      </c>
      <c r="X64" s="0" t="inlineStr">
        <is>
          <t>N/A</t>
        </is>
      </c>
      <c r="Y64" s="0" t="inlineStr">
        <is>
          <t>N/A</t>
        </is>
      </c>
      <c r="Z64" s="0" t="inlineStr">
        <is>
          <t>N/A</t>
        </is>
      </c>
      <c r="AA64" s="0" t="inlineStr">
        <is>
          <t>N/A</t>
        </is>
      </c>
    </row>
    <row r="65" ht="15.75" customHeight="1" s="51">
      <c r="A65" s="20" t="inlineStr">
        <is>
          <t>AST-006-03</t>
        </is>
      </c>
      <c r="B65" s="20" t="inlineStr">
        <is>
          <t>Asteria</t>
        </is>
      </c>
      <c r="C65" s="20" t="inlineStr">
        <is>
          <t>Headphones &amp; Earbuds</t>
        </is>
      </c>
      <c r="D65" s="20" t="inlineStr">
        <is>
          <t>Headset</t>
        </is>
      </c>
      <c r="E65" s="21" t="inlineStr">
        <is>
          <t>Asteria Core Max Gaming Headset</t>
        </is>
      </c>
      <c r="F65" s="23" t="n">
        <v>127.99</v>
      </c>
      <c r="G65" s="20" t="inlineStr">
        <is>
          <t>the Core Max; Asteria Core Max; Asteriaa Core Max; Core Max headset</t>
        </is>
      </c>
      <c r="H65" s="20" t="inlineStr">
        <is>
          <t>1 year limited</t>
        </is>
      </c>
      <c r="I65" s="20" t="inlineStr">
        <is>
          <t>FCC, CE, Bluetooth SIG Qualified</t>
        </is>
      </c>
      <c r="J65" s="20" t="inlineStr">
        <is>
          <t>N/A</t>
        </is>
      </c>
      <c r="K65" s="20" t="inlineStr">
        <is>
          <t>N/A</t>
        </is>
      </c>
      <c r="L65" s="20" t="inlineStr">
        <is>
          <t>N/A</t>
        </is>
      </c>
      <c r="M65" s="20" t="inlineStr">
        <is>
          <t>N/A</t>
        </is>
      </c>
      <c r="N65" s="20" t="inlineStr">
        <is>
          <t>USB-C, 3.5mm, 2.4GHz USB dongle</t>
        </is>
      </c>
      <c r="O65" s="20" t="inlineStr">
        <is>
          <t>N/A</t>
        </is>
      </c>
      <c r="P65" s="20" t="n">
        <v>47</v>
      </c>
      <c r="Q65" s="24" t="n">
        <v>372</v>
      </c>
      <c r="R65" s="20" t="inlineStr">
        <is>
          <t>Lower price than Ananke Vertex Gaming Headset [ANA-023-09] ($127.99 vs $284.99); Longer battery than Euphrosyne Arc Plus Gaming Headset [EUP-019-06] (47 vs 22 hrs)</t>
        </is>
      </c>
      <c r="S65" s="20" t="inlineStr">
        <is>
          <t>gaming, streaming, voice chat</t>
        </is>
      </c>
      <c r="T65" s="0" t="inlineStr">
        <is>
          <t>in_stock</t>
        </is>
      </c>
      <c r="U65" s="0" t="n">
        <v>15</v>
      </c>
      <c r="V65" s="52" t="n">
        <v>143.99</v>
      </c>
      <c r="W65" s="0" t="inlineStr">
        <is>
          <t>2026-09-23</t>
        </is>
      </c>
      <c r="X65" s="0" t="inlineStr">
        <is>
          <t>N/A</t>
        </is>
      </c>
      <c r="Y65" s="0" t="inlineStr">
        <is>
          <t>N/A</t>
        </is>
      </c>
      <c r="Z65" s="0" t="inlineStr">
        <is>
          <t>N/A</t>
        </is>
      </c>
      <c r="AA65" s="0" t="inlineStr">
        <is>
          <t>N/A</t>
        </is>
      </c>
    </row>
    <row r="66" ht="15.75" customHeight="1" s="51">
      <c r="A66" s="20" t="inlineStr">
        <is>
          <t>AST-006-04</t>
        </is>
      </c>
      <c r="B66" s="20" t="inlineStr">
        <is>
          <t>Asteria</t>
        </is>
      </c>
      <c r="C66" s="20" t="inlineStr">
        <is>
          <t>Headphones &amp; Earbuds</t>
        </is>
      </c>
      <c r="D66" s="20" t="inlineStr">
        <is>
          <t>Earbuds</t>
        </is>
      </c>
      <c r="E66" s="21" t="inlineStr">
        <is>
          <t>Asteria Volt Max Wired In-Ear Monitors</t>
        </is>
      </c>
      <c r="F66" s="23" t="n">
        <v>139.99</v>
      </c>
      <c r="G66" s="20" t="inlineStr">
        <is>
          <t>the Volt Max; Asteria Volt Max; Asteriaa Volt Max; Volt Max earbuds</t>
        </is>
      </c>
      <c r="H66" s="20" t="inlineStr">
        <is>
          <t>1 year limited</t>
        </is>
      </c>
      <c r="I66" s="20" t="inlineStr">
        <is>
          <t>CE, RoHS, Hi-Res Audio</t>
        </is>
      </c>
      <c r="J66" s="20" t="inlineStr">
        <is>
          <t>N/A</t>
        </is>
      </c>
      <c r="K66" s="20" t="inlineStr">
        <is>
          <t>N/A</t>
        </is>
      </c>
      <c r="L66" s="20" t="inlineStr">
        <is>
          <t>N/A</t>
        </is>
      </c>
      <c r="M66" s="20" t="inlineStr">
        <is>
          <t>N/A</t>
        </is>
      </c>
      <c r="N66" s="20" t="inlineStr">
        <is>
          <t>Detachable 2-pin cable: 3.5mm</t>
        </is>
      </c>
      <c r="O66" s="20" t="inlineStr">
        <is>
          <t>N/A</t>
        </is>
      </c>
      <c r="P66" s="20" t="inlineStr">
        <is>
          <t>N/A</t>
        </is>
      </c>
      <c r="Q66" s="24" t="n">
        <v>21</v>
      </c>
      <c r="R66" s="20" t="inlineStr">
        <is>
          <t>Lighter than Asclepius Spark Wired In-Ear Monitors [ASC-024-09] (21 g vs 40 g); Lower price than Euphrosyne Axis Lite Wired In-Ear Monitors [EUP-019-04] ($139.99 vs $163.99)</t>
        </is>
      </c>
      <c r="S66" s="20" t="inlineStr">
        <is>
          <t>audiophile, stage monitoring, music</t>
        </is>
      </c>
      <c r="T66" s="0" t="inlineStr">
        <is>
          <t>in_stock</t>
        </is>
      </c>
      <c r="U66" s="0" t="n">
        <v>15</v>
      </c>
      <c r="V66" s="52" t="n">
        <v>153.99</v>
      </c>
      <c r="W66" s="0" t="inlineStr">
        <is>
          <t>2026-08-07</t>
        </is>
      </c>
      <c r="X66" s="0" t="inlineStr">
        <is>
          <t>N/A</t>
        </is>
      </c>
      <c r="Y66" s="0" t="inlineStr">
        <is>
          <t>N/A</t>
        </is>
      </c>
      <c r="Z66" s="0" t="inlineStr">
        <is>
          <t>N/A</t>
        </is>
      </c>
      <c r="AA66" s="0" t="inlineStr">
        <is>
          <t>N/A</t>
        </is>
      </c>
    </row>
    <row r="67" ht="15.75" customHeight="1" s="51">
      <c r="A67" s="20" t="inlineStr">
        <is>
          <t>AST-006-05</t>
        </is>
      </c>
      <c r="B67" s="20" t="inlineStr">
        <is>
          <t>Asteria</t>
        </is>
      </c>
      <c r="C67" s="20" t="inlineStr">
        <is>
          <t>Headphones &amp; Earbuds</t>
        </is>
      </c>
      <c r="D67" s="20" t="inlineStr">
        <is>
          <t>Headphones</t>
        </is>
      </c>
      <c r="E67" s="21" t="inlineStr">
        <is>
          <t>Asteria Drift Air Bone Conduction Headphones</t>
        </is>
      </c>
      <c r="F67" s="23" t="n">
        <v>181.99</v>
      </c>
      <c r="G67" s="20" t="inlineStr">
        <is>
          <t>the Drift Air; Asteria Drift Air; Astreia Drift Air; Drift Air headphones</t>
        </is>
      </c>
      <c r="H67" s="20" t="inlineStr">
        <is>
          <t>1 year limited</t>
        </is>
      </c>
      <c r="I67" s="20" t="inlineStr">
        <is>
          <t>FCC, CE, Bluetooth SIG Qualified, IP67</t>
        </is>
      </c>
      <c r="J67" s="20" t="inlineStr">
        <is>
          <t>N/A</t>
        </is>
      </c>
      <c r="K67" s="20" t="inlineStr">
        <is>
          <t>N/A</t>
        </is>
      </c>
      <c r="L67" s="20" t="inlineStr">
        <is>
          <t>N/A</t>
        </is>
      </c>
      <c r="M67" s="20" t="inlineStr">
        <is>
          <t>N/A</t>
        </is>
      </c>
      <c r="N67" s="20" t="inlineStr">
        <is>
          <t>Magnetic USB charging</t>
        </is>
      </c>
      <c r="O67" s="20" t="inlineStr">
        <is>
          <t>N/A</t>
        </is>
      </c>
      <c r="P67" s="20" t="n">
        <v>6</v>
      </c>
      <c r="Q67" s="24" t="n">
        <v>34</v>
      </c>
      <c r="R67" s="20" t="inlineStr">
        <is>
          <t>Lower price than Doris Echo Lite Bone Conduction Headphones [DOR-004-06] ($181.99 vs $193.99); Lighter than Tartarus Volt Max Bone Conduction Headphones [TAR-017-03] (34 g vs 35 g)</t>
        </is>
      </c>
      <c r="S67" s="20" t="inlineStr">
        <is>
          <t>running, cycling, outdoor</t>
        </is>
      </c>
      <c r="T67" s="0" t="inlineStr">
        <is>
          <t>low_stock</t>
        </is>
      </c>
      <c r="U67" s="0" t="n">
        <v>15</v>
      </c>
      <c r="V67" s="52" t="n">
        <v>193.99</v>
      </c>
      <c r="W67" s="0" t="inlineStr">
        <is>
          <t>2026-09-12</t>
        </is>
      </c>
      <c r="X67" s="0" t="inlineStr">
        <is>
          <t>N/A</t>
        </is>
      </c>
      <c r="Y67" s="0" t="inlineStr">
        <is>
          <t>N/A</t>
        </is>
      </c>
      <c r="Z67" s="0" t="inlineStr">
        <is>
          <t>N/A</t>
        </is>
      </c>
      <c r="AA67" s="0" t="inlineStr">
        <is>
          <t>N/A</t>
        </is>
      </c>
    </row>
    <row r="68" ht="15.75" customHeight="1" s="51">
      <c r="A68" s="20" t="inlineStr">
        <is>
          <t>AST-006-06</t>
        </is>
      </c>
      <c r="B68" s="20" t="inlineStr">
        <is>
          <t>Asteria</t>
        </is>
      </c>
      <c r="C68" s="20" t="inlineStr">
        <is>
          <t>Headphones &amp; Earbuds</t>
        </is>
      </c>
      <c r="D68" s="20" t="inlineStr">
        <is>
          <t>Earbuds</t>
        </is>
      </c>
      <c r="E68" s="21" t="inlineStr">
        <is>
          <t>Asteria Halo Plus True Wireless Earbuds</t>
        </is>
      </c>
      <c r="F68" s="23" t="n">
        <v>202.99</v>
      </c>
      <c r="G68" s="20" t="inlineStr">
        <is>
          <t>the Halo Plus; Asteria Halo Plus; Asetria Halo Plus; Halo Plus earbuds</t>
        </is>
      </c>
      <c r="H68" s="20" t="inlineStr">
        <is>
          <t>1 year limited</t>
        </is>
      </c>
      <c r="I68" s="20" t="inlineStr">
        <is>
          <t>FCC, CE, Bluetooth SIG Qualified, IPX4</t>
        </is>
      </c>
      <c r="J68" s="20" t="inlineStr">
        <is>
          <t>N/A</t>
        </is>
      </c>
      <c r="K68" s="20" t="inlineStr">
        <is>
          <t>N/A</t>
        </is>
      </c>
      <c r="L68" s="20" t="inlineStr">
        <is>
          <t>N/A</t>
        </is>
      </c>
      <c r="M68" s="20" t="inlineStr">
        <is>
          <t>N/A</t>
        </is>
      </c>
      <c r="N68" s="20" t="inlineStr">
        <is>
          <t>USB-C charging case</t>
        </is>
      </c>
      <c r="O68" s="20" t="inlineStr">
        <is>
          <t>N/A</t>
        </is>
      </c>
      <c r="P68" s="20" t="n">
        <v>10</v>
      </c>
      <c r="Q68" s="24" t="n">
        <v>4</v>
      </c>
      <c r="R68" s="20" t="inlineStr">
        <is>
          <t>Lower price than Hesperus Halo Pro True Wireless Earbuds [HES-025-07] ($202.99 vs $270.99); Lighter than Euphrosyne Prism True Wireless Earbuds [EUP-019-02] (4 g vs 6 g)</t>
        </is>
      </c>
      <c r="S68" s="20" t="inlineStr">
        <is>
          <t>commute, everyday, travel</t>
        </is>
      </c>
      <c r="T68" s="0" t="inlineStr">
        <is>
          <t>in_stock</t>
        </is>
      </c>
      <c r="U68" s="0" t="n">
        <v>15</v>
      </c>
      <c r="V68" s="52" t="n">
        <v>217.99</v>
      </c>
      <c r="W68" s="0" t="inlineStr">
        <is>
          <t>2026-09-20</t>
        </is>
      </c>
      <c r="X68" s="0" t="inlineStr">
        <is>
          <t>N/A</t>
        </is>
      </c>
      <c r="Y68" s="0" t="inlineStr">
        <is>
          <t>N/A</t>
        </is>
      </c>
      <c r="Z68" s="0" t="inlineStr">
        <is>
          <t>N/A</t>
        </is>
      </c>
      <c r="AA68" s="0" t="inlineStr">
        <is>
          <t>N/A</t>
        </is>
      </c>
    </row>
    <row r="69" ht="15.75" customHeight="1" s="51">
      <c r="A69" s="20" t="inlineStr">
        <is>
          <t>AST-006-07</t>
        </is>
      </c>
      <c r="B69" s="20" t="inlineStr">
        <is>
          <t>Asteria</t>
        </is>
      </c>
      <c r="C69" s="20" t="inlineStr">
        <is>
          <t>Headphones &amp; Earbuds</t>
        </is>
      </c>
      <c r="D69" s="20" t="inlineStr">
        <is>
          <t>Headphones</t>
        </is>
      </c>
      <c r="E69" s="21" t="inlineStr">
        <is>
          <t>Asteria Aeon Air ANC Over-Ear Headphones</t>
        </is>
      </c>
      <c r="F69" s="23" t="n">
        <v>228.99</v>
      </c>
      <c r="G69" s="20" t="inlineStr">
        <is>
          <t>the Aeon Air; Asteria Aeon Air; Asteriia Aeon Air; Aeon Air headphones</t>
        </is>
      </c>
      <c r="H69" s="20" t="inlineStr">
        <is>
          <t>1 year limited</t>
        </is>
      </c>
      <c r="I69" s="20" t="inlineStr">
        <is>
          <t>FCC, CE, Bluetooth SIG Qualified</t>
        </is>
      </c>
      <c r="J69" s="20" t="inlineStr">
        <is>
          <t>N/A</t>
        </is>
      </c>
      <c r="K69" s="20" t="inlineStr">
        <is>
          <t>N/A</t>
        </is>
      </c>
      <c r="L69" s="20" t="inlineStr">
        <is>
          <t>N/A</t>
        </is>
      </c>
      <c r="M69" s="20" t="inlineStr">
        <is>
          <t>N/A</t>
        </is>
      </c>
      <c r="N69" s="20" t="inlineStr">
        <is>
          <t>USB-C charging and audio, 3.5mm</t>
        </is>
      </c>
      <c r="O69" s="20" t="inlineStr">
        <is>
          <t>N/A</t>
        </is>
      </c>
      <c r="P69" s="20" t="n">
        <v>53</v>
      </c>
      <c r="Q69" s="24" t="n">
        <v>265</v>
      </c>
      <c r="R69" s="20" t="inlineStr">
        <is>
          <t>Longer battery than Ananke Zen Max ANC Over-Ear Headphones [ANA-023-07] (53 vs 20 hrs); Lighter than Deimos Apex X ANC Over-Ear Headphones [DEI-005-08] (265 g vs 273 g)</t>
        </is>
      </c>
      <c r="S69" s="20" t="inlineStr">
        <is>
          <t>travel, commute, office</t>
        </is>
      </c>
      <c r="T69" s="0" t="inlineStr">
        <is>
          <t>in_stock</t>
        </is>
      </c>
      <c r="U69" s="0" t="n">
        <v>15</v>
      </c>
      <c r="V69" s="52" t="n">
        <v>249.99</v>
      </c>
      <c r="W69" s="0" t="inlineStr">
        <is>
          <t>2026-08-15</t>
        </is>
      </c>
      <c r="X69" s="0" t="inlineStr">
        <is>
          <t>N/A</t>
        </is>
      </c>
      <c r="Y69" s="0" t="inlineStr">
        <is>
          <t>N/A</t>
        </is>
      </c>
      <c r="Z69" s="0" t="inlineStr">
        <is>
          <t>N/A</t>
        </is>
      </c>
      <c r="AA69" s="0" t="inlineStr">
        <is>
          <t>N/A</t>
        </is>
      </c>
    </row>
    <row r="70" ht="15.75" customHeight="1" s="51">
      <c r="A70" s="20" t="inlineStr">
        <is>
          <t>AST-006-08</t>
        </is>
      </c>
      <c r="B70" s="20" t="inlineStr">
        <is>
          <t>Asteria</t>
        </is>
      </c>
      <c r="C70" s="20" t="inlineStr">
        <is>
          <t>Headphones &amp; Earbuds</t>
        </is>
      </c>
      <c r="D70" s="20" t="inlineStr">
        <is>
          <t>Headphones</t>
        </is>
      </c>
      <c r="E70" s="21" t="inlineStr">
        <is>
          <t>Asteria Rift Studio Monitor Headphones</t>
        </is>
      </c>
      <c r="F70" s="23" t="n">
        <v>251.99</v>
      </c>
      <c r="G70" s="20" t="inlineStr">
        <is>
          <t>the Rift; Asteria Rift; Asteriia Rift; Rift headphones</t>
        </is>
      </c>
      <c r="H70" s="20" t="inlineStr">
        <is>
          <t>1 year limited</t>
        </is>
      </c>
      <c r="I70" s="20" t="inlineStr">
        <is>
          <t>CE, RoHS, Hi-Res Audio</t>
        </is>
      </c>
      <c r="J70" s="20" t="inlineStr">
        <is>
          <t>N/A</t>
        </is>
      </c>
      <c r="K70" s="20" t="inlineStr">
        <is>
          <t>N/A</t>
        </is>
      </c>
      <c r="L70" s="20" t="inlineStr">
        <is>
          <t>N/A</t>
        </is>
      </c>
      <c r="M70" s="20" t="inlineStr">
        <is>
          <t>N/A</t>
        </is>
      </c>
      <c r="N70" s="20" t="inlineStr">
        <is>
          <t>Detachable cable: 3.5mm with 6.35mm adapter</t>
        </is>
      </c>
      <c r="O70" s="20" t="inlineStr">
        <is>
          <t>N/A</t>
        </is>
      </c>
      <c r="P70" s="20" t="inlineStr">
        <is>
          <t>N/A</t>
        </is>
      </c>
      <c r="Q70" s="24" t="n">
        <v>282</v>
      </c>
      <c r="R70" s="20" t="inlineStr">
        <is>
          <t>Lower price than Soteria Zen Pro Studio Monitor Headphones [SOT-014-09] ($251.99 vs $292.99); Lighter than Himeros Flux Studio Monitor Headphones [HIM-003-07] (282 g vs 349 g)</t>
        </is>
      </c>
      <c r="S70" s="20" t="inlineStr">
        <is>
          <t>music production, studio, podcasting</t>
        </is>
      </c>
      <c r="T70" s="0" t="inlineStr">
        <is>
          <t>in_stock</t>
        </is>
      </c>
      <c r="U70" s="0" t="n">
        <v>15</v>
      </c>
      <c r="V70" s="52" t="n">
        <v>267.99</v>
      </c>
      <c r="W70" s="0" t="inlineStr">
        <is>
          <t>2026-09-17</t>
        </is>
      </c>
      <c r="X70" s="0" t="inlineStr">
        <is>
          <t>N/A</t>
        </is>
      </c>
      <c r="Y70" s="0" t="inlineStr">
        <is>
          <t>N/A</t>
        </is>
      </c>
      <c r="Z70" s="0" t="inlineStr">
        <is>
          <t>N/A</t>
        </is>
      </c>
      <c r="AA70" s="0" t="inlineStr">
        <is>
          <t>N/A</t>
        </is>
      </c>
    </row>
    <row r="71" ht="15.75" customHeight="1" s="51">
      <c r="A71" s="20" t="inlineStr">
        <is>
          <t>AST-006-09</t>
        </is>
      </c>
      <c r="B71" s="20" t="inlineStr">
        <is>
          <t>Asteria</t>
        </is>
      </c>
      <c r="C71" s="20" t="inlineStr">
        <is>
          <t>Headphones &amp; Earbuds</t>
        </is>
      </c>
      <c r="D71" s="20" t="inlineStr">
        <is>
          <t>Earbuds</t>
        </is>
      </c>
      <c r="E71" s="21" t="inlineStr">
        <is>
          <t>Asteria Prism X Sleep Earbuds</t>
        </is>
      </c>
      <c r="F71" s="23" t="n">
        <v>278.99</v>
      </c>
      <c r="G71" s="20" t="inlineStr">
        <is>
          <t>the Prism X; Asteria Prism X; Asteeria Prism X; Prism X earbuds</t>
        </is>
      </c>
      <c r="H71" s="20" t="inlineStr">
        <is>
          <t>1 year limited</t>
        </is>
      </c>
      <c r="I71" s="20" t="inlineStr">
        <is>
          <t>FCC, CE, Bluetooth SIG Qualified</t>
        </is>
      </c>
      <c r="J71" s="20" t="inlineStr">
        <is>
          <t>N/A</t>
        </is>
      </c>
      <c r="K71" s="20" t="inlineStr">
        <is>
          <t>N/A</t>
        </is>
      </c>
      <c r="L71" s="20" t="inlineStr">
        <is>
          <t>N/A</t>
        </is>
      </c>
      <c r="M71" s="20" t="inlineStr">
        <is>
          <t>N/A</t>
        </is>
      </c>
      <c r="N71" s="20" t="inlineStr">
        <is>
          <t>USB-C charging case</t>
        </is>
      </c>
      <c r="O71" s="20" t="inlineStr">
        <is>
          <t>N/A</t>
        </is>
      </c>
      <c r="P71" s="20" t="n">
        <v>9</v>
      </c>
      <c r="Q71" s="24" t="n">
        <v>3</v>
      </c>
      <c r="R71" s="20" t="inlineStr">
        <is>
          <t>Lighter than Deimos Halo Plus Sleep Earbuds [DEI-005-06] (3 g vs 4 g); Longer battery than Clio Blaze Plus Sleep Earbuds [CLI-022-07] (9 vs 8 hrs)</t>
        </is>
      </c>
      <c r="S71" s="20" t="inlineStr">
        <is>
          <t>sleep, travel, relaxation</t>
        </is>
      </c>
      <c r="T71" s="0" t="inlineStr">
        <is>
          <t>in_stock</t>
        </is>
      </c>
      <c r="U71" s="0" t="n">
        <v>15</v>
      </c>
      <c r="V71" s="52" t="n">
        <v>294.99</v>
      </c>
      <c r="W71" s="0" t="inlineStr">
        <is>
          <t>2026-09-01</t>
        </is>
      </c>
      <c r="X71" s="0" t="inlineStr">
        <is>
          <t>N/A</t>
        </is>
      </c>
      <c r="Y71" s="0" t="inlineStr">
        <is>
          <t>N/A</t>
        </is>
      </c>
      <c r="Z71" s="0" t="inlineStr">
        <is>
          <t>N/A</t>
        </is>
      </c>
      <c r="AA71" s="0" t="inlineStr">
        <is>
          <t>N/A</t>
        </is>
      </c>
    </row>
    <row r="72" ht="15.75" customHeight="1" s="51">
      <c r="A72" s="20" t="inlineStr">
        <is>
          <t>AST-006-10</t>
        </is>
      </c>
      <c r="B72" s="20" t="inlineStr">
        <is>
          <t>Asteria</t>
        </is>
      </c>
      <c r="C72" s="20" t="inlineStr">
        <is>
          <t>Headphones &amp; Earbuds</t>
        </is>
      </c>
      <c r="D72" s="20" t="inlineStr">
        <is>
          <t>Headphones</t>
        </is>
      </c>
      <c r="E72" s="21" t="inlineStr">
        <is>
          <t>Asteria Blaze Air Audiophile Planar Headphones</t>
        </is>
      </c>
      <c r="F72" s="23" t="n">
        <v>517.99</v>
      </c>
      <c r="G72" s="20" t="inlineStr">
        <is>
          <t>the Blaze Air; Asteria Blaze Air; Asteeria Blaze Air; Blaze Air headphones</t>
        </is>
      </c>
      <c r="H72" s="20" t="inlineStr">
        <is>
          <t>1 year limited</t>
        </is>
      </c>
      <c r="I72" s="20" t="inlineStr">
        <is>
          <t>CE, RoHS, Hi-Res Audio</t>
        </is>
      </c>
      <c r="J72" s="20" t="inlineStr">
        <is>
          <t>N/A</t>
        </is>
      </c>
      <c r="K72" s="20" t="inlineStr">
        <is>
          <t>N/A</t>
        </is>
      </c>
      <c r="L72" s="20" t="inlineStr">
        <is>
          <t>N/A</t>
        </is>
      </c>
      <c r="M72" s="20" t="inlineStr">
        <is>
          <t>N/A</t>
        </is>
      </c>
      <c r="N72" s="20" t="inlineStr">
        <is>
          <t>Detachable cable: 3.5mm, 6.35mm and 4.4mm balanced</t>
        </is>
      </c>
      <c r="O72" s="20" t="inlineStr">
        <is>
          <t>N/A</t>
        </is>
      </c>
      <c r="P72" s="20" t="inlineStr">
        <is>
          <t>N/A</t>
        </is>
      </c>
      <c r="Q72" s="24" t="n">
        <v>387</v>
      </c>
      <c r="R72" s="20" t="inlineStr">
        <is>
          <t>Lighter than Glaucus Onyx Air Audiophile Planar Headphones [GLA-012-10] (387 g vs 484 g); Lower price than Chaos Sable X Audiophile Planar Headphones [CHA-016-10] ($517.99 vs $545.99)</t>
        </is>
      </c>
      <c r="S72" s="20" t="inlineStr">
        <is>
          <t>audiophile, home listening, studio</t>
        </is>
      </c>
      <c r="T72" s="0" t="inlineStr">
        <is>
          <t>in_stock</t>
        </is>
      </c>
      <c r="U72" s="0" t="n">
        <v>15</v>
      </c>
      <c r="V72" s="52" t="n">
        <v>595.99</v>
      </c>
      <c r="W72" s="0" t="inlineStr">
        <is>
          <t>2026-09-06</t>
        </is>
      </c>
      <c r="X72" s="0" t="inlineStr">
        <is>
          <t>N/A</t>
        </is>
      </c>
      <c r="Y72" s="0" t="inlineStr">
        <is>
          <t>N/A</t>
        </is>
      </c>
      <c r="Z72" s="0" t="inlineStr">
        <is>
          <t>N/A</t>
        </is>
      </c>
      <c r="AA72" s="0" t="inlineStr">
        <is>
          <t>N/A</t>
        </is>
      </c>
    </row>
    <row r="73" ht="15.75" customHeight="1" s="51">
      <c r="A73" s="20" t="inlineStr">
        <is>
          <t>TET-007-01</t>
        </is>
      </c>
      <c r="B73" s="20" t="inlineStr">
        <is>
          <t>Tethys</t>
        </is>
      </c>
      <c r="C73" s="20" t="inlineStr">
        <is>
          <t>Headphones &amp; Earbuds</t>
        </is>
      </c>
      <c r="D73" s="20" t="inlineStr">
        <is>
          <t>Headphones</t>
        </is>
      </c>
      <c r="E73" s="21" t="inlineStr">
        <is>
          <t>Tethys Pulse Kids Headphones</t>
        </is>
      </c>
      <c r="F73" s="23" t="n">
        <v>53.99</v>
      </c>
      <c r="G73" s="20" t="inlineStr">
        <is>
          <t>the Pulse; Tethys Pulse; Tethyys Pulse; Pulse headphones</t>
        </is>
      </c>
      <c r="H73" s="20" t="inlineStr">
        <is>
          <t>1 year limited</t>
        </is>
      </c>
      <c r="I73" s="20" t="inlineStr">
        <is>
          <t>FCC, CE, Bluetooth SIG Qualified, EN 71 Toy Safety</t>
        </is>
      </c>
      <c r="J73" s="20" t="inlineStr">
        <is>
          <t>N/A</t>
        </is>
      </c>
      <c r="K73" s="20" t="inlineStr">
        <is>
          <t>N/A</t>
        </is>
      </c>
      <c r="L73" s="20" t="inlineStr">
        <is>
          <t>N/A</t>
        </is>
      </c>
      <c r="M73" s="20" t="inlineStr">
        <is>
          <t>N/A</t>
        </is>
      </c>
      <c r="N73" s="20" t="inlineStr">
        <is>
          <t>USB-C charging, 3.5mm (85 dB limited)</t>
        </is>
      </c>
      <c r="O73" s="20" t="inlineStr">
        <is>
          <t>N/A</t>
        </is>
      </c>
      <c r="P73" s="20" t="n">
        <v>20</v>
      </c>
      <c r="Q73" s="24" t="n">
        <v>111</v>
      </c>
      <c r="R73" s="20" t="inlineStr">
        <is>
          <t>Lighter than Phosphorus Core Kids Headphones [PHO-009-01] (111 g vs 149 g); Lower price than Soteria Lumen Kids Headphones [SOT-014-01] ($53.99 vs $55.99)</t>
        </is>
      </c>
      <c r="S73" s="20" t="inlineStr">
        <is>
          <t>kids, school, travel</t>
        </is>
      </c>
      <c r="T73" s="0" t="inlineStr">
        <is>
          <t>in_stock</t>
        </is>
      </c>
      <c r="U73" s="0" t="n">
        <v>30</v>
      </c>
      <c r="V73" s="52" t="n">
        <v>59.99</v>
      </c>
      <c r="W73" s="0" t="inlineStr">
        <is>
          <t>2026-08-23</t>
        </is>
      </c>
      <c r="X73" s="0" t="inlineStr">
        <is>
          <t>N/A</t>
        </is>
      </c>
      <c r="Y73" s="0" t="inlineStr">
        <is>
          <t>N/A</t>
        </is>
      </c>
      <c r="Z73" s="0" t="inlineStr">
        <is>
          <t>N/A</t>
        </is>
      </c>
      <c r="AA73" s="0" t="inlineStr">
        <is>
          <t>N/A</t>
        </is>
      </c>
    </row>
    <row r="74" ht="15.75" customHeight="1" s="51">
      <c r="A74" s="20" t="inlineStr">
        <is>
          <t>TET-007-02</t>
        </is>
      </c>
      <c r="B74" s="20" t="inlineStr">
        <is>
          <t>Tethys</t>
        </is>
      </c>
      <c r="C74" s="20" t="inlineStr">
        <is>
          <t>Headphones &amp; Earbuds</t>
        </is>
      </c>
      <c r="D74" s="20" t="inlineStr">
        <is>
          <t>Earbuds</t>
        </is>
      </c>
      <c r="E74" s="21" t="inlineStr">
        <is>
          <t>Tethys Quanta Lite Sport Earbuds</t>
        </is>
      </c>
      <c r="F74" s="23" t="n">
        <v>57.99</v>
      </c>
      <c r="G74" s="20" t="inlineStr">
        <is>
          <t>the Quanta Lite; Tethys Quanta Lite; Teethys Quanta Lite; Quanta Lite earbuds</t>
        </is>
      </c>
      <c r="H74" s="20" t="inlineStr">
        <is>
          <t>1 year limited</t>
        </is>
      </c>
      <c r="I74" s="20" t="inlineStr">
        <is>
          <t>FCC, CE, Bluetooth SIG Qualified, IP55</t>
        </is>
      </c>
      <c r="J74" s="20" t="inlineStr">
        <is>
          <t>N/A</t>
        </is>
      </c>
      <c r="K74" s="20" t="inlineStr">
        <is>
          <t>N/A</t>
        </is>
      </c>
      <c r="L74" s="20" t="inlineStr">
        <is>
          <t>N/A</t>
        </is>
      </c>
      <c r="M74" s="20" t="inlineStr">
        <is>
          <t>N/A</t>
        </is>
      </c>
      <c r="N74" s="20" t="inlineStr">
        <is>
          <t>USB-C charging case</t>
        </is>
      </c>
      <c r="O74" s="20" t="inlineStr">
        <is>
          <t>N/A</t>
        </is>
      </c>
      <c r="P74" s="20" t="n">
        <v>8</v>
      </c>
      <c r="Q74" s="24" t="n">
        <v>6</v>
      </c>
      <c r="R74" s="20" t="inlineStr">
        <is>
          <t>Lighter than Hesperus Lumen Ultra Sport Earbuds [HES-025-05] (6 g vs 9 g); Lower price than Phosphorus Crest Air Sport Earbuds [PHO-009-04] ($57.99 vs $149.99)</t>
        </is>
      </c>
      <c r="S74" s="20" t="inlineStr">
        <is>
          <t>gym, running, sport</t>
        </is>
      </c>
      <c r="T74" s="0" t="inlineStr">
        <is>
          <t>out_of_stock</t>
        </is>
      </c>
      <c r="U74" s="0" t="n">
        <v>30</v>
      </c>
      <c r="V74" s="52" t="n">
        <v>66.98999999999999</v>
      </c>
      <c r="W74" s="0" t="inlineStr">
        <is>
          <t>2026-08-17</t>
        </is>
      </c>
      <c r="X74" s="0" t="inlineStr">
        <is>
          <t>N/A</t>
        </is>
      </c>
      <c r="Y74" s="0" t="inlineStr">
        <is>
          <t>N/A</t>
        </is>
      </c>
      <c r="Z74" s="0" t="inlineStr">
        <is>
          <t>N/A</t>
        </is>
      </c>
      <c r="AA74" s="0" t="inlineStr">
        <is>
          <t>N/A</t>
        </is>
      </c>
    </row>
    <row r="75" ht="15.75" customHeight="1" s="51">
      <c r="A75" s="20" t="inlineStr">
        <is>
          <t>TET-007-03</t>
        </is>
      </c>
      <c r="B75" s="20" t="inlineStr">
        <is>
          <t>Tethys</t>
        </is>
      </c>
      <c r="C75" s="20" t="inlineStr">
        <is>
          <t>Headphones &amp; Earbuds</t>
        </is>
      </c>
      <c r="D75" s="20" t="inlineStr">
        <is>
          <t>Headphones</t>
        </is>
      </c>
      <c r="E75" s="21" t="inlineStr">
        <is>
          <t>Tethys Pulse Plus On-Ear Headphones</t>
        </is>
      </c>
      <c r="F75" s="23" t="n">
        <v>69.98999999999999</v>
      </c>
      <c r="G75" s="20" t="inlineStr">
        <is>
          <t>the Pulse Plus; Tethys Pulse Plus; Ttehys Pulse Plus; Pulse Plus headphones</t>
        </is>
      </c>
      <c r="H75" s="20" t="inlineStr">
        <is>
          <t>1 year limited</t>
        </is>
      </c>
      <c r="I75" s="20" t="inlineStr">
        <is>
          <t>FCC, CE, Bluetooth SIG Qualified</t>
        </is>
      </c>
      <c r="J75" s="20" t="inlineStr">
        <is>
          <t>N/A</t>
        </is>
      </c>
      <c r="K75" s="20" t="inlineStr">
        <is>
          <t>N/A</t>
        </is>
      </c>
      <c r="L75" s="20" t="inlineStr">
        <is>
          <t>N/A</t>
        </is>
      </c>
      <c r="M75" s="20" t="inlineStr">
        <is>
          <t>N/A</t>
        </is>
      </c>
      <c r="N75" s="20" t="inlineStr">
        <is>
          <t>USB-C charging, 3.5mm</t>
        </is>
      </c>
      <c r="O75" s="20" t="inlineStr">
        <is>
          <t>N/A</t>
        </is>
      </c>
      <c r="P75" s="20" t="n">
        <v>38</v>
      </c>
      <c r="Q75" s="24" t="n">
        <v>203</v>
      </c>
      <c r="R75" s="20" t="inlineStr">
        <is>
          <t>Longer battery than Euphrosyne Blaze X On-Ear Headphones [EUP-019-03] (38 vs 35 hrs); Lower price than Hedone Nimbus Max On-Ear Headphones [HED-010-04] ($69.99 vs $141.99)</t>
        </is>
      </c>
      <c r="S75" s="20" t="inlineStr">
        <is>
          <t>everyday, commute, school</t>
        </is>
      </c>
      <c r="T75" s="0" t="inlineStr">
        <is>
          <t>in_stock</t>
        </is>
      </c>
      <c r="U75" s="0" t="n">
        <v>30</v>
      </c>
      <c r="V75" s="52" t="n">
        <v>76.98999999999999</v>
      </c>
      <c r="W75" s="0" t="inlineStr">
        <is>
          <t>2026-09-05</t>
        </is>
      </c>
      <c r="X75" s="0" t="inlineStr">
        <is>
          <t>N/A</t>
        </is>
      </c>
      <c r="Y75" s="0" t="inlineStr">
        <is>
          <t>N/A</t>
        </is>
      </c>
      <c r="Z75" s="0" t="inlineStr">
        <is>
          <t>N/A</t>
        </is>
      </c>
      <c r="AA75" s="0" t="inlineStr">
        <is>
          <t>N/A</t>
        </is>
      </c>
    </row>
    <row r="76" ht="15.75" customHeight="1" s="51">
      <c r="A76" s="20" t="inlineStr">
        <is>
          <t>TET-007-04</t>
        </is>
      </c>
      <c r="B76" s="20" t="inlineStr">
        <is>
          <t>Tethys</t>
        </is>
      </c>
      <c r="C76" s="20" t="inlineStr">
        <is>
          <t>Headphones &amp; Earbuds</t>
        </is>
      </c>
      <c r="D76" s="20" t="inlineStr">
        <is>
          <t>Headset</t>
        </is>
      </c>
      <c r="E76" s="21" t="inlineStr">
        <is>
          <t>Tethys Vertex Lite Gaming Headset</t>
        </is>
      </c>
      <c r="F76" s="23" t="n">
        <v>123.99</v>
      </c>
      <c r="G76" s="20" t="inlineStr">
        <is>
          <t>the Vertex Lite; Tethys Vertex Lite; Tethis Vertex Lite; Vertex Lite headset</t>
        </is>
      </c>
      <c r="H76" s="20" t="inlineStr">
        <is>
          <t>1 year limited</t>
        </is>
      </c>
      <c r="I76" s="20" t="inlineStr">
        <is>
          <t>FCC, CE, Bluetooth SIG Qualified</t>
        </is>
      </c>
      <c r="J76" s="20" t="inlineStr">
        <is>
          <t>N/A</t>
        </is>
      </c>
      <c r="K76" s="20" t="inlineStr">
        <is>
          <t>N/A</t>
        </is>
      </c>
      <c r="L76" s="20" t="inlineStr">
        <is>
          <t>N/A</t>
        </is>
      </c>
      <c r="M76" s="20" t="inlineStr">
        <is>
          <t>N/A</t>
        </is>
      </c>
      <c r="N76" s="20" t="inlineStr">
        <is>
          <t>USB-C, 3.5mm, 2.4GHz USB dongle</t>
        </is>
      </c>
      <c r="O76" s="20" t="inlineStr">
        <is>
          <t>N/A</t>
        </is>
      </c>
      <c r="P76" s="20" t="n">
        <v>60</v>
      </c>
      <c r="Q76" s="24" t="n">
        <v>291</v>
      </c>
      <c r="R76" s="20" t="inlineStr">
        <is>
          <t>Lighter than Hedone Halo SE Gaming Headset [HED-010-01] (291 g vs 297 g); Lower price than Menoetius Wave Gaming Headset [MEN-008-05] ($123.99 vs $184.99)</t>
        </is>
      </c>
      <c r="S76" s="20" t="inlineStr">
        <is>
          <t>gaming, streaming, voice chat</t>
        </is>
      </c>
      <c r="T76" s="0" t="inlineStr">
        <is>
          <t>in_stock</t>
        </is>
      </c>
      <c r="U76" s="0" t="n">
        <v>30</v>
      </c>
      <c r="V76" s="52" t="n">
        <v>142.99</v>
      </c>
      <c r="W76" s="0" t="inlineStr">
        <is>
          <t>2026-08-12</t>
        </is>
      </c>
      <c r="X76" s="0" t="inlineStr">
        <is>
          <t>N/A</t>
        </is>
      </c>
      <c r="Y76" s="0" t="inlineStr">
        <is>
          <t>N/A</t>
        </is>
      </c>
      <c r="Z76" s="0" t="inlineStr">
        <is>
          <t>N/A</t>
        </is>
      </c>
      <c r="AA76" s="0" t="inlineStr">
        <is>
          <t>N/A</t>
        </is>
      </c>
    </row>
    <row r="77" ht="15.75" customHeight="1" s="51">
      <c r="A77" s="20" t="inlineStr">
        <is>
          <t>TET-007-05</t>
        </is>
      </c>
      <c r="B77" s="20" t="inlineStr">
        <is>
          <t>Tethys</t>
        </is>
      </c>
      <c r="C77" s="20" t="inlineStr">
        <is>
          <t>Headphones &amp; Earbuds</t>
        </is>
      </c>
      <c r="D77" s="20" t="inlineStr">
        <is>
          <t>Earbuds</t>
        </is>
      </c>
      <c r="E77" s="21" t="inlineStr">
        <is>
          <t>Tethys Drift Max Sleep Earbuds</t>
        </is>
      </c>
      <c r="F77" s="23" t="n">
        <v>131.99</v>
      </c>
      <c r="G77" s="20" t="inlineStr">
        <is>
          <t>the Drift Max; Tethys Drift Max; Tethis Drift Max; Drift Max earbuds</t>
        </is>
      </c>
      <c r="H77" s="20" t="inlineStr">
        <is>
          <t>1 year limited</t>
        </is>
      </c>
      <c r="I77" s="20" t="inlineStr">
        <is>
          <t>FCC, CE, Bluetooth SIG Qualified</t>
        </is>
      </c>
      <c r="J77" s="20" t="inlineStr">
        <is>
          <t>N/A</t>
        </is>
      </c>
      <c r="K77" s="20" t="inlineStr">
        <is>
          <t>N/A</t>
        </is>
      </c>
      <c r="L77" s="20" t="inlineStr">
        <is>
          <t>N/A</t>
        </is>
      </c>
      <c r="M77" s="20" t="inlineStr">
        <is>
          <t>N/A</t>
        </is>
      </c>
      <c r="N77" s="20" t="inlineStr">
        <is>
          <t>USB-C charging case</t>
        </is>
      </c>
      <c r="O77" s="20" t="inlineStr">
        <is>
          <t>N/A</t>
        </is>
      </c>
      <c r="P77" s="20" t="n">
        <v>9</v>
      </c>
      <c r="Q77" s="24" t="n">
        <v>4</v>
      </c>
      <c r="R77" s="20" t="inlineStr">
        <is>
          <t>Lower price than Menoetius Pulse Lite Sleep Earbuds [MEN-008-06] ($131.99 vs $203.99); Longer battery than Phosphorus Nimbus X Sleep Earbuds [PHO-009-03] (9 vs 8 hrs)</t>
        </is>
      </c>
      <c r="S77" s="20" t="inlineStr">
        <is>
          <t>sleep, travel, relaxation</t>
        </is>
      </c>
      <c r="T77" s="0" t="inlineStr">
        <is>
          <t>low_stock</t>
        </is>
      </c>
      <c r="U77" s="0" t="n">
        <v>30</v>
      </c>
      <c r="V77" s="52" t="n">
        <v>147.99</v>
      </c>
      <c r="W77" s="0" t="inlineStr">
        <is>
          <t>2026-08-05</t>
        </is>
      </c>
      <c r="X77" s="0" t="inlineStr">
        <is>
          <t>N/A</t>
        </is>
      </c>
      <c r="Y77" s="0" t="inlineStr">
        <is>
          <t>N/A</t>
        </is>
      </c>
      <c r="Z77" s="0" t="inlineStr">
        <is>
          <t>N/A</t>
        </is>
      </c>
      <c r="AA77" s="0" t="inlineStr">
        <is>
          <t>N/A</t>
        </is>
      </c>
    </row>
    <row r="78" ht="15.75" customHeight="1" s="51">
      <c r="A78" s="20" t="inlineStr">
        <is>
          <t>TET-007-06</t>
        </is>
      </c>
      <c r="B78" s="20" t="inlineStr">
        <is>
          <t>Tethys</t>
        </is>
      </c>
      <c r="C78" s="20" t="inlineStr">
        <is>
          <t>Headphones &amp; Earbuds</t>
        </is>
      </c>
      <c r="D78" s="20" t="inlineStr">
        <is>
          <t>Headphones</t>
        </is>
      </c>
      <c r="E78" s="21" t="inlineStr">
        <is>
          <t>Tethys Axis SE Bone Conduction Headphones</t>
        </is>
      </c>
      <c r="F78" s="23" t="n">
        <v>148.99</v>
      </c>
      <c r="G78" s="20" t="inlineStr">
        <is>
          <t>the Axis SE; Tethys Axis SE; Tethyss Axis SE; Axis SE headphones</t>
        </is>
      </c>
      <c r="H78" s="20" t="inlineStr">
        <is>
          <t>1 year limited</t>
        </is>
      </c>
      <c r="I78" s="20" t="inlineStr">
        <is>
          <t>FCC, CE, Bluetooth SIG Qualified, IP67</t>
        </is>
      </c>
      <c r="J78" s="20" t="inlineStr">
        <is>
          <t>N/A</t>
        </is>
      </c>
      <c r="K78" s="20" t="inlineStr">
        <is>
          <t>N/A</t>
        </is>
      </c>
      <c r="L78" s="20" t="inlineStr">
        <is>
          <t>N/A</t>
        </is>
      </c>
      <c r="M78" s="20" t="inlineStr">
        <is>
          <t>N/A</t>
        </is>
      </c>
      <c r="N78" s="20" t="inlineStr">
        <is>
          <t>Magnetic USB charging</t>
        </is>
      </c>
      <c r="O78" s="20" t="inlineStr">
        <is>
          <t>N/A</t>
        </is>
      </c>
      <c r="P78" s="20" t="n">
        <v>8</v>
      </c>
      <c r="Q78" s="24" t="n">
        <v>31</v>
      </c>
      <c r="R78" s="20" t="inlineStr">
        <is>
          <t>Longer battery than Deimos Crest Bone Conduction Headphones [DEI-005-03] (8 vs 6 hrs); Lighter than Soteria Zen SE Bone Conduction Headphones [SOT-014-05] (31 g vs 34 g)</t>
        </is>
      </c>
      <c r="S78" s="20" t="inlineStr">
        <is>
          <t>running, cycling, outdoor</t>
        </is>
      </c>
      <c r="T78" s="0" t="inlineStr">
        <is>
          <t>in_stock</t>
        </is>
      </c>
      <c r="U78" s="0" t="n">
        <v>30</v>
      </c>
      <c r="V78" s="52" t="n">
        <v>157.99</v>
      </c>
      <c r="W78" s="0" t="inlineStr">
        <is>
          <t>2026-08-26</t>
        </is>
      </c>
      <c r="X78" s="0" t="inlineStr">
        <is>
          <t>N/A</t>
        </is>
      </c>
      <c r="Y78" s="0" t="inlineStr">
        <is>
          <t>N/A</t>
        </is>
      </c>
      <c r="Z78" s="0" t="inlineStr">
        <is>
          <t>N/A</t>
        </is>
      </c>
      <c r="AA78" s="0" t="inlineStr">
        <is>
          <t>N/A</t>
        </is>
      </c>
    </row>
    <row r="79" ht="15.75" customHeight="1" s="51">
      <c r="A79" s="20" t="inlineStr">
        <is>
          <t>TET-007-07</t>
        </is>
      </c>
      <c r="B79" s="20" t="inlineStr">
        <is>
          <t>Tethys</t>
        </is>
      </c>
      <c r="C79" s="20" t="inlineStr">
        <is>
          <t>Headphones &amp; Earbuds</t>
        </is>
      </c>
      <c r="D79" s="20" t="inlineStr">
        <is>
          <t>Headphones</t>
        </is>
      </c>
      <c r="E79" s="21" t="inlineStr">
        <is>
          <t>Tethys Quanta Plus ANC Over-Ear Headphones</t>
        </is>
      </c>
      <c r="F79" s="23" t="n">
        <v>168.99</v>
      </c>
      <c r="G79" s="20" t="inlineStr">
        <is>
          <t>the Quanta Plus; Tethys Quanta Plus; Tethis Quanta Plus; Quanta Plus headphones</t>
        </is>
      </c>
      <c r="H79" s="20" t="inlineStr">
        <is>
          <t>1 year limited</t>
        </is>
      </c>
      <c r="I79" s="20" t="inlineStr">
        <is>
          <t>FCC, CE, Bluetooth SIG Qualified</t>
        </is>
      </c>
      <c r="J79" s="20" t="inlineStr">
        <is>
          <t>N/A</t>
        </is>
      </c>
      <c r="K79" s="20" t="inlineStr">
        <is>
          <t>N/A</t>
        </is>
      </c>
      <c r="L79" s="20" t="inlineStr">
        <is>
          <t>N/A</t>
        </is>
      </c>
      <c r="M79" s="20" t="inlineStr">
        <is>
          <t>N/A</t>
        </is>
      </c>
      <c r="N79" s="20" t="inlineStr">
        <is>
          <t>USB-C charging and audio, 3.5mm</t>
        </is>
      </c>
      <c r="O79" s="20" t="inlineStr">
        <is>
          <t>N/A</t>
        </is>
      </c>
      <c r="P79" s="20" t="n">
        <v>60</v>
      </c>
      <c r="Q79" s="24" t="n">
        <v>278</v>
      </c>
      <c r="R79" s="20" t="inlineStr">
        <is>
          <t>Longer battery than Carpo Nova ANC Over-Ear Headphones [CAR-002-08] (60 vs 26 hrs); Lower price than Tartarus Crest SE ANC Over-Ear Headphones [TAR-017-09] ($168.99 vs $439.99)</t>
        </is>
      </c>
      <c r="S79" s="20" t="inlineStr">
        <is>
          <t>travel, commute, office</t>
        </is>
      </c>
      <c r="T79" s="0" t="inlineStr">
        <is>
          <t>in_stock</t>
        </is>
      </c>
      <c r="U79" s="0" t="n">
        <v>30</v>
      </c>
      <c r="V79" s="52" t="n">
        <v>192.99</v>
      </c>
      <c r="W79" s="0" t="inlineStr">
        <is>
          <t>2026-09-10</t>
        </is>
      </c>
      <c r="X79" s="0" t="inlineStr">
        <is>
          <t>N/A</t>
        </is>
      </c>
      <c r="Y79" s="0" t="inlineStr">
        <is>
          <t>N/A</t>
        </is>
      </c>
      <c r="Z79" s="0" t="inlineStr">
        <is>
          <t>N/A</t>
        </is>
      </c>
      <c r="AA79" s="0" t="inlineStr">
        <is>
          <t>N/A</t>
        </is>
      </c>
    </row>
    <row r="80" ht="15.75" customHeight="1" s="51">
      <c r="A80" s="20" t="inlineStr">
        <is>
          <t>TET-007-08</t>
        </is>
      </c>
      <c r="B80" s="20" t="inlineStr">
        <is>
          <t>Tethys</t>
        </is>
      </c>
      <c r="C80" s="20" t="inlineStr">
        <is>
          <t>Headphones &amp; Earbuds</t>
        </is>
      </c>
      <c r="D80" s="20" t="inlineStr">
        <is>
          <t>Headphones</t>
        </is>
      </c>
      <c r="E80" s="21" t="inlineStr">
        <is>
          <t>Tethys Blaze Ultra Studio Monitor Headphones</t>
        </is>
      </c>
      <c r="F80" s="23" t="n">
        <v>180.99</v>
      </c>
      <c r="G80" s="20" t="inlineStr">
        <is>
          <t>the Blaze Ultra; Tethys Blaze Ultra; Teethys Blaze Ultra; Blaze Ultra headphones</t>
        </is>
      </c>
      <c r="H80" s="20" t="inlineStr">
        <is>
          <t>1 year limited</t>
        </is>
      </c>
      <c r="I80" s="20" t="inlineStr">
        <is>
          <t>CE, RoHS, Hi-Res Audio</t>
        </is>
      </c>
      <c r="J80" s="20" t="inlineStr">
        <is>
          <t>N/A</t>
        </is>
      </c>
      <c r="K80" s="20" t="inlineStr">
        <is>
          <t>N/A</t>
        </is>
      </c>
      <c r="L80" s="20" t="inlineStr">
        <is>
          <t>N/A</t>
        </is>
      </c>
      <c r="M80" s="20" t="inlineStr">
        <is>
          <t>N/A</t>
        </is>
      </c>
      <c r="N80" s="20" t="inlineStr">
        <is>
          <t>Detachable cable: 3.5mm with 6.35mm adapter</t>
        </is>
      </c>
      <c r="O80" s="20" t="inlineStr">
        <is>
          <t>N/A</t>
        </is>
      </c>
      <c r="P80" s="20" t="inlineStr">
        <is>
          <t>N/A</t>
        </is>
      </c>
      <c r="Q80" s="24" t="n">
        <v>355</v>
      </c>
      <c r="R80" s="20" t="inlineStr">
        <is>
          <t>Lighter than Carpo Nova Plus Studio Monitor Headphones [CAR-002-07] (355 g vs 361 g); Lower price than Himeros Flux Studio Monitor Headphones [HIM-003-07] ($180.99 vs $195.99)</t>
        </is>
      </c>
      <c r="S80" s="20" t="inlineStr">
        <is>
          <t>music production, studio, podcasting</t>
        </is>
      </c>
      <c r="T80" s="0" t="inlineStr">
        <is>
          <t>in_stock</t>
        </is>
      </c>
      <c r="U80" s="0" t="n">
        <v>30</v>
      </c>
      <c r="V80" s="52" t="n">
        <v>203.99</v>
      </c>
      <c r="W80" s="0" t="inlineStr">
        <is>
          <t>2026-08-04</t>
        </is>
      </c>
      <c r="X80" s="0" t="inlineStr">
        <is>
          <t>N/A</t>
        </is>
      </c>
      <c r="Y80" s="0" t="inlineStr">
        <is>
          <t>N/A</t>
        </is>
      </c>
      <c r="Z80" s="0" t="inlineStr">
        <is>
          <t>N/A</t>
        </is>
      </c>
      <c r="AA80" s="0" t="inlineStr">
        <is>
          <t>N/A</t>
        </is>
      </c>
    </row>
    <row r="81" ht="15.75" customHeight="1" s="51">
      <c r="A81" s="20" t="inlineStr">
        <is>
          <t>TET-007-09</t>
        </is>
      </c>
      <c r="B81" s="20" t="inlineStr">
        <is>
          <t>Tethys</t>
        </is>
      </c>
      <c r="C81" s="20" t="inlineStr">
        <is>
          <t>Headphones &amp; Earbuds</t>
        </is>
      </c>
      <c r="D81" s="20" t="inlineStr">
        <is>
          <t>Earbuds</t>
        </is>
      </c>
      <c r="E81" s="21" t="inlineStr">
        <is>
          <t>Tethys Echo Plus True Wireless Earbuds</t>
        </is>
      </c>
      <c r="F81" s="23" t="n">
        <v>187.99</v>
      </c>
      <c r="G81" s="20" t="inlineStr">
        <is>
          <t>the Echo Plus; Tethys Echo Plus; Tethy Echo Plus; Echo Plus earbuds</t>
        </is>
      </c>
      <c r="H81" s="20" t="inlineStr">
        <is>
          <t>1 year limited</t>
        </is>
      </c>
      <c r="I81" s="20" t="inlineStr">
        <is>
          <t>FCC, CE, Bluetooth SIG Qualified, IPX4</t>
        </is>
      </c>
      <c r="J81" s="20" t="inlineStr">
        <is>
          <t>N/A</t>
        </is>
      </c>
      <c r="K81" s="20" t="inlineStr">
        <is>
          <t>N/A</t>
        </is>
      </c>
      <c r="L81" s="20" t="inlineStr">
        <is>
          <t>N/A</t>
        </is>
      </c>
      <c r="M81" s="20" t="inlineStr">
        <is>
          <t>N/A</t>
        </is>
      </c>
      <c r="N81" s="20" t="inlineStr">
        <is>
          <t>USB-C charging case</t>
        </is>
      </c>
      <c r="O81" s="20" t="inlineStr">
        <is>
          <t>N/A</t>
        </is>
      </c>
      <c r="P81" s="20" t="n">
        <v>9</v>
      </c>
      <c r="Q81" s="24" t="n">
        <v>7</v>
      </c>
      <c r="R81" s="20" t="inlineStr">
        <is>
          <t>Lower price than Asteria Halo Plus True Wireless Earbuds [AST-006-06] ($187.99 vs $202.99); Longer battery than Aura Halo Ultra True Wireless Earbuds [AUR-015-08] (9 vs 7 hrs)</t>
        </is>
      </c>
      <c r="S81" s="20" t="inlineStr">
        <is>
          <t>commute, everyday, travel</t>
        </is>
      </c>
      <c r="T81" s="0" t="inlineStr">
        <is>
          <t>out_of_stock</t>
        </is>
      </c>
      <c r="U81" s="0" t="n">
        <v>30</v>
      </c>
      <c r="V81" s="52" t="n">
        <v>211.99</v>
      </c>
      <c r="W81" s="0" t="inlineStr">
        <is>
          <t>2026-09-17</t>
        </is>
      </c>
      <c r="X81" s="0" t="inlineStr">
        <is>
          <t>N/A</t>
        </is>
      </c>
      <c r="Y81" s="0" t="inlineStr">
        <is>
          <t>N/A</t>
        </is>
      </c>
      <c r="Z81" s="0" t="inlineStr">
        <is>
          <t>N/A</t>
        </is>
      </c>
      <c r="AA81" s="0" t="inlineStr">
        <is>
          <t>N/A</t>
        </is>
      </c>
    </row>
    <row r="82" ht="15.75" customHeight="1" s="51">
      <c r="A82" s="20" t="inlineStr">
        <is>
          <t>TET-007-10</t>
        </is>
      </c>
      <c r="B82" s="20" t="inlineStr">
        <is>
          <t>Tethys</t>
        </is>
      </c>
      <c r="C82" s="20" t="inlineStr">
        <is>
          <t>Headphones &amp; Earbuds</t>
        </is>
      </c>
      <c r="D82" s="20" t="inlineStr">
        <is>
          <t>Headphones</t>
        </is>
      </c>
      <c r="E82" s="21" t="inlineStr">
        <is>
          <t>Tethys Prism Plus Audiophile Planar Headphones</t>
        </is>
      </c>
      <c r="F82" s="23" t="n">
        <v>383.99</v>
      </c>
      <c r="G82" s="20" t="inlineStr">
        <is>
          <t>the Prism Plus; Tethys Prism Plus; Tehtys Prism Plus; Prism Plus headphones</t>
        </is>
      </c>
      <c r="H82" s="20" t="inlineStr">
        <is>
          <t>1 year limited</t>
        </is>
      </c>
      <c r="I82" s="20" t="inlineStr">
        <is>
          <t>CE, RoHS, Hi-Res Audio</t>
        </is>
      </c>
      <c r="J82" s="20" t="inlineStr">
        <is>
          <t>N/A</t>
        </is>
      </c>
      <c r="K82" s="20" t="inlineStr">
        <is>
          <t>N/A</t>
        </is>
      </c>
      <c r="L82" s="20" t="inlineStr">
        <is>
          <t>N/A</t>
        </is>
      </c>
      <c r="M82" s="20" t="inlineStr">
        <is>
          <t>N/A</t>
        </is>
      </c>
      <c r="N82" s="20" t="inlineStr">
        <is>
          <t>Detachable cable: 3.5mm, 6.35mm and 4.4mm balanced</t>
        </is>
      </c>
      <c r="O82" s="20" t="inlineStr">
        <is>
          <t>N/A</t>
        </is>
      </c>
      <c r="P82" s="20" t="inlineStr">
        <is>
          <t>N/A</t>
        </is>
      </c>
      <c r="Q82" s="24" t="n">
        <v>519</v>
      </c>
      <c r="R82" s="20" t="inlineStr">
        <is>
          <t>Lower price than Morpheus Onyx Lite Audiophile Planar Headphones [MOR-001-10] ($383.99 vs $1,063.99); Lighter than Himeros Aeon Audiophile Planar Headphones [HIM-003-10] (519 g vs 538 g)</t>
        </is>
      </c>
      <c r="S82" s="20" t="inlineStr">
        <is>
          <t>audiophile, home listening, studio</t>
        </is>
      </c>
      <c r="T82" s="0" t="inlineStr">
        <is>
          <t>in_stock</t>
        </is>
      </c>
      <c r="U82" s="0" t="n">
        <v>30</v>
      </c>
      <c r="V82" s="52" t="n">
        <v>411.99</v>
      </c>
      <c r="W82" s="0" t="inlineStr">
        <is>
          <t>2026-08-06</t>
        </is>
      </c>
      <c r="X82" s="0" t="inlineStr">
        <is>
          <t>N/A</t>
        </is>
      </c>
      <c r="Y82" s="0" t="inlineStr">
        <is>
          <t>N/A</t>
        </is>
      </c>
      <c r="Z82" s="0" t="inlineStr">
        <is>
          <t>N/A</t>
        </is>
      </c>
      <c r="AA82" s="0" t="inlineStr">
        <is>
          <t>N/A</t>
        </is>
      </c>
    </row>
    <row r="83" ht="15.75" customHeight="1" s="51">
      <c r="A83" s="20" t="inlineStr">
        <is>
          <t>MEN-008-01</t>
        </is>
      </c>
      <c r="B83" s="20" t="inlineStr">
        <is>
          <t>Menoetius</t>
        </is>
      </c>
      <c r="C83" s="20" t="inlineStr">
        <is>
          <t>Headphones &amp; Earbuds</t>
        </is>
      </c>
      <c r="D83" s="20" t="inlineStr">
        <is>
          <t>Headphones</t>
        </is>
      </c>
      <c r="E83" s="21" t="inlineStr">
        <is>
          <t>Menoetius Sable Lite On-Ear Headphones</t>
        </is>
      </c>
      <c r="F83" s="23" t="n">
        <v>99.98999999999999</v>
      </c>
      <c r="G83" s="20" t="inlineStr">
        <is>
          <t>the Sable Lite; Menoetius Sable Lite; Menooetius Sable Lite; Sable Lite headphones</t>
        </is>
      </c>
      <c r="H83" s="20" t="inlineStr">
        <is>
          <t>1 year limited</t>
        </is>
      </c>
      <c r="I83" s="20" t="inlineStr">
        <is>
          <t>FCC, CE, Bluetooth SIG Qualified</t>
        </is>
      </c>
      <c r="J83" s="20" t="inlineStr">
        <is>
          <t>N/A</t>
        </is>
      </c>
      <c r="K83" s="20" t="inlineStr">
        <is>
          <t>N/A</t>
        </is>
      </c>
      <c r="L83" s="20" t="inlineStr">
        <is>
          <t>N/A</t>
        </is>
      </c>
      <c r="M83" s="20" t="inlineStr">
        <is>
          <t>N/A</t>
        </is>
      </c>
      <c r="N83" s="20" t="inlineStr">
        <is>
          <t>USB-C charging, 3.5mm</t>
        </is>
      </c>
      <c r="O83" s="20" t="inlineStr">
        <is>
          <t>N/A</t>
        </is>
      </c>
      <c r="P83" s="20" t="n">
        <v>47</v>
      </c>
      <c r="Q83" s="24" t="n">
        <v>187</v>
      </c>
      <c r="R83" s="20" t="inlineStr">
        <is>
          <t>Lighter than Carpo Nova On-Ear Headphones [CAR-002-02] (187 g vs 189 g); Lower price than Poseidon Arc Lite On-Ear Headphones [POS-021-08] ($99.99 vs $197.99)</t>
        </is>
      </c>
      <c r="S83" s="20" t="inlineStr">
        <is>
          <t>everyday, commute, school</t>
        </is>
      </c>
      <c r="T83" s="0" t="inlineStr">
        <is>
          <t>in_stock</t>
        </is>
      </c>
      <c r="U83" s="0" t="n">
        <v>30</v>
      </c>
      <c r="V83" s="52" t="n">
        <v>108.99</v>
      </c>
      <c r="W83" s="0" t="inlineStr">
        <is>
          <t>2026-08-30</t>
        </is>
      </c>
      <c r="X83" s="0" t="inlineStr">
        <is>
          <t>N/A</t>
        </is>
      </c>
      <c r="Y83" s="0" t="inlineStr">
        <is>
          <t>N/A</t>
        </is>
      </c>
      <c r="Z83" s="0" t="inlineStr">
        <is>
          <t>N/A</t>
        </is>
      </c>
      <c r="AA83" s="0" t="inlineStr">
        <is>
          <t>N/A</t>
        </is>
      </c>
    </row>
    <row r="84" ht="15.75" customHeight="1" s="51">
      <c r="A84" s="20" t="inlineStr">
        <is>
          <t>MEN-008-02</t>
        </is>
      </c>
      <c r="B84" s="20" t="inlineStr">
        <is>
          <t>Menoetius</t>
        </is>
      </c>
      <c r="C84" s="20" t="inlineStr">
        <is>
          <t>Headphones &amp; Earbuds</t>
        </is>
      </c>
      <c r="D84" s="20" t="inlineStr">
        <is>
          <t>Earbuds</t>
        </is>
      </c>
      <c r="E84" s="21" t="inlineStr">
        <is>
          <t>Menoetius Pulse Pro True Wireless Earbuds</t>
        </is>
      </c>
      <c r="F84" s="23" t="n">
        <v>105.99</v>
      </c>
      <c r="G84" s="20" t="inlineStr">
        <is>
          <t>the Pulse Pro; Menoetius Pulse Pro; Menooetius Pulse Pro; Pulse Pro earbuds</t>
        </is>
      </c>
      <c r="H84" s="20" t="inlineStr">
        <is>
          <t>1 year limited</t>
        </is>
      </c>
      <c r="I84" s="20" t="inlineStr">
        <is>
          <t>FCC, CE, Bluetooth SIG Qualified, IPX4</t>
        </is>
      </c>
      <c r="J84" s="20" t="inlineStr">
        <is>
          <t>N/A</t>
        </is>
      </c>
      <c r="K84" s="20" t="inlineStr">
        <is>
          <t>N/A</t>
        </is>
      </c>
      <c r="L84" s="20" t="inlineStr">
        <is>
          <t>N/A</t>
        </is>
      </c>
      <c r="M84" s="20" t="inlineStr">
        <is>
          <t>N/A</t>
        </is>
      </c>
      <c r="N84" s="20" t="inlineStr">
        <is>
          <t>USB-C charging case</t>
        </is>
      </c>
      <c r="O84" s="20" t="inlineStr">
        <is>
          <t>N/A</t>
        </is>
      </c>
      <c r="P84" s="20" t="n">
        <v>9</v>
      </c>
      <c r="Q84" s="24" t="n">
        <v>5</v>
      </c>
      <c r="R84" s="20" t="inlineStr">
        <is>
          <t>Lighter than Hedone Lumen Max True Wireless Earbuds [HED-010-07] (5 g vs 6 g); Lower price than Deimos Lumen X True Wireless Earbuds [DEI-005-04] ($105.99 vs $111.99)</t>
        </is>
      </c>
      <c r="S84" s="20" t="inlineStr">
        <is>
          <t>commute, everyday, travel</t>
        </is>
      </c>
      <c r="T84" s="0" t="inlineStr">
        <is>
          <t>in_stock</t>
        </is>
      </c>
      <c r="U84" s="0" t="n">
        <v>30</v>
      </c>
      <c r="V84" s="52" t="n">
        <v>109.99</v>
      </c>
      <c r="W84" s="0" t="inlineStr">
        <is>
          <t>2026-09-25</t>
        </is>
      </c>
      <c r="X84" s="0" t="inlineStr">
        <is>
          <t>N/A</t>
        </is>
      </c>
      <c r="Y84" s="0" t="inlineStr">
        <is>
          <t>N/A</t>
        </is>
      </c>
      <c r="Z84" s="0" t="inlineStr">
        <is>
          <t>N/A</t>
        </is>
      </c>
      <c r="AA84" s="0" t="inlineStr">
        <is>
          <t>N/A</t>
        </is>
      </c>
    </row>
    <row r="85" ht="15.75" customHeight="1" s="51">
      <c r="A85" s="20" t="inlineStr">
        <is>
          <t>MEN-008-03</t>
        </is>
      </c>
      <c r="B85" s="20" t="inlineStr">
        <is>
          <t>Menoetius</t>
        </is>
      </c>
      <c r="C85" s="20" t="inlineStr">
        <is>
          <t>Headphones &amp; Earbuds</t>
        </is>
      </c>
      <c r="D85" s="20" t="inlineStr">
        <is>
          <t>Earbuds</t>
        </is>
      </c>
      <c r="E85" s="21" t="inlineStr">
        <is>
          <t>Menoetius Strata Open-Ear Earbuds</t>
        </is>
      </c>
      <c r="F85" s="23" t="n">
        <v>175.99</v>
      </c>
      <c r="G85" s="20" t="inlineStr">
        <is>
          <t>the Strata; Menoetius Strata; Menoetios Strata; Strata earbuds</t>
        </is>
      </c>
      <c r="H85" s="20" t="inlineStr">
        <is>
          <t>1 year limited</t>
        </is>
      </c>
      <c r="I85" s="20" t="inlineStr">
        <is>
          <t>FCC, CE, Bluetooth SIG Qualified, IP55</t>
        </is>
      </c>
      <c r="J85" s="20" t="inlineStr">
        <is>
          <t>N/A</t>
        </is>
      </c>
      <c r="K85" s="20" t="inlineStr">
        <is>
          <t>N/A</t>
        </is>
      </c>
      <c r="L85" s="20" t="inlineStr">
        <is>
          <t>N/A</t>
        </is>
      </c>
      <c r="M85" s="20" t="inlineStr">
        <is>
          <t>N/A</t>
        </is>
      </c>
      <c r="N85" s="20" t="inlineStr">
        <is>
          <t>USB-C charging case</t>
        </is>
      </c>
      <c r="O85" s="20" t="inlineStr">
        <is>
          <t>N/A</t>
        </is>
      </c>
      <c r="P85" s="20" t="n">
        <v>10</v>
      </c>
      <c r="Q85" s="24" t="n">
        <v>10</v>
      </c>
      <c r="R85" s="20" t="inlineStr">
        <is>
          <t>Lower price than Himeros Aeon Lite Open-Ear Earbuds [HIM-003-08] ($175.99 vs $215.99); Longer battery than Poseidon Wave Pro Open-Ear Earbuds [POS-021-04] (10 vs 6 hrs)</t>
        </is>
      </c>
      <c r="S85" s="20" t="inlineStr">
        <is>
          <t>running, outdoor, office</t>
        </is>
      </c>
      <c r="T85" s="0" t="inlineStr">
        <is>
          <t>in_stock</t>
        </is>
      </c>
      <c r="U85" s="0" t="n">
        <v>30</v>
      </c>
      <c r="V85" s="52" t="n">
        <v>197.99</v>
      </c>
      <c r="W85" s="0" t="inlineStr">
        <is>
          <t>2026-09-05</t>
        </is>
      </c>
      <c r="X85" s="0" t="inlineStr">
        <is>
          <t>N/A</t>
        </is>
      </c>
      <c r="Y85" s="0" t="inlineStr">
        <is>
          <t>N/A</t>
        </is>
      </c>
      <c r="Z85" s="0" t="inlineStr">
        <is>
          <t>N/A</t>
        </is>
      </c>
      <c r="AA85" s="0" t="inlineStr">
        <is>
          <t>N/A</t>
        </is>
      </c>
    </row>
    <row r="86" ht="15.75" customHeight="1" s="51">
      <c r="A86" s="20" t="inlineStr">
        <is>
          <t>MEN-008-04</t>
        </is>
      </c>
      <c r="B86" s="20" t="inlineStr">
        <is>
          <t>Menoetius</t>
        </is>
      </c>
      <c r="C86" s="20" t="inlineStr">
        <is>
          <t>Headphones &amp; Earbuds</t>
        </is>
      </c>
      <c r="D86" s="20" t="inlineStr">
        <is>
          <t>Headphones</t>
        </is>
      </c>
      <c r="E86" s="21" t="inlineStr">
        <is>
          <t>Menoetius Sable Pro Bone Conduction Headphones</t>
        </is>
      </c>
      <c r="F86" s="23" t="n">
        <v>183.99</v>
      </c>
      <c r="G86" s="20" t="inlineStr">
        <is>
          <t>the Sable Pro; Menoetius Sable Pro; Menoeitus Sable Pro; Sable Pro headphones</t>
        </is>
      </c>
      <c r="H86" s="20" t="inlineStr">
        <is>
          <t>1 year limited</t>
        </is>
      </c>
      <c r="I86" s="20" t="inlineStr">
        <is>
          <t>FCC, CE, Bluetooth SIG Qualified, IP67</t>
        </is>
      </c>
      <c r="J86" s="20" t="inlineStr">
        <is>
          <t>N/A</t>
        </is>
      </c>
      <c r="K86" s="20" t="inlineStr">
        <is>
          <t>N/A</t>
        </is>
      </c>
      <c r="L86" s="20" t="inlineStr">
        <is>
          <t>N/A</t>
        </is>
      </c>
      <c r="M86" s="20" t="inlineStr">
        <is>
          <t>N/A</t>
        </is>
      </c>
      <c r="N86" s="20" t="inlineStr">
        <is>
          <t>Magnetic USB charging</t>
        </is>
      </c>
      <c r="O86" s="20" t="inlineStr">
        <is>
          <t>N/A</t>
        </is>
      </c>
      <c r="P86" s="20" t="n">
        <v>8</v>
      </c>
      <c r="Q86" s="24" t="n">
        <v>30</v>
      </c>
      <c r="R86" s="20" t="inlineStr">
        <is>
          <t>Lighter than Deimos Crest Bone Conduction Headphones [DEI-005-03] (30 g vs 35 g); Longer battery than Ananke Orbit Plus Bone Conduction Headphones [ANA-023-03] (8 vs 6 hrs)</t>
        </is>
      </c>
      <c r="S86" s="20" t="inlineStr">
        <is>
          <t>running, cycling, outdoor</t>
        </is>
      </c>
      <c r="T86" s="0" t="inlineStr">
        <is>
          <t>low_stock</t>
        </is>
      </c>
      <c r="U86" s="0" t="n">
        <v>30</v>
      </c>
      <c r="V86" s="52" t="n">
        <v>190.99</v>
      </c>
      <c r="W86" s="0" t="inlineStr">
        <is>
          <t>2026-09-22</t>
        </is>
      </c>
      <c r="X86" s="0" t="inlineStr">
        <is>
          <t>N/A</t>
        </is>
      </c>
      <c r="Y86" s="0" t="inlineStr">
        <is>
          <t>N/A</t>
        </is>
      </c>
      <c r="Z86" s="0" t="inlineStr">
        <is>
          <t>N/A</t>
        </is>
      </c>
      <c r="AA86" s="0" t="inlineStr">
        <is>
          <t>N/A</t>
        </is>
      </c>
    </row>
    <row r="87" ht="15.75" customHeight="1" s="51">
      <c r="A87" s="20" t="inlineStr">
        <is>
          <t>MEN-008-05</t>
        </is>
      </c>
      <c r="B87" s="20" t="inlineStr">
        <is>
          <t>Menoetius</t>
        </is>
      </c>
      <c r="C87" s="20" t="inlineStr">
        <is>
          <t>Headphones &amp; Earbuds</t>
        </is>
      </c>
      <c r="D87" s="20" t="inlineStr">
        <is>
          <t>Headset</t>
        </is>
      </c>
      <c r="E87" s="21" t="inlineStr">
        <is>
          <t>Menoetius Wave Gaming Headset</t>
        </is>
      </c>
      <c r="F87" s="23" t="n">
        <v>184.99</v>
      </c>
      <c r="G87" s="20" t="inlineStr">
        <is>
          <t>the Wave; Menoetius Wave; Menoteius Wave; Wave headset</t>
        </is>
      </c>
      <c r="H87" s="20" t="inlineStr">
        <is>
          <t>1 year limited</t>
        </is>
      </c>
      <c r="I87" s="20" t="inlineStr">
        <is>
          <t>FCC, CE, Bluetooth SIG Qualified</t>
        </is>
      </c>
      <c r="J87" s="20" t="inlineStr">
        <is>
          <t>N/A</t>
        </is>
      </c>
      <c r="K87" s="20" t="inlineStr">
        <is>
          <t>N/A</t>
        </is>
      </c>
      <c r="L87" s="20" t="inlineStr">
        <is>
          <t>N/A</t>
        </is>
      </c>
      <c r="M87" s="20" t="inlineStr">
        <is>
          <t>N/A</t>
        </is>
      </c>
      <c r="N87" s="20" t="inlineStr">
        <is>
          <t>USB-C, 3.5mm, 2.4GHz USB dongle</t>
        </is>
      </c>
      <c r="O87" s="20" t="inlineStr">
        <is>
          <t>N/A</t>
        </is>
      </c>
      <c r="P87" s="20" t="n">
        <v>32</v>
      </c>
      <c r="Q87" s="24" t="n">
        <v>355</v>
      </c>
      <c r="R87" s="20" t="inlineStr">
        <is>
          <t>Lower price than Asclepius Aria Ultra Gaming Headset [ASC-024-07] ($184.99 vs $260.99); Lighter than Poseidon Sable X Gaming Headset [POS-021-06] (355 g vs 358 g)</t>
        </is>
      </c>
      <c r="S87" s="20" t="inlineStr">
        <is>
          <t>gaming, streaming, voice chat</t>
        </is>
      </c>
      <c r="T87" s="0" t="inlineStr">
        <is>
          <t>in_stock</t>
        </is>
      </c>
      <c r="U87" s="0" t="n">
        <v>30</v>
      </c>
      <c r="V87" s="52" t="n">
        <v>204.99</v>
      </c>
      <c r="W87" s="0" t="inlineStr">
        <is>
          <t>2026-09-25</t>
        </is>
      </c>
      <c r="X87" s="0" t="inlineStr">
        <is>
          <t>N/A</t>
        </is>
      </c>
      <c r="Y87" s="0" t="inlineStr">
        <is>
          <t>N/A</t>
        </is>
      </c>
      <c r="Z87" s="0" t="inlineStr">
        <is>
          <t>N/A</t>
        </is>
      </c>
      <c r="AA87" s="0" t="inlineStr">
        <is>
          <t>N/A</t>
        </is>
      </c>
    </row>
    <row r="88" ht="15.75" customHeight="1" s="51">
      <c r="A88" s="20" t="inlineStr">
        <is>
          <t>MEN-008-06</t>
        </is>
      </c>
      <c r="B88" s="20" t="inlineStr">
        <is>
          <t>Menoetius</t>
        </is>
      </c>
      <c r="C88" s="20" t="inlineStr">
        <is>
          <t>Headphones &amp; Earbuds</t>
        </is>
      </c>
      <c r="D88" s="20" t="inlineStr">
        <is>
          <t>Earbuds</t>
        </is>
      </c>
      <c r="E88" s="21" t="inlineStr">
        <is>
          <t>Menoetius Pulse Lite Sleep Earbuds</t>
        </is>
      </c>
      <c r="F88" s="23" t="n">
        <v>203.99</v>
      </c>
      <c r="G88" s="20" t="inlineStr">
        <is>
          <t>the Pulse Lite; Menoetius Pulse Lite; Menoettius Pulse Lite; Pulse Lite earbuds</t>
        </is>
      </c>
      <c r="H88" s="20" t="inlineStr">
        <is>
          <t>1 year limited</t>
        </is>
      </c>
      <c r="I88" s="20" t="inlineStr">
        <is>
          <t>FCC, CE, Bluetooth SIG Qualified</t>
        </is>
      </c>
      <c r="J88" s="20" t="inlineStr">
        <is>
          <t>N/A</t>
        </is>
      </c>
      <c r="K88" s="20" t="inlineStr">
        <is>
          <t>N/A</t>
        </is>
      </c>
      <c r="L88" s="20" t="inlineStr">
        <is>
          <t>N/A</t>
        </is>
      </c>
      <c r="M88" s="20" t="inlineStr">
        <is>
          <t>N/A</t>
        </is>
      </c>
      <c r="N88" s="20" t="inlineStr">
        <is>
          <t>USB-C charging case</t>
        </is>
      </c>
      <c r="O88" s="20" t="inlineStr">
        <is>
          <t>N/A</t>
        </is>
      </c>
      <c r="P88" s="20" t="n">
        <v>9</v>
      </c>
      <c r="Q88" s="24" t="n">
        <v>4</v>
      </c>
      <c r="R88" s="20" t="inlineStr">
        <is>
          <t>Longer battery than Soteria Echo Max Sleep Earbuds [SOT-014-06] (9 vs 8 hrs); Lower price than Achelous Zen Plus Sleep Earbuds [ACH-018-07] ($203.99 vs $238.99)</t>
        </is>
      </c>
      <c r="S88" s="20" t="inlineStr">
        <is>
          <t>sleep, travel, relaxation</t>
        </is>
      </c>
      <c r="T88" s="0" t="inlineStr">
        <is>
          <t>in_stock</t>
        </is>
      </c>
      <c r="U88" s="0" t="n">
        <v>30</v>
      </c>
      <c r="V88" s="52" t="n">
        <v>231.99</v>
      </c>
      <c r="W88" s="0" t="inlineStr">
        <is>
          <t>2026-08-06</t>
        </is>
      </c>
      <c r="X88" s="0" t="inlineStr">
        <is>
          <t>N/A</t>
        </is>
      </c>
      <c r="Y88" s="0" t="inlineStr">
        <is>
          <t>N/A</t>
        </is>
      </c>
      <c r="Z88" s="0" t="inlineStr">
        <is>
          <t>N/A</t>
        </is>
      </c>
      <c r="AA88" s="0" t="inlineStr">
        <is>
          <t>N/A</t>
        </is>
      </c>
    </row>
    <row r="89" ht="15.75" customHeight="1" s="51">
      <c r="A89" s="20" t="inlineStr">
        <is>
          <t>MEN-008-07</t>
        </is>
      </c>
      <c r="B89" s="20" t="inlineStr">
        <is>
          <t>Menoetius</t>
        </is>
      </c>
      <c r="C89" s="20" t="inlineStr">
        <is>
          <t>Headphones &amp; Earbuds</t>
        </is>
      </c>
      <c r="D89" s="20" t="inlineStr">
        <is>
          <t>Earbuds</t>
        </is>
      </c>
      <c r="E89" s="21" t="inlineStr">
        <is>
          <t>Menoetius Volt Max Wired In-Ear Monitors</t>
        </is>
      </c>
      <c r="F89" s="23" t="n">
        <v>249.99</v>
      </c>
      <c r="G89" s="20" t="inlineStr">
        <is>
          <t>the Volt Max; Menoetius Volt Max; Menoeetius Volt Max; Volt Max earbuds</t>
        </is>
      </c>
      <c r="H89" s="20" t="inlineStr">
        <is>
          <t>1 year limited</t>
        </is>
      </c>
      <c r="I89" s="20" t="inlineStr">
        <is>
          <t>CE, RoHS, Hi-Res Audio</t>
        </is>
      </c>
      <c r="J89" s="20" t="inlineStr">
        <is>
          <t>N/A</t>
        </is>
      </c>
      <c r="K89" s="20" t="inlineStr">
        <is>
          <t>N/A</t>
        </is>
      </c>
      <c r="L89" s="20" t="inlineStr">
        <is>
          <t>N/A</t>
        </is>
      </c>
      <c r="M89" s="20" t="inlineStr">
        <is>
          <t>N/A</t>
        </is>
      </c>
      <c r="N89" s="20" t="inlineStr">
        <is>
          <t>Detachable 2-pin cable: 3.5mm and 4.4mm balanced</t>
        </is>
      </c>
      <c r="O89" s="20" t="inlineStr">
        <is>
          <t>N/A</t>
        </is>
      </c>
      <c r="P89" s="20" t="inlineStr">
        <is>
          <t>N/A</t>
        </is>
      </c>
      <c r="Q89" s="24" t="n">
        <v>22</v>
      </c>
      <c r="R89" s="20" t="inlineStr">
        <is>
          <t>Lighter than Carpo Nova Air Wired In-Ear Monitors [CAR-002-06] (22 g vs 40 g); Lower price than Asclepius Spark Wired In-Ear Monitors [ASC-024-09] ($249.99 vs $371.99)</t>
        </is>
      </c>
      <c r="S89" s="20" t="inlineStr">
        <is>
          <t>audiophile, stage monitoring, music</t>
        </is>
      </c>
      <c r="T89" s="0" t="inlineStr">
        <is>
          <t>in_stock</t>
        </is>
      </c>
      <c r="U89" s="0" t="n">
        <v>30</v>
      </c>
      <c r="V89" s="52" t="n">
        <v>264.99</v>
      </c>
      <c r="W89" s="0" t="inlineStr">
        <is>
          <t>2026-09-12</t>
        </is>
      </c>
      <c r="X89" s="0" t="inlineStr">
        <is>
          <t>N/A</t>
        </is>
      </c>
      <c r="Y89" s="0" t="inlineStr">
        <is>
          <t>N/A</t>
        </is>
      </c>
      <c r="Z89" s="0" t="inlineStr">
        <is>
          <t>N/A</t>
        </is>
      </c>
      <c r="AA89" s="0" t="inlineStr">
        <is>
          <t>N/A</t>
        </is>
      </c>
    </row>
    <row r="90" ht="15.75" customHeight="1" s="51">
      <c r="A90" s="20" t="inlineStr">
        <is>
          <t>MEN-008-08</t>
        </is>
      </c>
      <c r="B90" s="20" t="inlineStr">
        <is>
          <t>Menoetius</t>
        </is>
      </c>
      <c r="C90" s="20" t="inlineStr">
        <is>
          <t>Headphones &amp; Earbuds</t>
        </is>
      </c>
      <c r="D90" s="20" t="inlineStr">
        <is>
          <t>Headphones</t>
        </is>
      </c>
      <c r="E90" s="21" t="inlineStr">
        <is>
          <t>Menoetius Arc Pro Studio Monitor Headphones</t>
        </is>
      </c>
      <c r="F90" s="23" t="n">
        <v>338.99</v>
      </c>
      <c r="G90" s="20" t="inlineStr">
        <is>
          <t>the Arc Pro; Menoetius Arc Pro; Menoetuis Arc Pro; Arc Pro headphones</t>
        </is>
      </c>
      <c r="H90" s="20" t="inlineStr">
        <is>
          <t>1 year limited</t>
        </is>
      </c>
      <c r="I90" s="20" t="inlineStr">
        <is>
          <t>CE, RoHS, Hi-Res Audio</t>
        </is>
      </c>
      <c r="J90" s="20" t="inlineStr">
        <is>
          <t>N/A</t>
        </is>
      </c>
      <c r="K90" s="20" t="inlineStr">
        <is>
          <t>N/A</t>
        </is>
      </c>
      <c r="L90" s="20" t="inlineStr">
        <is>
          <t>N/A</t>
        </is>
      </c>
      <c r="M90" s="20" t="inlineStr">
        <is>
          <t>N/A</t>
        </is>
      </c>
      <c r="N90" s="20" t="inlineStr">
        <is>
          <t>Detachable cable: 3.5mm with 6.35mm adapter</t>
        </is>
      </c>
      <c r="O90" s="20" t="inlineStr">
        <is>
          <t>N/A</t>
        </is>
      </c>
      <c r="P90" s="20" t="inlineStr">
        <is>
          <t>N/A</t>
        </is>
      </c>
      <c r="Q90" s="24" t="n">
        <v>250</v>
      </c>
      <c r="R90" s="20" t="inlineStr">
        <is>
          <t>Lower price than Glaucus Strata Ultra Studio Monitor Headphones [GLA-012-09] ($338.99 vs $478.99); Lighter than Doris Rift Air Studio Monitor Headphones [DOR-004-09] (250 g vs 333 g)</t>
        </is>
      </c>
      <c r="S90" s="20" t="inlineStr">
        <is>
          <t>music production, studio, podcasting</t>
        </is>
      </c>
      <c r="T90" s="0" t="inlineStr">
        <is>
          <t>in_stock</t>
        </is>
      </c>
      <c r="U90" s="0" t="n">
        <v>30</v>
      </c>
      <c r="V90" s="52" t="n">
        <v>353.99</v>
      </c>
      <c r="W90" s="0" t="inlineStr">
        <is>
          <t>2026-08-10</t>
        </is>
      </c>
      <c r="X90" s="0" t="inlineStr">
        <is>
          <t>N/A</t>
        </is>
      </c>
      <c r="Y90" s="0" t="inlineStr">
        <is>
          <t>N/A</t>
        </is>
      </c>
      <c r="Z90" s="0" t="inlineStr">
        <is>
          <t>N/A</t>
        </is>
      </c>
      <c r="AA90" s="0" t="inlineStr">
        <is>
          <t>N/A</t>
        </is>
      </c>
    </row>
    <row r="91" ht="15.75" customHeight="1" s="51">
      <c r="A91" s="20" t="inlineStr">
        <is>
          <t>MEN-008-09</t>
        </is>
      </c>
      <c r="B91" s="20" t="inlineStr">
        <is>
          <t>Menoetius</t>
        </is>
      </c>
      <c r="C91" s="20" t="inlineStr">
        <is>
          <t>Headphones &amp; Earbuds</t>
        </is>
      </c>
      <c r="D91" s="20" t="inlineStr">
        <is>
          <t>Headphones</t>
        </is>
      </c>
      <c r="E91" s="21" t="inlineStr">
        <is>
          <t>Menoetius Strata Pro ANC Over-Ear Headphones</t>
        </is>
      </c>
      <c r="F91" s="23" t="n">
        <v>490.99</v>
      </c>
      <c r="G91" s="20" t="inlineStr">
        <is>
          <t>the Strata Pro; Menoetius Strata Pro; Menoeitus Strata Pro; Strata Pro headphones</t>
        </is>
      </c>
      <c r="H91" s="20" t="inlineStr">
        <is>
          <t>1 year limited</t>
        </is>
      </c>
      <c r="I91" s="20" t="inlineStr">
        <is>
          <t>FCC, CE, Bluetooth SIG Qualified, Hi-Res Audio Wireless</t>
        </is>
      </c>
      <c r="J91" s="20" t="inlineStr">
        <is>
          <t>N/A</t>
        </is>
      </c>
      <c r="K91" s="20" t="inlineStr">
        <is>
          <t>N/A</t>
        </is>
      </c>
      <c r="L91" s="20" t="inlineStr">
        <is>
          <t>N/A</t>
        </is>
      </c>
      <c r="M91" s="20" t="inlineStr">
        <is>
          <t>N/A</t>
        </is>
      </c>
      <c r="N91" s="20" t="inlineStr">
        <is>
          <t>USB-C charging and audio, 3.5mm</t>
        </is>
      </c>
      <c r="O91" s="20" t="inlineStr">
        <is>
          <t>N/A</t>
        </is>
      </c>
      <c r="P91" s="20" t="n">
        <v>33</v>
      </c>
      <c r="Q91" s="24" t="n">
        <v>288</v>
      </c>
      <c r="R91" s="20" t="inlineStr">
        <is>
          <t>Longer battery than Chaos Aria Pro ANC Over-Ear Headphones [CHA-016-09] (33 vs 20 hrs); Lower price than Euphrosyne Orbit X ANC Over-Ear Headphones [EUP-019-10] ($490.99 vs $537.99)</t>
        </is>
      </c>
      <c r="S91" s="20" t="inlineStr">
        <is>
          <t>travel, commute, office</t>
        </is>
      </c>
      <c r="T91" s="0" t="inlineStr">
        <is>
          <t>low_stock</t>
        </is>
      </c>
      <c r="U91" s="0" t="n">
        <v>30</v>
      </c>
      <c r="V91" s="52" t="n">
        <v>514.99</v>
      </c>
      <c r="W91" s="0" t="inlineStr">
        <is>
          <t>2026-09-11</t>
        </is>
      </c>
      <c r="X91" s="0" t="inlineStr">
        <is>
          <t>N/A</t>
        </is>
      </c>
      <c r="Y91" s="0" t="inlineStr">
        <is>
          <t>N/A</t>
        </is>
      </c>
      <c r="Z91" s="0" t="inlineStr">
        <is>
          <t>N/A</t>
        </is>
      </c>
      <c r="AA91" s="0" t="inlineStr">
        <is>
          <t>N/A</t>
        </is>
      </c>
    </row>
    <row r="92" ht="15.75" customHeight="1" s="51">
      <c r="A92" s="20" t="inlineStr">
        <is>
          <t>MEN-008-10</t>
        </is>
      </c>
      <c r="B92" s="20" t="inlineStr">
        <is>
          <t>Menoetius</t>
        </is>
      </c>
      <c r="C92" s="20" t="inlineStr">
        <is>
          <t>Headphones &amp; Earbuds</t>
        </is>
      </c>
      <c r="D92" s="20" t="inlineStr">
        <is>
          <t>Headphones</t>
        </is>
      </c>
      <c r="E92" s="21" t="inlineStr">
        <is>
          <t>Menoetius Sable SE Audiophile Planar Headphones</t>
        </is>
      </c>
      <c r="F92" s="23" t="n">
        <v>978.99</v>
      </c>
      <c r="G92" s="20" t="inlineStr">
        <is>
          <t>the Sable SE; Menoetius Sable SE; Mennoetius Sable SE; Sable SE headphones</t>
        </is>
      </c>
      <c r="H92" s="20" t="inlineStr">
        <is>
          <t>1 year limited</t>
        </is>
      </c>
      <c r="I92" s="20" t="inlineStr">
        <is>
          <t>CE, RoHS, Hi-Res Audio</t>
        </is>
      </c>
      <c r="J92" s="20" t="inlineStr">
        <is>
          <t>N/A</t>
        </is>
      </c>
      <c r="K92" s="20" t="inlineStr">
        <is>
          <t>N/A</t>
        </is>
      </c>
      <c r="L92" s="20" t="inlineStr">
        <is>
          <t>N/A</t>
        </is>
      </c>
      <c r="M92" s="20" t="inlineStr">
        <is>
          <t>N/A</t>
        </is>
      </c>
      <c r="N92" s="20" t="inlineStr">
        <is>
          <t>Detachable cable: 3.5mm, 6.35mm and 4.4mm balanced</t>
        </is>
      </c>
      <c r="O92" s="20" t="inlineStr">
        <is>
          <t>N/A</t>
        </is>
      </c>
      <c r="P92" s="20" t="inlineStr">
        <is>
          <t>N/A</t>
        </is>
      </c>
      <c r="Q92" s="24" t="n">
        <v>463</v>
      </c>
      <c r="R92" s="20" t="inlineStr">
        <is>
          <t>Lower price than Morpheus Onyx Lite Audiophile Planar Headphones [MOR-001-10] ($978.99 vs $1,063.99); Lighter than Nereus Vibe X Audiophile Planar Headphones [NER-020-10] (463 g vs 488 g)</t>
        </is>
      </c>
      <c r="S92" s="20" t="inlineStr">
        <is>
          <t>audiophile, home listening, studio</t>
        </is>
      </c>
      <c r="T92" s="0" t="inlineStr">
        <is>
          <t>low_stock</t>
        </is>
      </c>
      <c r="U92" s="0" t="n">
        <v>30</v>
      </c>
      <c r="V92" s="52" t="n">
        <v>1095.99</v>
      </c>
      <c r="W92" s="0" t="inlineStr">
        <is>
          <t>2026-08-10</t>
        </is>
      </c>
      <c r="X92" s="0" t="inlineStr">
        <is>
          <t>N/A</t>
        </is>
      </c>
      <c r="Y92" s="0" t="inlineStr">
        <is>
          <t>N/A</t>
        </is>
      </c>
      <c r="Z92" s="0" t="inlineStr">
        <is>
          <t>N/A</t>
        </is>
      </c>
      <c r="AA92" s="0" t="inlineStr">
        <is>
          <t>N/A</t>
        </is>
      </c>
    </row>
    <row r="93" ht="15.75" customHeight="1" s="51">
      <c r="A93" s="20" t="inlineStr">
        <is>
          <t>PHO-009-01</t>
        </is>
      </c>
      <c r="B93" s="20" t="inlineStr">
        <is>
          <t>Phosphorus</t>
        </is>
      </c>
      <c r="C93" s="20" t="inlineStr">
        <is>
          <t>Headphones &amp; Earbuds</t>
        </is>
      </c>
      <c r="D93" s="20" t="inlineStr">
        <is>
          <t>Headphones</t>
        </is>
      </c>
      <c r="E93" s="21" t="inlineStr">
        <is>
          <t>Phosphorus Core Kids Headphones</t>
        </is>
      </c>
      <c r="F93" s="23" t="n">
        <v>30.99</v>
      </c>
      <c r="G93" s="20" t="inlineStr">
        <is>
          <t>the Core; Phosphorus Core; Phosphoruus Core; Core headphones</t>
        </is>
      </c>
      <c r="H93" s="20" t="inlineStr">
        <is>
          <t>1 year limited</t>
        </is>
      </c>
      <c r="I93" s="20" t="inlineStr">
        <is>
          <t>FCC, CE, Bluetooth SIG Qualified, EN 71 Toy Safety</t>
        </is>
      </c>
      <c r="J93" s="20" t="inlineStr">
        <is>
          <t>N/A</t>
        </is>
      </c>
      <c r="K93" s="20" t="inlineStr">
        <is>
          <t>N/A</t>
        </is>
      </c>
      <c r="L93" s="20" t="inlineStr">
        <is>
          <t>N/A</t>
        </is>
      </c>
      <c r="M93" s="20" t="inlineStr">
        <is>
          <t>N/A</t>
        </is>
      </c>
      <c r="N93" s="20" t="inlineStr">
        <is>
          <t>USB-C charging, 3.5mm (85 dB limited)</t>
        </is>
      </c>
      <c r="O93" s="20" t="inlineStr">
        <is>
          <t>N/A</t>
        </is>
      </c>
      <c r="P93" s="20" t="n">
        <v>28</v>
      </c>
      <c r="Q93" s="24" t="n">
        <v>149</v>
      </c>
      <c r="R93" s="20" t="inlineStr">
        <is>
          <t>Lower price than Glaucus Aria Air Kids Headphones [GLA-012-01] ($30.99 vs $45.99); Longer battery than Euphrosyne Vibe Max Kids Headphones [EUP-019-01] (28 vs 27 hrs)</t>
        </is>
      </c>
      <c r="S93" s="20" t="inlineStr">
        <is>
          <t>kids, school, travel</t>
        </is>
      </c>
      <c r="T93" s="0" t="inlineStr">
        <is>
          <t>in_stock</t>
        </is>
      </c>
      <c r="U93" s="0" t="n">
        <v>15</v>
      </c>
      <c r="V93" s="52" t="n">
        <v>33.99</v>
      </c>
      <c r="W93" s="0" t="inlineStr">
        <is>
          <t>2026-08-06</t>
        </is>
      </c>
      <c r="X93" s="0" t="inlineStr">
        <is>
          <t>N/A</t>
        </is>
      </c>
      <c r="Y93" s="0" t="inlineStr">
        <is>
          <t>N/A</t>
        </is>
      </c>
      <c r="Z93" s="0" t="inlineStr">
        <is>
          <t>N/A</t>
        </is>
      </c>
      <c r="AA93" s="0" t="inlineStr">
        <is>
          <t>N/A</t>
        </is>
      </c>
    </row>
    <row r="94" ht="15.75" customHeight="1" s="51">
      <c r="A94" s="20" t="inlineStr">
        <is>
          <t>PHO-009-02</t>
        </is>
      </c>
      <c r="B94" s="20" t="inlineStr">
        <is>
          <t>Phosphorus</t>
        </is>
      </c>
      <c r="C94" s="20" t="inlineStr">
        <is>
          <t>Headphones &amp; Earbuds</t>
        </is>
      </c>
      <c r="D94" s="20" t="inlineStr">
        <is>
          <t>Headset</t>
        </is>
      </c>
      <c r="E94" s="21" t="inlineStr">
        <is>
          <t>Phosphorus Quanta Max Gaming Headset</t>
        </is>
      </c>
      <c r="F94" s="23" t="n">
        <v>107.99</v>
      </c>
      <c r="G94" s="20" t="inlineStr">
        <is>
          <t>the Quanta Max; Phosphorus Quanta Max; Phospohrus Quanta Max; Quanta Max headset</t>
        </is>
      </c>
      <c r="H94" s="20" t="inlineStr">
        <is>
          <t>1 year limited</t>
        </is>
      </c>
      <c r="I94" s="20" t="inlineStr">
        <is>
          <t>FCC, CE, Bluetooth SIG Qualified</t>
        </is>
      </c>
      <c r="J94" s="20" t="inlineStr">
        <is>
          <t>N/A</t>
        </is>
      </c>
      <c r="K94" s="20" t="inlineStr">
        <is>
          <t>N/A</t>
        </is>
      </c>
      <c r="L94" s="20" t="inlineStr">
        <is>
          <t>N/A</t>
        </is>
      </c>
      <c r="M94" s="20" t="inlineStr">
        <is>
          <t>N/A</t>
        </is>
      </c>
      <c r="N94" s="20" t="inlineStr">
        <is>
          <t>USB-C, 3.5mm, 2.4GHz USB dongle</t>
        </is>
      </c>
      <c r="O94" s="20" t="inlineStr">
        <is>
          <t>N/A</t>
        </is>
      </c>
      <c r="P94" s="20" t="n">
        <v>51</v>
      </c>
      <c r="Q94" s="24" t="n">
        <v>275</v>
      </c>
      <c r="R94" s="20" t="inlineStr">
        <is>
          <t>Longer battery than Doris Echo Plus Gaming Headset [DOR-004-07] (51 vs 44 hrs); Lower price than Tartarus Onyx Ultra Gaming Headset [TAR-017-08] ($107.99 vs $323.99)</t>
        </is>
      </c>
      <c r="S94" s="20" t="inlineStr">
        <is>
          <t>gaming, streaming, voice chat</t>
        </is>
      </c>
      <c r="T94" s="0" t="inlineStr">
        <is>
          <t>in_stock</t>
        </is>
      </c>
      <c r="U94" s="0" t="n">
        <v>15</v>
      </c>
      <c r="V94" s="52" t="n">
        <v>119.99</v>
      </c>
      <c r="W94" s="0" t="inlineStr">
        <is>
          <t>2026-09-24</t>
        </is>
      </c>
      <c r="X94" s="0" t="inlineStr">
        <is>
          <t>N/A</t>
        </is>
      </c>
      <c r="Y94" s="0" t="inlineStr">
        <is>
          <t>N/A</t>
        </is>
      </c>
      <c r="Z94" s="0" t="inlineStr">
        <is>
          <t>N/A</t>
        </is>
      </c>
      <c r="AA94" s="0" t="inlineStr">
        <is>
          <t>N/A</t>
        </is>
      </c>
    </row>
    <row r="95" ht="15.75" customHeight="1" s="51">
      <c r="A95" s="20" t="inlineStr">
        <is>
          <t>PHO-009-03</t>
        </is>
      </c>
      <c r="B95" s="20" t="inlineStr">
        <is>
          <t>Phosphorus</t>
        </is>
      </c>
      <c r="C95" s="20" t="inlineStr">
        <is>
          <t>Headphones &amp; Earbuds</t>
        </is>
      </c>
      <c r="D95" s="20" t="inlineStr">
        <is>
          <t>Earbuds</t>
        </is>
      </c>
      <c r="E95" s="21" t="inlineStr">
        <is>
          <t>Phosphorus Nimbus X Sleep Earbuds</t>
        </is>
      </c>
      <c r="F95" s="23" t="n">
        <v>127.99</v>
      </c>
      <c r="G95" s="20" t="inlineStr">
        <is>
          <t>the Nimbus X; Phosphorus Nimbus X; Phosphoru Nimbus X; Nimbus X earbuds</t>
        </is>
      </c>
      <c r="H95" s="20" t="inlineStr">
        <is>
          <t>1 year limited</t>
        </is>
      </c>
      <c r="I95" s="20" t="inlineStr">
        <is>
          <t>FCC, CE, Bluetooth SIG Qualified</t>
        </is>
      </c>
      <c r="J95" s="20" t="inlineStr">
        <is>
          <t>N/A</t>
        </is>
      </c>
      <c r="K95" s="20" t="inlineStr">
        <is>
          <t>N/A</t>
        </is>
      </c>
      <c r="L95" s="20" t="inlineStr">
        <is>
          <t>N/A</t>
        </is>
      </c>
      <c r="M95" s="20" t="inlineStr">
        <is>
          <t>N/A</t>
        </is>
      </c>
      <c r="N95" s="20" t="inlineStr">
        <is>
          <t>USB-C charging case</t>
        </is>
      </c>
      <c r="O95" s="20" t="inlineStr">
        <is>
          <t>N/A</t>
        </is>
      </c>
      <c r="P95" s="20" t="n">
        <v>8</v>
      </c>
      <c r="Q95" s="24" t="n">
        <v>2</v>
      </c>
      <c r="R95" s="20" t="inlineStr">
        <is>
          <t>Lower price than Tartarus Vertex X Sleep Earbuds [TAR-017-06] ($127.99 vs $217.99); Lighter than Euphrosyne Flux Pro Sleep Earbuds [EUP-019-05] (2 g vs 3 g)</t>
        </is>
      </c>
      <c r="S95" s="20" t="inlineStr">
        <is>
          <t>sleep, travel, relaxation</t>
        </is>
      </c>
      <c r="T95" s="0" t="inlineStr">
        <is>
          <t>in_stock</t>
        </is>
      </c>
      <c r="U95" s="0" t="n">
        <v>15</v>
      </c>
      <c r="V95" s="52" t="n">
        <v>143.99</v>
      </c>
      <c r="W95" s="0" t="inlineStr">
        <is>
          <t>2026-09-18</t>
        </is>
      </c>
      <c r="X95" s="0" t="inlineStr">
        <is>
          <t>N/A</t>
        </is>
      </c>
      <c r="Y95" s="0" t="inlineStr">
        <is>
          <t>N/A</t>
        </is>
      </c>
      <c r="Z95" s="0" t="inlineStr">
        <is>
          <t>N/A</t>
        </is>
      </c>
      <c r="AA95" s="0" t="inlineStr">
        <is>
          <t>N/A</t>
        </is>
      </c>
    </row>
    <row r="96" ht="15.75" customHeight="1" s="51">
      <c r="A96" s="20" t="inlineStr">
        <is>
          <t>PHO-009-04</t>
        </is>
      </c>
      <c r="B96" s="20" t="inlineStr">
        <is>
          <t>Phosphorus</t>
        </is>
      </c>
      <c r="C96" s="20" t="inlineStr">
        <is>
          <t>Headphones &amp; Earbuds</t>
        </is>
      </c>
      <c r="D96" s="20" t="inlineStr">
        <is>
          <t>Earbuds</t>
        </is>
      </c>
      <c r="E96" s="21" t="inlineStr">
        <is>
          <t>Phosphorus Crest Air Sport Earbuds</t>
        </is>
      </c>
      <c r="F96" s="23" t="n">
        <v>149.99</v>
      </c>
      <c r="G96" s="20" t="inlineStr">
        <is>
          <t>the Crest Air; Phosphorus Crest Air; Phsophorus Crest Air; Crest Air earbuds</t>
        </is>
      </c>
      <c r="H96" s="20" t="inlineStr">
        <is>
          <t>1 year limited</t>
        </is>
      </c>
      <c r="I96" s="20" t="inlineStr">
        <is>
          <t>FCC, CE, Bluetooth SIG Qualified, IP55</t>
        </is>
      </c>
      <c r="J96" s="20" t="inlineStr">
        <is>
          <t>N/A</t>
        </is>
      </c>
      <c r="K96" s="20" t="inlineStr">
        <is>
          <t>N/A</t>
        </is>
      </c>
      <c r="L96" s="20" t="inlineStr">
        <is>
          <t>N/A</t>
        </is>
      </c>
      <c r="M96" s="20" t="inlineStr">
        <is>
          <t>N/A</t>
        </is>
      </c>
      <c r="N96" s="20" t="inlineStr">
        <is>
          <t>USB-C charging case</t>
        </is>
      </c>
      <c r="O96" s="20" t="inlineStr">
        <is>
          <t>N/A</t>
        </is>
      </c>
      <c r="P96" s="20" t="n">
        <v>7</v>
      </c>
      <c r="Q96" s="24" t="n">
        <v>6</v>
      </c>
      <c r="R96" s="20" t="inlineStr">
        <is>
          <t>Lower price than Carpo Flux Pro Sport Earbuds [CAR-002-05] ($149.99 vs $153.99); Lighter than Soteria Strata Ultra Sport Earbuds [SOT-014-03] (6 g vs 8 g)</t>
        </is>
      </c>
      <c r="S96" s="20" t="inlineStr">
        <is>
          <t>gym, running, sport</t>
        </is>
      </c>
      <c r="T96" s="0" t="inlineStr">
        <is>
          <t>in_stock</t>
        </is>
      </c>
      <c r="U96" s="0" t="n">
        <v>15</v>
      </c>
      <c r="V96" s="52" t="n">
        <v>157.99</v>
      </c>
      <c r="W96" s="0" t="inlineStr">
        <is>
          <t>2026-09-15</t>
        </is>
      </c>
      <c r="X96" s="0" t="inlineStr">
        <is>
          <t>N/A</t>
        </is>
      </c>
      <c r="Y96" s="0" t="inlineStr">
        <is>
          <t>N/A</t>
        </is>
      </c>
      <c r="Z96" s="0" t="inlineStr">
        <is>
          <t>N/A</t>
        </is>
      </c>
      <c r="AA96" s="0" t="inlineStr">
        <is>
          <t>N/A</t>
        </is>
      </c>
    </row>
    <row r="97" ht="15.75" customHeight="1" s="51">
      <c r="A97" s="20" t="inlineStr">
        <is>
          <t>PHO-009-05</t>
        </is>
      </c>
      <c r="B97" s="20" t="inlineStr">
        <is>
          <t>Phosphorus</t>
        </is>
      </c>
      <c r="C97" s="20" t="inlineStr">
        <is>
          <t>Headphones &amp; Earbuds</t>
        </is>
      </c>
      <c r="D97" s="20" t="inlineStr">
        <is>
          <t>Headphones</t>
        </is>
      </c>
      <c r="E97" s="21" t="inlineStr">
        <is>
          <t>Phosphorus Flux X ANC Over-Ear Headphones</t>
        </is>
      </c>
      <c r="F97" s="23" t="n">
        <v>167.99</v>
      </c>
      <c r="G97" s="20" t="inlineStr">
        <is>
          <t>the Flux X; Phosphorus Flux X; Phosphoruss Flux X; Flux X headphones</t>
        </is>
      </c>
      <c r="H97" s="20" t="inlineStr">
        <is>
          <t>1 year limited</t>
        </is>
      </c>
      <c r="I97" s="20" t="inlineStr">
        <is>
          <t>FCC, CE, Bluetooth SIG Qualified</t>
        </is>
      </c>
      <c r="J97" s="20" t="inlineStr">
        <is>
          <t>N/A</t>
        </is>
      </c>
      <c r="K97" s="20" t="inlineStr">
        <is>
          <t>N/A</t>
        </is>
      </c>
      <c r="L97" s="20" t="inlineStr">
        <is>
          <t>N/A</t>
        </is>
      </c>
      <c r="M97" s="20" t="inlineStr">
        <is>
          <t>N/A</t>
        </is>
      </c>
      <c r="N97" s="20" t="inlineStr">
        <is>
          <t>USB-C charging and audio, 3.5mm</t>
        </is>
      </c>
      <c r="O97" s="20" t="inlineStr">
        <is>
          <t>N/A</t>
        </is>
      </c>
      <c r="P97" s="20" t="n">
        <v>40</v>
      </c>
      <c r="Q97" s="24" t="n">
        <v>312</v>
      </c>
      <c r="R97" s="20" t="inlineStr">
        <is>
          <t>Lower price than Morpheus Rift Plus ANC Over-Ear Headphones [MOR-001-07] ($167.99 vs $205.99); Longer battery than Asclepius Rift Max ANC Over-Ear Headphones [ASC-024-10] (40 vs 36 hrs)</t>
        </is>
      </c>
      <c r="S97" s="20" t="inlineStr">
        <is>
          <t>travel, commute, office</t>
        </is>
      </c>
      <c r="T97" s="0" t="inlineStr">
        <is>
          <t>low_stock</t>
        </is>
      </c>
      <c r="U97" s="0" t="n">
        <v>15</v>
      </c>
      <c r="V97" s="52" t="n">
        <v>187.99</v>
      </c>
      <c r="W97" s="0" t="inlineStr">
        <is>
          <t>2026-09-05</t>
        </is>
      </c>
      <c r="X97" s="0" t="inlineStr">
        <is>
          <t>N/A</t>
        </is>
      </c>
      <c r="Y97" s="0" t="inlineStr">
        <is>
          <t>N/A</t>
        </is>
      </c>
      <c r="Z97" s="0" t="inlineStr">
        <is>
          <t>N/A</t>
        </is>
      </c>
      <c r="AA97" s="0" t="inlineStr">
        <is>
          <t>N/A</t>
        </is>
      </c>
    </row>
    <row r="98" ht="15.75" customHeight="1" s="51">
      <c r="A98" s="20" t="inlineStr">
        <is>
          <t>PHO-009-06</t>
        </is>
      </c>
      <c r="B98" s="20" t="inlineStr">
        <is>
          <t>Phosphorus</t>
        </is>
      </c>
      <c r="C98" s="20" t="inlineStr">
        <is>
          <t>Headphones &amp; Earbuds</t>
        </is>
      </c>
      <c r="D98" s="20" t="inlineStr">
        <is>
          <t>Headphones</t>
        </is>
      </c>
      <c r="E98" s="21" t="inlineStr">
        <is>
          <t>Phosphorus Lumen Max Studio Monitor Headphones</t>
        </is>
      </c>
      <c r="F98" s="23" t="n">
        <v>189.99</v>
      </c>
      <c r="G98" s="20" t="inlineStr">
        <is>
          <t>the Lumen Max; Phosphorus Lumen Max; Phosphoruus Lumen Max; Lumen Max headphones</t>
        </is>
      </c>
      <c r="H98" s="20" t="inlineStr">
        <is>
          <t>1 year limited</t>
        </is>
      </c>
      <c r="I98" s="20" t="inlineStr">
        <is>
          <t>CE, RoHS, Hi-Res Audio</t>
        </is>
      </c>
      <c r="J98" s="20" t="inlineStr">
        <is>
          <t>N/A</t>
        </is>
      </c>
      <c r="K98" s="20" t="inlineStr">
        <is>
          <t>N/A</t>
        </is>
      </c>
      <c r="L98" s="20" t="inlineStr">
        <is>
          <t>N/A</t>
        </is>
      </c>
      <c r="M98" s="20" t="inlineStr">
        <is>
          <t>N/A</t>
        </is>
      </c>
      <c r="N98" s="20" t="inlineStr">
        <is>
          <t>Detachable cable: 3.5mm with 6.35mm adapter</t>
        </is>
      </c>
      <c r="O98" s="20" t="inlineStr">
        <is>
          <t>N/A</t>
        </is>
      </c>
      <c r="P98" s="20" t="inlineStr">
        <is>
          <t>N/A</t>
        </is>
      </c>
      <c r="Q98" s="24" t="n">
        <v>300</v>
      </c>
      <c r="R98" s="20" t="inlineStr">
        <is>
          <t>Lighter than Himeros Flux Studio Monitor Headphones [HIM-003-07] (300 g vs 349 g); Lower price than Aura Drift Studio Monitor Headphones [AUR-015-10] ($189.99 vs $497.99)</t>
        </is>
      </c>
      <c r="S98" s="20" t="inlineStr">
        <is>
          <t>music production, studio, podcasting</t>
        </is>
      </c>
      <c r="T98" s="0" t="inlineStr">
        <is>
          <t>in_stock</t>
        </is>
      </c>
      <c r="U98" s="0" t="n">
        <v>15</v>
      </c>
      <c r="V98" s="52" t="n">
        <v>202.99</v>
      </c>
      <c r="W98" s="0" t="inlineStr">
        <is>
          <t>2026-09-03</t>
        </is>
      </c>
      <c r="X98" s="0" t="inlineStr">
        <is>
          <t>N/A</t>
        </is>
      </c>
      <c r="Y98" s="0" t="inlineStr">
        <is>
          <t>N/A</t>
        </is>
      </c>
      <c r="Z98" s="0" t="inlineStr">
        <is>
          <t>N/A</t>
        </is>
      </c>
      <c r="AA98" s="0" t="inlineStr">
        <is>
          <t>N/A</t>
        </is>
      </c>
    </row>
    <row r="99" ht="15.75" customHeight="1" s="51">
      <c r="A99" s="20" t="inlineStr">
        <is>
          <t>PHO-009-07</t>
        </is>
      </c>
      <c r="B99" s="20" t="inlineStr">
        <is>
          <t>Phosphorus</t>
        </is>
      </c>
      <c r="C99" s="20" t="inlineStr">
        <is>
          <t>Headphones &amp; Earbuds</t>
        </is>
      </c>
      <c r="D99" s="20" t="inlineStr">
        <is>
          <t>Earbuds</t>
        </is>
      </c>
      <c r="E99" s="21" t="inlineStr">
        <is>
          <t>Phosphorus Zen Open-Ear Earbuds</t>
        </is>
      </c>
      <c r="F99" s="23" t="n">
        <v>215.99</v>
      </c>
      <c r="G99" s="20" t="inlineStr">
        <is>
          <t>the Zen; Phosphorus Zen; Phospohrus Zen; Zen earbuds</t>
        </is>
      </c>
      <c r="H99" s="20" t="inlineStr">
        <is>
          <t>1 year limited</t>
        </is>
      </c>
      <c r="I99" s="20" t="inlineStr">
        <is>
          <t>FCC, CE, Bluetooth SIG Qualified, IPX4</t>
        </is>
      </c>
      <c r="J99" s="20" t="inlineStr">
        <is>
          <t>N/A</t>
        </is>
      </c>
      <c r="K99" s="20" t="inlineStr">
        <is>
          <t>N/A</t>
        </is>
      </c>
      <c r="L99" s="20" t="inlineStr">
        <is>
          <t>N/A</t>
        </is>
      </c>
      <c r="M99" s="20" t="inlineStr">
        <is>
          <t>N/A</t>
        </is>
      </c>
      <c r="N99" s="20" t="inlineStr">
        <is>
          <t>USB-C charging case</t>
        </is>
      </c>
      <c r="O99" s="20" t="inlineStr">
        <is>
          <t>N/A</t>
        </is>
      </c>
      <c r="P99" s="20" t="n">
        <v>9</v>
      </c>
      <c r="Q99" s="24" t="n">
        <v>12</v>
      </c>
      <c r="R99" s="20" t="inlineStr">
        <is>
          <t>Longer battery than Deimos Aeon Plus Open-Ear Earbuds [DEI-005-05] (9 vs 6 hrs)</t>
        </is>
      </c>
      <c r="S99" s="20" t="inlineStr">
        <is>
          <t>running, outdoor, office</t>
        </is>
      </c>
      <c r="T99" s="0" t="inlineStr">
        <is>
          <t>low_stock</t>
        </is>
      </c>
      <c r="U99" s="0" t="n">
        <v>15</v>
      </c>
      <c r="V99" s="52" t="n">
        <v>239.99</v>
      </c>
      <c r="W99" s="0" t="inlineStr">
        <is>
          <t>2026-08-06</t>
        </is>
      </c>
      <c r="X99" s="0" t="inlineStr">
        <is>
          <t>N/A</t>
        </is>
      </c>
      <c r="Y99" s="0" t="inlineStr">
        <is>
          <t>N/A</t>
        </is>
      </c>
      <c r="Z99" s="0" t="inlineStr">
        <is>
          <t>N/A</t>
        </is>
      </c>
      <c r="AA99" s="0" t="inlineStr">
        <is>
          <t>N/A</t>
        </is>
      </c>
    </row>
    <row r="100" ht="15.75" customHeight="1" s="51">
      <c r="A100" s="20" t="inlineStr">
        <is>
          <t>PHO-009-08</t>
        </is>
      </c>
      <c r="B100" s="20" t="inlineStr">
        <is>
          <t>Phosphorus</t>
        </is>
      </c>
      <c r="C100" s="20" t="inlineStr">
        <is>
          <t>Headphones &amp; Earbuds</t>
        </is>
      </c>
      <c r="D100" s="20" t="inlineStr">
        <is>
          <t>Earbuds</t>
        </is>
      </c>
      <c r="E100" s="21" t="inlineStr">
        <is>
          <t>Phosphorus Volt Plus Wired In-Ear Monitors</t>
        </is>
      </c>
      <c r="F100" s="23" t="n">
        <v>236.99</v>
      </c>
      <c r="G100" s="20" t="inlineStr">
        <is>
          <t>the Volt Plus; Phosphorus Volt Plus; Phopshorus Volt Plus; Volt Plus earbuds</t>
        </is>
      </c>
      <c r="H100" s="20" t="inlineStr">
        <is>
          <t>1 year limited</t>
        </is>
      </c>
      <c r="I100" s="20" t="inlineStr">
        <is>
          <t>CE, RoHS, Hi-Res Audio</t>
        </is>
      </c>
      <c r="J100" s="20" t="inlineStr">
        <is>
          <t>N/A</t>
        </is>
      </c>
      <c r="K100" s="20" t="inlineStr">
        <is>
          <t>N/A</t>
        </is>
      </c>
      <c r="L100" s="20" t="inlineStr">
        <is>
          <t>N/A</t>
        </is>
      </c>
      <c r="M100" s="20" t="inlineStr">
        <is>
          <t>N/A</t>
        </is>
      </c>
      <c r="N100" s="20" t="inlineStr">
        <is>
          <t>Detachable 2-pin cable: 3.5mm and 4.4mm balanced</t>
        </is>
      </c>
      <c r="O100" s="20" t="inlineStr">
        <is>
          <t>N/A</t>
        </is>
      </c>
      <c r="P100" s="20" t="inlineStr">
        <is>
          <t>N/A</t>
        </is>
      </c>
      <c r="Q100" s="24" t="n">
        <v>31</v>
      </c>
      <c r="R100" s="20" t="inlineStr">
        <is>
          <t>Lighter than Morpheus Nova Ultra Wired In-Ear Monitors [MOR-001-02] (31 g vs 36 g); Lower price than Deimos Rift Wired In-Ear Monitors [DEI-005-09] ($236.99 vs $398.99)</t>
        </is>
      </c>
      <c r="S100" s="20" t="inlineStr">
        <is>
          <t>audiophile, stage monitoring, music</t>
        </is>
      </c>
      <c r="T100" s="0" t="inlineStr">
        <is>
          <t>in_stock</t>
        </is>
      </c>
      <c r="U100" s="0" t="n">
        <v>15</v>
      </c>
      <c r="V100" s="52" t="n">
        <v>252.99</v>
      </c>
      <c r="W100" s="0" t="inlineStr">
        <is>
          <t>2026-09-14</t>
        </is>
      </c>
      <c r="X100" s="0" t="inlineStr">
        <is>
          <t>N/A</t>
        </is>
      </c>
      <c r="Y100" s="0" t="inlineStr">
        <is>
          <t>N/A</t>
        </is>
      </c>
      <c r="Z100" s="0" t="inlineStr">
        <is>
          <t>N/A</t>
        </is>
      </c>
      <c r="AA100" s="0" t="inlineStr">
        <is>
          <t>N/A</t>
        </is>
      </c>
    </row>
    <row r="101" ht="15.75" customHeight="1" s="51">
      <c r="A101" s="20" t="inlineStr">
        <is>
          <t>PHO-009-09</t>
        </is>
      </c>
      <c r="B101" s="20" t="inlineStr">
        <is>
          <t>Phosphorus</t>
        </is>
      </c>
      <c r="C101" s="20" t="inlineStr">
        <is>
          <t>Headphones &amp; Earbuds</t>
        </is>
      </c>
      <c r="D101" s="20" t="inlineStr">
        <is>
          <t>Headphones</t>
        </is>
      </c>
      <c r="E101" s="21" t="inlineStr">
        <is>
          <t>Phosphorus Vertex On-Ear Headphones</t>
        </is>
      </c>
      <c r="F101" s="23" t="n">
        <v>239.99</v>
      </c>
      <c r="G101" s="20" t="inlineStr">
        <is>
          <t>the Vertex; Phosphorus Vertex; Phsophorus Vertex; Vertex headphones</t>
        </is>
      </c>
      <c r="H101" s="20" t="inlineStr">
        <is>
          <t>1 year limited</t>
        </is>
      </c>
      <c r="I101" s="20" t="inlineStr">
        <is>
          <t>FCC, CE, Bluetooth SIG Qualified</t>
        </is>
      </c>
      <c r="J101" s="20" t="inlineStr">
        <is>
          <t>N/A</t>
        </is>
      </c>
      <c r="K101" s="20" t="inlineStr">
        <is>
          <t>N/A</t>
        </is>
      </c>
      <c r="L101" s="20" t="inlineStr">
        <is>
          <t>N/A</t>
        </is>
      </c>
      <c r="M101" s="20" t="inlineStr">
        <is>
          <t>N/A</t>
        </is>
      </c>
      <c r="N101" s="20" t="inlineStr">
        <is>
          <t>USB-C charging, 3.5mm</t>
        </is>
      </c>
      <c r="O101" s="20" t="inlineStr">
        <is>
          <t>N/A</t>
        </is>
      </c>
      <c r="P101" s="20" t="n">
        <v>38</v>
      </c>
      <c r="Q101" s="24" t="n">
        <v>216</v>
      </c>
      <c r="R101" s="20" t="inlineStr">
        <is>
          <t>Longer battery than Hesperus Rift Air On-Ear Headphones [HES-025-04] (38 vs 33 hrs); Lighter than Euphrosyne Blaze X On-Ear Headphones [EUP-019-03] (216 g vs 225 g)</t>
        </is>
      </c>
      <c r="S101" s="20" t="inlineStr">
        <is>
          <t>everyday, commute, school</t>
        </is>
      </c>
      <c r="T101" s="0" t="inlineStr">
        <is>
          <t>in_stock</t>
        </is>
      </c>
      <c r="U101" s="0" t="n">
        <v>15</v>
      </c>
      <c r="V101" s="52" t="n">
        <v>264.99</v>
      </c>
      <c r="W101" s="0" t="inlineStr">
        <is>
          <t>2026-08-09</t>
        </is>
      </c>
      <c r="X101" s="0" t="inlineStr">
        <is>
          <t>N/A</t>
        </is>
      </c>
      <c r="Y101" s="0" t="inlineStr">
        <is>
          <t>N/A</t>
        </is>
      </c>
      <c r="Z101" s="0" t="inlineStr">
        <is>
          <t>N/A</t>
        </is>
      </c>
      <c r="AA101" s="0" t="inlineStr">
        <is>
          <t>N/A</t>
        </is>
      </c>
    </row>
    <row r="102" ht="15.75" customHeight="1" s="51">
      <c r="A102" s="20" t="inlineStr">
        <is>
          <t>PHO-009-10</t>
        </is>
      </c>
      <c r="B102" s="20" t="inlineStr">
        <is>
          <t>Phosphorus</t>
        </is>
      </c>
      <c r="C102" s="20" t="inlineStr">
        <is>
          <t>Headphones &amp; Earbuds</t>
        </is>
      </c>
      <c r="D102" s="20" t="inlineStr">
        <is>
          <t>Headphones</t>
        </is>
      </c>
      <c r="E102" s="21" t="inlineStr">
        <is>
          <t>Phosphorus Rift Air Audiophile Planar Headphones</t>
        </is>
      </c>
      <c r="F102" s="23" t="n">
        <v>1362.99</v>
      </c>
      <c r="G102" s="20" t="inlineStr">
        <is>
          <t>the Rift Air; Phosphorus Rift Air; Phsophorus Rift Air; Rift Air headphones</t>
        </is>
      </c>
      <c r="H102" s="20" t="inlineStr">
        <is>
          <t>1 year limited</t>
        </is>
      </c>
      <c r="I102" s="20" t="inlineStr">
        <is>
          <t>CE, RoHS, Hi-Res Audio</t>
        </is>
      </c>
      <c r="J102" s="20" t="inlineStr">
        <is>
          <t>N/A</t>
        </is>
      </c>
      <c r="K102" s="20" t="inlineStr">
        <is>
          <t>N/A</t>
        </is>
      </c>
      <c r="L102" s="20" t="inlineStr">
        <is>
          <t>N/A</t>
        </is>
      </c>
      <c r="M102" s="20" t="inlineStr">
        <is>
          <t>N/A</t>
        </is>
      </c>
      <c r="N102" s="20" t="inlineStr">
        <is>
          <t>Detachable cable: 3.5mm, 6.35mm and 4.4mm balanced</t>
        </is>
      </c>
      <c r="O102" s="20" t="inlineStr">
        <is>
          <t>N/A</t>
        </is>
      </c>
      <c r="P102" s="20" t="inlineStr">
        <is>
          <t>N/A</t>
        </is>
      </c>
      <c r="Q102" s="24" t="n">
        <v>439</v>
      </c>
      <c r="R102" s="20" t="inlineStr">
        <is>
          <t>Lighter than Tethys Prism Plus Audiophile Planar Headphones [TET-007-10] (439 g vs 519 g); Lower price than Deimos Orbit Plus Audiophile Planar Headphones [DEI-005-10] ($1,362.99 vs $1,455.99)</t>
        </is>
      </c>
      <c r="S102" s="20" t="inlineStr">
        <is>
          <t>audiophile, home listening, studio</t>
        </is>
      </c>
      <c r="T102" s="0" t="inlineStr">
        <is>
          <t>low_stock</t>
        </is>
      </c>
      <c r="U102" s="0" t="n">
        <v>15</v>
      </c>
      <c r="V102" s="52" t="n">
        <v>1513.99</v>
      </c>
      <c r="W102" s="0" t="inlineStr">
        <is>
          <t>2026-08-20</t>
        </is>
      </c>
      <c r="X102" s="0" t="inlineStr">
        <is>
          <t>N/A</t>
        </is>
      </c>
      <c r="Y102" s="0" t="inlineStr">
        <is>
          <t>N/A</t>
        </is>
      </c>
      <c r="Z102" s="0" t="inlineStr">
        <is>
          <t>N/A</t>
        </is>
      </c>
      <c r="AA102" s="0" t="inlineStr">
        <is>
          <t>N/A</t>
        </is>
      </c>
    </row>
    <row r="103" ht="15.75" customHeight="1" s="51">
      <c r="A103" s="20" t="inlineStr">
        <is>
          <t>HED-010-01</t>
        </is>
      </c>
      <c r="B103" s="20" t="inlineStr">
        <is>
          <t>Hedone</t>
        </is>
      </c>
      <c r="C103" s="20" t="inlineStr">
        <is>
          <t>Headphones &amp; Earbuds</t>
        </is>
      </c>
      <c r="D103" s="20" t="inlineStr">
        <is>
          <t>Headset</t>
        </is>
      </c>
      <c r="E103" s="21" t="inlineStr">
        <is>
          <t>Hedone Halo SE Gaming Headset</t>
        </is>
      </c>
      <c r="F103" s="23" t="n">
        <v>113.99</v>
      </c>
      <c r="G103" s="20" t="inlineStr">
        <is>
          <t>the Halo SE; Hedone Halo SE; Hedoone Halo SE; Halo SE headset</t>
        </is>
      </c>
      <c r="H103" s="20" t="inlineStr">
        <is>
          <t>1 year limited</t>
        </is>
      </c>
      <c r="I103" s="20" t="inlineStr">
        <is>
          <t>FCC, CE, Bluetooth SIG Qualified</t>
        </is>
      </c>
      <c r="J103" s="20" t="inlineStr">
        <is>
          <t>N/A</t>
        </is>
      </c>
      <c r="K103" s="20" t="inlineStr">
        <is>
          <t>N/A</t>
        </is>
      </c>
      <c r="L103" s="20" t="inlineStr">
        <is>
          <t>N/A</t>
        </is>
      </c>
      <c r="M103" s="20" t="inlineStr">
        <is>
          <t>N/A</t>
        </is>
      </c>
      <c r="N103" s="20" t="inlineStr">
        <is>
          <t>USB-C, 3.5mm, 2.4GHz USB dongle</t>
        </is>
      </c>
      <c r="O103" s="20" t="inlineStr">
        <is>
          <t>N/A</t>
        </is>
      </c>
      <c r="P103" s="20" t="n">
        <v>37</v>
      </c>
      <c r="Q103" s="24" t="n">
        <v>297</v>
      </c>
      <c r="R103" s="20" t="inlineStr">
        <is>
          <t>Lighter than Morpheus Quanta X Gaming Headset [MOR-001-05] (297 g vs 363 g); Lower price than Zeus Spark Gaming Headset [ZEU-013-08] ($113.99 vs $242.99)</t>
        </is>
      </c>
      <c r="S103" s="20" t="inlineStr">
        <is>
          <t>gaming, streaming, voice chat</t>
        </is>
      </c>
      <c r="T103" s="0" t="inlineStr">
        <is>
          <t>in_stock</t>
        </is>
      </c>
      <c r="U103" s="0" t="n">
        <v>30</v>
      </c>
      <c r="V103" s="52" t="n">
        <v>123.99</v>
      </c>
      <c r="W103" s="0" t="inlineStr">
        <is>
          <t>2026-09-13</t>
        </is>
      </c>
      <c r="X103" s="0" t="inlineStr">
        <is>
          <t>N/A</t>
        </is>
      </c>
      <c r="Y103" s="0" t="inlineStr">
        <is>
          <t>N/A</t>
        </is>
      </c>
      <c r="Z103" s="0" t="inlineStr">
        <is>
          <t>N/A</t>
        </is>
      </c>
      <c r="AA103" s="0" t="inlineStr">
        <is>
          <t>N/A</t>
        </is>
      </c>
    </row>
    <row r="104" ht="15.75" customHeight="1" s="51">
      <c r="A104" s="20" t="inlineStr">
        <is>
          <t>HED-010-02</t>
        </is>
      </c>
      <c r="B104" s="20" t="inlineStr">
        <is>
          <t>Hedone</t>
        </is>
      </c>
      <c r="C104" s="20" t="inlineStr">
        <is>
          <t>Headphones &amp; Earbuds</t>
        </is>
      </c>
      <c r="D104" s="20" t="inlineStr">
        <is>
          <t>Earbuds</t>
        </is>
      </c>
      <c r="E104" s="21" t="inlineStr">
        <is>
          <t>Hedone Prism Pro Sport Earbuds</t>
        </is>
      </c>
      <c r="F104" s="23" t="n">
        <v>115.99</v>
      </c>
      <c r="G104" s="20" t="inlineStr">
        <is>
          <t>the Prism Pro; Hedone Prism Pro; Heedone Prism Pro; Prism Pro earbuds</t>
        </is>
      </c>
      <c r="H104" s="20" t="inlineStr">
        <is>
          <t>1 year limited</t>
        </is>
      </c>
      <c r="I104" s="20" t="inlineStr">
        <is>
          <t>FCC, CE, Bluetooth SIG Qualified, IPX4</t>
        </is>
      </c>
      <c r="J104" s="20" t="inlineStr">
        <is>
          <t>N/A</t>
        </is>
      </c>
      <c r="K104" s="20" t="inlineStr">
        <is>
          <t>N/A</t>
        </is>
      </c>
      <c r="L104" s="20" t="inlineStr">
        <is>
          <t>N/A</t>
        </is>
      </c>
      <c r="M104" s="20" t="inlineStr">
        <is>
          <t>N/A</t>
        </is>
      </c>
      <c r="N104" s="20" t="inlineStr">
        <is>
          <t>USB-C charging case</t>
        </is>
      </c>
      <c r="O104" s="20" t="inlineStr">
        <is>
          <t>N/A</t>
        </is>
      </c>
      <c r="P104" s="20" t="n">
        <v>10</v>
      </c>
      <c r="Q104" s="24" t="n">
        <v>7</v>
      </c>
      <c r="R104" s="20" t="inlineStr">
        <is>
          <t>Longer battery than Chaos Flux SE Sport Earbuds [CHA-016-05] (10 vs 8 hrs); Lighter than Tartarus Core Ultra Sport Earbuds [TAR-017-02] (7 g vs 8 g)</t>
        </is>
      </c>
      <c r="S104" s="20" t="inlineStr">
        <is>
          <t>gym, running, sport</t>
        </is>
      </c>
      <c r="T104" s="0" t="inlineStr">
        <is>
          <t>in_stock</t>
        </is>
      </c>
      <c r="U104" s="0" t="n">
        <v>30</v>
      </c>
      <c r="V104" s="52" t="n">
        <v>124.99</v>
      </c>
      <c r="W104" s="0" t="inlineStr">
        <is>
          <t>2026-09-16</t>
        </is>
      </c>
      <c r="X104" s="0" t="inlineStr">
        <is>
          <t>N/A</t>
        </is>
      </c>
      <c r="Y104" s="0" t="inlineStr">
        <is>
          <t>N/A</t>
        </is>
      </c>
      <c r="Z104" s="0" t="inlineStr">
        <is>
          <t>N/A</t>
        </is>
      </c>
      <c r="AA104" s="0" t="inlineStr">
        <is>
          <t>N/A</t>
        </is>
      </c>
    </row>
    <row r="105" ht="15.75" customHeight="1" s="51">
      <c r="A105" s="20" t="inlineStr">
        <is>
          <t>HED-010-03</t>
        </is>
      </c>
      <c r="B105" s="20" t="inlineStr">
        <is>
          <t>Hedone</t>
        </is>
      </c>
      <c r="C105" s="20" t="inlineStr">
        <is>
          <t>Headphones &amp; Earbuds</t>
        </is>
      </c>
      <c r="D105" s="20" t="inlineStr">
        <is>
          <t>Earbuds</t>
        </is>
      </c>
      <c r="E105" s="21" t="inlineStr">
        <is>
          <t>Hedone Blaze Max Sleep Earbuds</t>
        </is>
      </c>
      <c r="F105" s="23" t="n">
        <v>129.99</v>
      </c>
      <c r="G105" s="20" t="inlineStr">
        <is>
          <t>the Blaze Max; Hedone Blaze Max; Hedoone Blaze Max; Blaze Max earbuds</t>
        </is>
      </c>
      <c r="H105" s="20" t="inlineStr">
        <is>
          <t>1 year limited</t>
        </is>
      </c>
      <c r="I105" s="20" t="inlineStr">
        <is>
          <t>FCC, CE, Bluetooth SIG Qualified</t>
        </is>
      </c>
      <c r="J105" s="20" t="inlineStr">
        <is>
          <t>N/A</t>
        </is>
      </c>
      <c r="K105" s="20" t="inlineStr">
        <is>
          <t>N/A</t>
        </is>
      </c>
      <c r="L105" s="20" t="inlineStr">
        <is>
          <t>N/A</t>
        </is>
      </c>
      <c r="M105" s="20" t="inlineStr">
        <is>
          <t>N/A</t>
        </is>
      </c>
      <c r="N105" s="20" t="inlineStr">
        <is>
          <t>USB-C charging case</t>
        </is>
      </c>
      <c r="O105" s="20" t="inlineStr">
        <is>
          <t>N/A</t>
        </is>
      </c>
      <c r="P105" s="20" t="n">
        <v>11</v>
      </c>
      <c r="Q105" s="24" t="n">
        <v>3</v>
      </c>
      <c r="R105" s="20" t="inlineStr">
        <is>
          <t>Longer battery than Doris Vertex Air Sleep Earbuds [DOR-004-05] (11 vs 9 hrs); Lower price than Asclepius Axis Lite Sleep Earbuds [ASC-024-04] ($129.99 vs $159.99)</t>
        </is>
      </c>
      <c r="S105" s="20" t="inlineStr">
        <is>
          <t>sleep, travel, relaxation</t>
        </is>
      </c>
      <c r="T105" s="0" t="inlineStr">
        <is>
          <t>in_stock</t>
        </is>
      </c>
      <c r="U105" s="0" t="n">
        <v>30</v>
      </c>
      <c r="V105" s="52" t="n">
        <v>135.99</v>
      </c>
      <c r="W105" s="0" t="inlineStr">
        <is>
          <t>2026-08-18</t>
        </is>
      </c>
      <c r="X105" s="0" t="inlineStr">
        <is>
          <t>N/A</t>
        </is>
      </c>
      <c r="Y105" s="0" t="inlineStr">
        <is>
          <t>N/A</t>
        </is>
      </c>
      <c r="Z105" s="0" t="inlineStr">
        <is>
          <t>N/A</t>
        </is>
      </c>
      <c r="AA105" s="0" t="inlineStr">
        <is>
          <t>N/A</t>
        </is>
      </c>
    </row>
    <row r="106" ht="15.75" customHeight="1" s="51">
      <c r="A106" s="20" t="inlineStr">
        <is>
          <t>HED-010-04</t>
        </is>
      </c>
      <c r="B106" s="20" t="inlineStr">
        <is>
          <t>Hedone</t>
        </is>
      </c>
      <c r="C106" s="20" t="inlineStr">
        <is>
          <t>Headphones &amp; Earbuds</t>
        </is>
      </c>
      <c r="D106" s="20" t="inlineStr">
        <is>
          <t>Headphones</t>
        </is>
      </c>
      <c r="E106" s="21" t="inlineStr">
        <is>
          <t>Hedone Nimbus Max On-Ear Headphones</t>
        </is>
      </c>
      <c r="F106" s="23" t="n">
        <v>141.99</v>
      </c>
      <c r="G106" s="20" t="inlineStr">
        <is>
          <t>the Nimbus Max; Hedone Nimbus Max; Hedonne Nimbus Max; Nimbus Max headphones</t>
        </is>
      </c>
      <c r="H106" s="20" t="inlineStr">
        <is>
          <t>1 year limited</t>
        </is>
      </c>
      <c r="I106" s="20" t="inlineStr">
        <is>
          <t>FCC, CE, Bluetooth SIG Qualified</t>
        </is>
      </c>
      <c r="J106" s="20" t="inlineStr">
        <is>
          <t>N/A</t>
        </is>
      </c>
      <c r="K106" s="20" t="inlineStr">
        <is>
          <t>N/A</t>
        </is>
      </c>
      <c r="L106" s="20" t="inlineStr">
        <is>
          <t>N/A</t>
        </is>
      </c>
      <c r="M106" s="20" t="inlineStr">
        <is>
          <t>N/A</t>
        </is>
      </c>
      <c r="N106" s="20" t="inlineStr">
        <is>
          <t>USB-C charging, 3.5mm</t>
        </is>
      </c>
      <c r="O106" s="20" t="inlineStr">
        <is>
          <t>N/A</t>
        </is>
      </c>
      <c r="P106" s="20" t="n">
        <v>30</v>
      </c>
      <c r="Q106" s="24" t="n">
        <v>194</v>
      </c>
      <c r="R106" s="20" t="inlineStr">
        <is>
          <t>Lower price than Zeus Echo Pro On-Ear Headphones [ZEU-013-04] ($141.99 vs $164.99); Lighter than Tethys Pulse Plus On-Ear Headphones [TET-007-03] (194 g vs 203 g)</t>
        </is>
      </c>
      <c r="S106" s="20" t="inlineStr">
        <is>
          <t>everyday, commute, school</t>
        </is>
      </c>
      <c r="T106" s="0" t="inlineStr">
        <is>
          <t>in_stock</t>
        </is>
      </c>
      <c r="U106" s="0" t="n">
        <v>30</v>
      </c>
      <c r="V106" s="52" t="n">
        <v>146.99</v>
      </c>
      <c r="W106" s="0" t="inlineStr">
        <is>
          <t>2026-08-18</t>
        </is>
      </c>
      <c r="X106" s="0" t="inlineStr">
        <is>
          <t>N/A</t>
        </is>
      </c>
      <c r="Y106" s="0" t="inlineStr">
        <is>
          <t>N/A</t>
        </is>
      </c>
      <c r="Z106" s="0" t="inlineStr">
        <is>
          <t>N/A</t>
        </is>
      </c>
      <c r="AA106" s="0" t="inlineStr">
        <is>
          <t>N/A</t>
        </is>
      </c>
    </row>
    <row r="107" ht="15.75" customHeight="1" s="51">
      <c r="A107" s="20" t="inlineStr">
        <is>
          <t>HED-010-05</t>
        </is>
      </c>
      <c r="B107" s="20" t="inlineStr">
        <is>
          <t>Hedone</t>
        </is>
      </c>
      <c r="C107" s="20" t="inlineStr">
        <is>
          <t>Headphones &amp; Earbuds</t>
        </is>
      </c>
      <c r="D107" s="20" t="inlineStr">
        <is>
          <t>Headphones</t>
        </is>
      </c>
      <c r="E107" s="21" t="inlineStr">
        <is>
          <t>Hedone Aria Bone Conduction Headphones</t>
        </is>
      </c>
      <c r="F107" s="23" t="n">
        <v>148.99</v>
      </c>
      <c r="G107" s="20" t="inlineStr">
        <is>
          <t>the Aria; Hedone Aria; Hdeone Aria; Aria headphones</t>
        </is>
      </c>
      <c r="H107" s="20" t="inlineStr">
        <is>
          <t>1 year limited</t>
        </is>
      </c>
      <c r="I107" s="20" t="inlineStr">
        <is>
          <t>FCC, CE, Bluetooth SIG Qualified, IP67</t>
        </is>
      </c>
      <c r="J107" s="20" t="inlineStr">
        <is>
          <t>N/A</t>
        </is>
      </c>
      <c r="K107" s="20" t="inlineStr">
        <is>
          <t>N/A</t>
        </is>
      </c>
      <c r="L107" s="20" t="inlineStr">
        <is>
          <t>N/A</t>
        </is>
      </c>
      <c r="M107" s="20" t="inlineStr">
        <is>
          <t>N/A</t>
        </is>
      </c>
      <c r="N107" s="20" t="inlineStr">
        <is>
          <t>Magnetic USB charging</t>
        </is>
      </c>
      <c r="O107" s="20" t="inlineStr">
        <is>
          <t>N/A</t>
        </is>
      </c>
      <c r="P107" s="20" t="n">
        <v>9</v>
      </c>
      <c r="Q107" s="24" t="n">
        <v>33</v>
      </c>
      <c r="R107" s="20" t="inlineStr">
        <is>
          <t>Longer battery than Tartarus Volt Max Bone Conduction Headphones [TAR-017-03] (9 vs 7 hrs); Lower price than Aura Core Plus Bone Conduction Headphones [AUR-015-05] ($148.99 vs $167.99)</t>
        </is>
      </c>
      <c r="S107" s="20" t="inlineStr">
        <is>
          <t>running, cycling, outdoor</t>
        </is>
      </c>
      <c r="T107" s="0" t="inlineStr">
        <is>
          <t>in_stock</t>
        </is>
      </c>
      <c r="U107" s="0" t="n">
        <v>30</v>
      </c>
      <c r="V107" s="52" t="n">
        <v>168.99</v>
      </c>
      <c r="W107" s="0" t="inlineStr">
        <is>
          <t>2026-09-12</t>
        </is>
      </c>
      <c r="X107" s="0" t="inlineStr">
        <is>
          <t>N/A</t>
        </is>
      </c>
      <c r="Y107" s="0" t="inlineStr">
        <is>
          <t>N/A</t>
        </is>
      </c>
      <c r="Z107" s="0" t="inlineStr">
        <is>
          <t>N/A</t>
        </is>
      </c>
      <c r="AA107" s="0" t="inlineStr">
        <is>
          <t>N/A</t>
        </is>
      </c>
    </row>
    <row r="108" ht="15.75" customHeight="1" s="51">
      <c r="A108" s="20" t="inlineStr">
        <is>
          <t>HED-010-06</t>
        </is>
      </c>
      <c r="B108" s="20" t="inlineStr">
        <is>
          <t>Hedone</t>
        </is>
      </c>
      <c r="C108" s="20" t="inlineStr">
        <is>
          <t>Headphones &amp; Earbuds</t>
        </is>
      </c>
      <c r="D108" s="20" t="inlineStr">
        <is>
          <t>Earbuds</t>
        </is>
      </c>
      <c r="E108" s="21" t="inlineStr">
        <is>
          <t>Hedone Apex Lite Open-Ear Earbuds</t>
        </is>
      </c>
      <c r="F108" s="23" t="n">
        <v>175.99</v>
      </c>
      <c r="G108" s="20" t="inlineStr">
        <is>
          <t>the Apex Lite; Hedone Apex Lite; Heedone Apex Lite; Apex Lite earbuds</t>
        </is>
      </c>
      <c r="H108" s="20" t="inlineStr">
        <is>
          <t>1 year limited</t>
        </is>
      </c>
      <c r="I108" s="20" t="inlineStr">
        <is>
          <t>FCC, CE, Bluetooth SIG Qualified, IPX4</t>
        </is>
      </c>
      <c r="J108" s="20" t="inlineStr">
        <is>
          <t>N/A</t>
        </is>
      </c>
      <c r="K108" s="20" t="inlineStr">
        <is>
          <t>N/A</t>
        </is>
      </c>
      <c r="L108" s="20" t="inlineStr">
        <is>
          <t>N/A</t>
        </is>
      </c>
      <c r="M108" s="20" t="inlineStr">
        <is>
          <t>N/A</t>
        </is>
      </c>
      <c r="N108" s="20" t="inlineStr">
        <is>
          <t>USB-C charging case</t>
        </is>
      </c>
      <c r="O108" s="20" t="inlineStr">
        <is>
          <t>N/A</t>
        </is>
      </c>
      <c r="P108" s="20" t="n">
        <v>6</v>
      </c>
      <c r="Q108" s="24" t="n">
        <v>10</v>
      </c>
      <c r="R108" s="20" t="inlineStr">
        <is>
          <t>Lower price than Phosphorus Zen Open-Ear Earbuds [PHO-009-07] ($175.99 vs $215.99); Lighter than Euphrosyne Flux Open-Ear Earbuds [EUP-019-07] (10 g vs 12 g)</t>
        </is>
      </c>
      <c r="S108" s="20" t="inlineStr">
        <is>
          <t>running, outdoor, office</t>
        </is>
      </c>
      <c r="T108" s="0" t="inlineStr">
        <is>
          <t>low_stock</t>
        </is>
      </c>
      <c r="U108" s="0" t="n">
        <v>30</v>
      </c>
      <c r="V108" s="52" t="n">
        <v>192.99</v>
      </c>
      <c r="W108" s="0" t="inlineStr">
        <is>
          <t>2026-09-22</t>
        </is>
      </c>
      <c r="X108" s="0" t="inlineStr">
        <is>
          <t>N/A</t>
        </is>
      </c>
      <c r="Y108" s="0" t="inlineStr">
        <is>
          <t>N/A</t>
        </is>
      </c>
      <c r="Z108" s="0" t="inlineStr">
        <is>
          <t>N/A</t>
        </is>
      </c>
      <c r="AA108" s="0" t="inlineStr">
        <is>
          <t>N/A</t>
        </is>
      </c>
    </row>
    <row r="109" ht="15.75" customHeight="1" s="51">
      <c r="A109" s="20" t="inlineStr">
        <is>
          <t>HED-010-07</t>
        </is>
      </c>
      <c r="B109" s="20" t="inlineStr">
        <is>
          <t>Hedone</t>
        </is>
      </c>
      <c r="C109" s="20" t="inlineStr">
        <is>
          <t>Headphones &amp; Earbuds</t>
        </is>
      </c>
      <c r="D109" s="20" t="inlineStr">
        <is>
          <t>Earbuds</t>
        </is>
      </c>
      <c r="E109" s="21" t="inlineStr">
        <is>
          <t>Hedone Lumen Max True Wireless Earbuds</t>
        </is>
      </c>
      <c r="F109" s="23" t="n">
        <v>205.99</v>
      </c>
      <c r="G109" s="20" t="inlineStr">
        <is>
          <t>the Lumen Max; Hedone Lumen Max; Hdeone Lumen Max; Lumen Max earbuds</t>
        </is>
      </c>
      <c r="H109" s="20" t="inlineStr">
        <is>
          <t>1 year limited</t>
        </is>
      </c>
      <c r="I109" s="20" t="inlineStr">
        <is>
          <t>FCC, CE, Bluetooth SIG Qualified, Hi-Res Audio Wireless</t>
        </is>
      </c>
      <c r="J109" s="20" t="inlineStr">
        <is>
          <t>N/A</t>
        </is>
      </c>
      <c r="K109" s="20" t="inlineStr">
        <is>
          <t>N/A</t>
        </is>
      </c>
      <c r="L109" s="20" t="inlineStr">
        <is>
          <t>N/A</t>
        </is>
      </c>
      <c r="M109" s="20" t="inlineStr">
        <is>
          <t>N/A</t>
        </is>
      </c>
      <c r="N109" s="20" t="inlineStr">
        <is>
          <t>USB-C charging case</t>
        </is>
      </c>
      <c r="O109" s="20" t="inlineStr">
        <is>
          <t>N/A</t>
        </is>
      </c>
      <c r="P109" s="20" t="n">
        <v>9</v>
      </c>
      <c r="Q109" s="24" t="n">
        <v>6</v>
      </c>
      <c r="R109" s="20" t="inlineStr">
        <is>
          <t>Lower price than Morpheus Vibe Lite True Wireless Earbuds [MOR-001-08] ($205.99 vs $244.99); Longer battery than Doris Rift Ultra True Wireless Earbuds [DOR-004-03] (9 vs 6 hrs)</t>
        </is>
      </c>
      <c r="S109" s="20" t="inlineStr">
        <is>
          <t>commute, everyday, travel</t>
        </is>
      </c>
      <c r="T109" s="0" t="inlineStr">
        <is>
          <t>in_stock</t>
        </is>
      </c>
      <c r="U109" s="0" t="n">
        <v>30</v>
      </c>
      <c r="V109" s="52" t="n">
        <v>214.99</v>
      </c>
      <c r="W109" s="0" t="inlineStr">
        <is>
          <t>2026-08-26</t>
        </is>
      </c>
      <c r="X109" s="0" t="inlineStr">
        <is>
          <t>N/A</t>
        </is>
      </c>
      <c r="Y109" s="0" t="inlineStr">
        <is>
          <t>N/A</t>
        </is>
      </c>
      <c r="Z109" s="0" t="inlineStr">
        <is>
          <t>N/A</t>
        </is>
      </c>
      <c r="AA109" s="0" t="inlineStr">
        <is>
          <t>N/A</t>
        </is>
      </c>
    </row>
    <row r="110" ht="15.75" customHeight="1" s="51">
      <c r="A110" s="20" t="inlineStr">
        <is>
          <t>HED-010-08</t>
        </is>
      </c>
      <c r="B110" s="20" t="inlineStr">
        <is>
          <t>Hedone</t>
        </is>
      </c>
      <c r="C110" s="20" t="inlineStr">
        <is>
          <t>Headphones &amp; Earbuds</t>
        </is>
      </c>
      <c r="D110" s="20" t="inlineStr">
        <is>
          <t>Headphones</t>
        </is>
      </c>
      <c r="E110" s="21" t="inlineStr">
        <is>
          <t>Hedone Sable X Studio Monitor Headphones</t>
        </is>
      </c>
      <c r="F110" s="23" t="n">
        <v>318.99</v>
      </c>
      <c r="G110" s="20" t="inlineStr">
        <is>
          <t>the Sable X; Hedone Sable X; Heedone Sable X; Sable X headphones</t>
        </is>
      </c>
      <c r="H110" s="20" t="inlineStr">
        <is>
          <t>1 year limited</t>
        </is>
      </c>
      <c r="I110" s="20" t="inlineStr">
        <is>
          <t>CE, RoHS, Hi-Res Audio</t>
        </is>
      </c>
      <c r="J110" s="20" t="inlineStr">
        <is>
          <t>N/A</t>
        </is>
      </c>
      <c r="K110" s="20" t="inlineStr">
        <is>
          <t>N/A</t>
        </is>
      </c>
      <c r="L110" s="20" t="inlineStr">
        <is>
          <t>N/A</t>
        </is>
      </c>
      <c r="M110" s="20" t="inlineStr">
        <is>
          <t>N/A</t>
        </is>
      </c>
      <c r="N110" s="20" t="inlineStr">
        <is>
          <t>Detachable cable: 3.5mm with 6.35mm adapter</t>
        </is>
      </c>
      <c r="O110" s="20" t="inlineStr">
        <is>
          <t>N/A</t>
        </is>
      </c>
      <c r="P110" s="20" t="inlineStr">
        <is>
          <t>N/A</t>
        </is>
      </c>
      <c r="Q110" s="24" t="n">
        <v>289</v>
      </c>
      <c r="R110" s="20" t="inlineStr">
        <is>
          <t>Lower price than Glaucus Strata Ultra Studio Monitor Headphones [GLA-012-09] ($318.99 vs $478.99); Lighter than Carpo Nova Plus Studio Monitor Headphones [CAR-002-07] (289 g vs 361 g)</t>
        </is>
      </c>
      <c r="S110" s="20" t="inlineStr">
        <is>
          <t>music production, studio, podcasting</t>
        </is>
      </c>
      <c r="T110" s="0" t="inlineStr">
        <is>
          <t>in_stock</t>
        </is>
      </c>
      <c r="U110" s="0" t="n">
        <v>30</v>
      </c>
      <c r="V110" s="52" t="n">
        <v>359.99</v>
      </c>
      <c r="W110" s="0" t="inlineStr">
        <is>
          <t>2026-08-02</t>
        </is>
      </c>
      <c r="X110" s="0" t="inlineStr">
        <is>
          <t>N/A</t>
        </is>
      </c>
      <c r="Y110" s="0" t="inlineStr">
        <is>
          <t>N/A</t>
        </is>
      </c>
      <c r="Z110" s="0" t="inlineStr">
        <is>
          <t>N/A</t>
        </is>
      </c>
      <c r="AA110" s="0" t="inlineStr">
        <is>
          <t>N/A</t>
        </is>
      </c>
    </row>
    <row r="111" ht="15.75" customHeight="1" s="51">
      <c r="A111" s="20" t="inlineStr">
        <is>
          <t>HED-010-09</t>
        </is>
      </c>
      <c r="B111" s="20" t="inlineStr">
        <is>
          <t>Hedone</t>
        </is>
      </c>
      <c r="C111" s="20" t="inlineStr">
        <is>
          <t>Headphones &amp; Earbuds</t>
        </is>
      </c>
      <c r="D111" s="20" t="inlineStr">
        <is>
          <t>Earbuds</t>
        </is>
      </c>
      <c r="E111" s="21" t="inlineStr">
        <is>
          <t>Hedone Drift Plus Wired In-Ear Monitors</t>
        </is>
      </c>
      <c r="F111" s="23" t="n">
        <v>324.99</v>
      </c>
      <c r="G111" s="20" t="inlineStr">
        <is>
          <t>the Drift Plus; Hedone Drift Plus; Heddone Drift Plus; Drift Plus earbuds</t>
        </is>
      </c>
      <c r="H111" s="20" t="inlineStr">
        <is>
          <t>1 year limited</t>
        </is>
      </c>
      <c r="I111" s="20" t="inlineStr">
        <is>
          <t>CE, RoHS, Hi-Res Audio</t>
        </is>
      </c>
      <c r="J111" s="20" t="inlineStr">
        <is>
          <t>N/A</t>
        </is>
      </c>
      <c r="K111" s="20" t="inlineStr">
        <is>
          <t>N/A</t>
        </is>
      </c>
      <c r="L111" s="20" t="inlineStr">
        <is>
          <t>N/A</t>
        </is>
      </c>
      <c r="M111" s="20" t="inlineStr">
        <is>
          <t>N/A</t>
        </is>
      </c>
      <c r="N111" s="20" t="inlineStr">
        <is>
          <t>Detachable 2-pin cable: 3.5mm and 4.4mm balanced</t>
        </is>
      </c>
      <c r="O111" s="20" t="inlineStr">
        <is>
          <t>N/A</t>
        </is>
      </c>
      <c r="P111" s="20" t="inlineStr">
        <is>
          <t>N/A</t>
        </is>
      </c>
      <c r="Q111" s="24" t="n">
        <v>37</v>
      </c>
      <c r="R111" s="20" t="inlineStr">
        <is>
          <t>Lighter than Asclepius Spark Wired In-Ear Monitors [ASC-024-09] (37 g vs 40 g); Lower price than Deimos Rift Wired In-Ear Monitors [DEI-005-09] ($324.99 vs $398.99)</t>
        </is>
      </c>
      <c r="S111" s="20" t="inlineStr">
        <is>
          <t>audiophile, stage monitoring, music</t>
        </is>
      </c>
      <c r="T111" s="0" t="inlineStr">
        <is>
          <t>in_stock</t>
        </is>
      </c>
      <c r="U111" s="0" t="n">
        <v>30</v>
      </c>
      <c r="V111" s="52" t="n">
        <v>373.99</v>
      </c>
      <c r="W111" s="0" t="inlineStr">
        <is>
          <t>2026-08-14</t>
        </is>
      </c>
      <c r="X111" s="0" t="inlineStr">
        <is>
          <t>N/A</t>
        </is>
      </c>
      <c r="Y111" s="0" t="inlineStr">
        <is>
          <t>N/A</t>
        </is>
      </c>
      <c r="Z111" s="0" t="inlineStr">
        <is>
          <t>N/A</t>
        </is>
      </c>
      <c r="AA111" s="0" t="inlineStr">
        <is>
          <t>N/A</t>
        </is>
      </c>
    </row>
    <row r="112" ht="15.75" customHeight="1" s="51">
      <c r="A112" s="20" t="inlineStr">
        <is>
          <t>HED-010-10</t>
        </is>
      </c>
      <c r="B112" s="20" t="inlineStr">
        <is>
          <t>Hedone</t>
        </is>
      </c>
      <c r="C112" s="20" t="inlineStr">
        <is>
          <t>Headphones &amp; Earbuds</t>
        </is>
      </c>
      <c r="D112" s="20" t="inlineStr">
        <is>
          <t>Headphones</t>
        </is>
      </c>
      <c r="E112" s="21" t="inlineStr">
        <is>
          <t>Hedone Prism SE Audiophile Planar Headphones</t>
        </is>
      </c>
      <c r="F112" s="23" t="n">
        <v>1336.99</v>
      </c>
      <c r="G112" s="20" t="inlineStr">
        <is>
          <t>the Prism SE; Hedone Prism SE; Hdeone Prism SE; Prism SE headphones</t>
        </is>
      </c>
      <c r="H112" s="20" t="inlineStr">
        <is>
          <t>1 year limited</t>
        </is>
      </c>
      <c r="I112" s="20" t="inlineStr">
        <is>
          <t>CE, RoHS, Hi-Res Audio</t>
        </is>
      </c>
      <c r="J112" s="20" t="inlineStr">
        <is>
          <t>N/A</t>
        </is>
      </c>
      <c r="K112" s="20" t="inlineStr">
        <is>
          <t>N/A</t>
        </is>
      </c>
      <c r="L112" s="20" t="inlineStr">
        <is>
          <t>N/A</t>
        </is>
      </c>
      <c r="M112" s="20" t="inlineStr">
        <is>
          <t>N/A</t>
        </is>
      </c>
      <c r="N112" s="20" t="inlineStr">
        <is>
          <t>Detachable cable: 3.5mm, 6.35mm and 4.4mm balanced</t>
        </is>
      </c>
      <c r="O112" s="20" t="inlineStr">
        <is>
          <t>N/A</t>
        </is>
      </c>
      <c r="P112" s="20" t="inlineStr">
        <is>
          <t>N/A</t>
        </is>
      </c>
      <c r="Q112" s="24" t="n">
        <v>513</v>
      </c>
      <c r="R112" s="20" t="inlineStr">
        <is>
          <t>Lighter than Aura Arc Pro Audiophile Planar Headphones [AUR-015-09] (513 g vs 521 g); Lower price than Deimos Orbit Plus Audiophile Planar Headphones [DEI-005-10] ($1,336.99 vs $1,455.99)</t>
        </is>
      </c>
      <c r="S112" s="20" t="inlineStr">
        <is>
          <t>audiophile, home listening, studio</t>
        </is>
      </c>
      <c r="T112" s="0" t="inlineStr">
        <is>
          <t>out_of_stock</t>
        </is>
      </c>
      <c r="U112" s="0" t="n">
        <v>30</v>
      </c>
      <c r="V112" s="52" t="n">
        <v>1516.99</v>
      </c>
      <c r="W112" s="0" t="inlineStr">
        <is>
          <t>2026-08-16</t>
        </is>
      </c>
      <c r="X112" s="0" t="inlineStr">
        <is>
          <t>N/A</t>
        </is>
      </c>
      <c r="Y112" s="0" t="inlineStr">
        <is>
          <t>N/A</t>
        </is>
      </c>
      <c r="Z112" s="0" t="inlineStr">
        <is>
          <t>N/A</t>
        </is>
      </c>
      <c r="AA112" s="0" t="inlineStr">
        <is>
          <t>N/A</t>
        </is>
      </c>
    </row>
    <row r="113" ht="15.75" customHeight="1" s="51">
      <c r="A113" s="20" t="inlineStr">
        <is>
          <t>HEB-011-01</t>
        </is>
      </c>
      <c r="B113" s="20" t="inlineStr">
        <is>
          <t>Hebe</t>
        </is>
      </c>
      <c r="C113" s="20" t="inlineStr">
        <is>
          <t>Headphones &amp; Earbuds</t>
        </is>
      </c>
      <c r="D113" s="20" t="inlineStr">
        <is>
          <t>Earbuds</t>
        </is>
      </c>
      <c r="E113" s="21" t="inlineStr">
        <is>
          <t>Hebe Arc Ultra Wired In-Ear Monitors</t>
        </is>
      </c>
      <c r="F113" s="23" t="n">
        <v>37.99</v>
      </c>
      <c r="G113" s="20" t="inlineStr">
        <is>
          <t>the Arc Ultra; Hebe Arc Ultra; Heebe Arc Ultra; Arc Ultra earbuds</t>
        </is>
      </c>
      <c r="H113" s="20" t="inlineStr">
        <is>
          <t>1 year limited</t>
        </is>
      </c>
      <c r="I113" s="20" t="inlineStr">
        <is>
          <t>CE, RoHS, Hi-Res Audio</t>
        </is>
      </c>
      <c r="J113" s="20" t="inlineStr">
        <is>
          <t>N/A</t>
        </is>
      </c>
      <c r="K113" s="20" t="inlineStr">
        <is>
          <t>N/A</t>
        </is>
      </c>
      <c r="L113" s="20" t="inlineStr">
        <is>
          <t>N/A</t>
        </is>
      </c>
      <c r="M113" s="20" t="inlineStr">
        <is>
          <t>N/A</t>
        </is>
      </c>
      <c r="N113" s="20" t="inlineStr">
        <is>
          <t>Detachable 2-pin cable: 3.5mm</t>
        </is>
      </c>
      <c r="O113" s="20" t="inlineStr">
        <is>
          <t>N/A</t>
        </is>
      </c>
      <c r="P113" s="20" t="inlineStr">
        <is>
          <t>N/A</t>
        </is>
      </c>
      <c r="Q113" s="24" t="n">
        <v>31</v>
      </c>
      <c r="R113" s="20" t="inlineStr">
        <is>
          <t>Lower price than Menoetius Volt Max Wired In-Ear Monitors [MEN-008-07] ($37.99 vs $249.99); Lighter than Asclepius Spark Wired In-Ear Monitors [ASC-024-09] (31 g vs 40 g)</t>
        </is>
      </c>
      <c r="S113" s="20" t="inlineStr">
        <is>
          <t>audiophile, stage monitoring, music</t>
        </is>
      </c>
      <c r="T113" s="0" t="inlineStr">
        <is>
          <t>in_stock</t>
        </is>
      </c>
      <c r="U113" s="0" t="n">
        <v>30</v>
      </c>
      <c r="V113" s="52" t="n">
        <v>43.99</v>
      </c>
      <c r="W113" s="0" t="inlineStr">
        <is>
          <t>2026-08-25</t>
        </is>
      </c>
      <c r="X113" s="0" t="inlineStr">
        <is>
          <t>N/A</t>
        </is>
      </c>
      <c r="Y113" s="0" t="inlineStr">
        <is>
          <t>N/A</t>
        </is>
      </c>
      <c r="Z113" s="0" t="inlineStr">
        <is>
          <t>N/A</t>
        </is>
      </c>
      <c r="AA113" s="0" t="inlineStr">
        <is>
          <t>N/A</t>
        </is>
      </c>
    </row>
    <row r="114" ht="15.75" customHeight="1" s="51">
      <c r="A114" s="20" t="inlineStr">
        <is>
          <t>HEB-011-02</t>
        </is>
      </c>
      <c r="B114" s="20" t="inlineStr">
        <is>
          <t>Hebe</t>
        </is>
      </c>
      <c r="C114" s="20" t="inlineStr">
        <is>
          <t>Headphones &amp; Earbuds</t>
        </is>
      </c>
      <c r="D114" s="20" t="inlineStr">
        <is>
          <t>Headphones</t>
        </is>
      </c>
      <c r="E114" s="21" t="inlineStr">
        <is>
          <t>Hebe Apex X Kids Headphones</t>
        </is>
      </c>
      <c r="F114" s="23" t="n">
        <v>50.99</v>
      </c>
      <c r="G114" s="20" t="inlineStr">
        <is>
          <t>the Apex X; Hebe Apex X; Hebbe Apex X; Apex X headphones</t>
        </is>
      </c>
      <c r="H114" s="20" t="inlineStr">
        <is>
          <t>1 year limited</t>
        </is>
      </c>
      <c r="I114" s="20" t="inlineStr">
        <is>
          <t>FCC, CE, Bluetooth SIG Qualified, EN 71 Toy Safety</t>
        </is>
      </c>
      <c r="J114" s="20" t="inlineStr">
        <is>
          <t>N/A</t>
        </is>
      </c>
      <c r="K114" s="20" t="inlineStr">
        <is>
          <t>N/A</t>
        </is>
      </c>
      <c r="L114" s="20" t="inlineStr">
        <is>
          <t>N/A</t>
        </is>
      </c>
      <c r="M114" s="20" t="inlineStr">
        <is>
          <t>N/A</t>
        </is>
      </c>
      <c r="N114" s="20" t="inlineStr">
        <is>
          <t>USB-C charging, 3.5mm (85 dB limited)</t>
        </is>
      </c>
      <c r="O114" s="20" t="inlineStr">
        <is>
          <t>N/A</t>
        </is>
      </c>
      <c r="P114" s="20" t="n">
        <v>35</v>
      </c>
      <c r="Q114" s="24" t="n">
        <v>152</v>
      </c>
      <c r="R114" s="20" t="inlineStr">
        <is>
          <t>Longer battery than Poseidon Nova Pro Kids Headphones [POS-021-01] (35 vs 34 hrs); Lower price than Ananke Echo Ultra Kids Headphones [ANA-023-01] ($50.99 vs $53.99)</t>
        </is>
      </c>
      <c r="S114" s="20" t="inlineStr">
        <is>
          <t>kids, school, travel</t>
        </is>
      </c>
      <c r="T114" s="0" t="inlineStr">
        <is>
          <t>in_stock</t>
        </is>
      </c>
      <c r="U114" s="0" t="n">
        <v>30</v>
      </c>
      <c r="V114" s="52" t="n">
        <v>55.99</v>
      </c>
      <c r="W114" s="0" t="inlineStr">
        <is>
          <t>2026-08-28</t>
        </is>
      </c>
      <c r="X114" s="0" t="inlineStr">
        <is>
          <t>N/A</t>
        </is>
      </c>
      <c r="Y114" s="0" t="inlineStr">
        <is>
          <t>N/A</t>
        </is>
      </c>
      <c r="Z114" s="0" t="inlineStr">
        <is>
          <t>N/A</t>
        </is>
      </c>
      <c r="AA114" s="0" t="inlineStr">
        <is>
          <t>N/A</t>
        </is>
      </c>
    </row>
    <row r="115" ht="15.75" customHeight="1" s="51">
      <c r="A115" s="20" t="inlineStr">
        <is>
          <t>HEB-011-03</t>
        </is>
      </c>
      <c r="B115" s="20" t="inlineStr">
        <is>
          <t>Hebe</t>
        </is>
      </c>
      <c r="C115" s="20" t="inlineStr">
        <is>
          <t>Headphones &amp; Earbuds</t>
        </is>
      </c>
      <c r="D115" s="20" t="inlineStr">
        <is>
          <t>Earbuds</t>
        </is>
      </c>
      <c r="E115" s="21" t="inlineStr">
        <is>
          <t>Hebe Drift True Wireless Earbuds</t>
        </is>
      </c>
      <c r="F115" s="23" t="n">
        <v>85.98999999999999</v>
      </c>
      <c r="G115" s="20" t="inlineStr">
        <is>
          <t>the Drift; Hebe Drift; Hebbe Drift; Drift earbuds</t>
        </is>
      </c>
      <c r="H115" s="20" t="inlineStr">
        <is>
          <t>1 year limited</t>
        </is>
      </c>
      <c r="I115" s="20" t="inlineStr">
        <is>
          <t>FCC, CE, Bluetooth SIG Qualified, IPX4</t>
        </is>
      </c>
      <c r="J115" s="20" t="inlineStr">
        <is>
          <t>N/A</t>
        </is>
      </c>
      <c r="K115" s="20" t="inlineStr">
        <is>
          <t>N/A</t>
        </is>
      </c>
      <c r="L115" s="20" t="inlineStr">
        <is>
          <t>N/A</t>
        </is>
      </c>
      <c r="M115" s="20" t="inlineStr">
        <is>
          <t>N/A</t>
        </is>
      </c>
      <c r="N115" s="20" t="inlineStr">
        <is>
          <t>USB-C charging case</t>
        </is>
      </c>
      <c r="O115" s="20" t="inlineStr">
        <is>
          <t>N/A</t>
        </is>
      </c>
      <c r="P115" s="20" t="n">
        <v>9</v>
      </c>
      <c r="Q115" s="24" t="n">
        <v>7</v>
      </c>
      <c r="R115" s="20" t="inlineStr">
        <is>
          <t>Lower price than Hedone Lumen Max True Wireless Earbuds [HED-010-07] ($85.99 vs $205.99); Longer battery than Morpheus Vibe Lite True Wireless Earbuds [MOR-001-08] (9 vs 8 hrs)</t>
        </is>
      </c>
      <c r="S115" s="20" t="inlineStr">
        <is>
          <t>commute, everyday, travel</t>
        </is>
      </c>
      <c r="T115" s="0" t="inlineStr">
        <is>
          <t>low_stock</t>
        </is>
      </c>
      <c r="U115" s="0" t="n">
        <v>30</v>
      </c>
      <c r="V115" s="52" t="n">
        <v>97.98999999999999</v>
      </c>
      <c r="W115" s="0" t="inlineStr">
        <is>
          <t>2026-08-09</t>
        </is>
      </c>
      <c r="X115" s="0" t="inlineStr">
        <is>
          <t>N/A</t>
        </is>
      </c>
      <c r="Y115" s="0" t="inlineStr">
        <is>
          <t>N/A</t>
        </is>
      </c>
      <c r="Z115" s="0" t="inlineStr">
        <is>
          <t>N/A</t>
        </is>
      </c>
      <c r="AA115" s="0" t="inlineStr">
        <is>
          <t>N/A</t>
        </is>
      </c>
    </row>
    <row r="116" ht="15.75" customHeight="1" s="51">
      <c r="A116" s="20" t="inlineStr">
        <is>
          <t>HEB-011-04</t>
        </is>
      </c>
      <c r="B116" s="20" t="inlineStr">
        <is>
          <t>Hebe</t>
        </is>
      </c>
      <c r="C116" s="20" t="inlineStr">
        <is>
          <t>Headphones &amp; Earbuds</t>
        </is>
      </c>
      <c r="D116" s="20" t="inlineStr">
        <is>
          <t>Earbuds</t>
        </is>
      </c>
      <c r="E116" s="21" t="inlineStr">
        <is>
          <t>Hebe Aeon SE Open-Ear Earbuds</t>
        </is>
      </c>
      <c r="F116" s="23" t="n">
        <v>96.98999999999999</v>
      </c>
      <c r="G116" s="20" t="inlineStr">
        <is>
          <t>the Aeon SE; Hebe Aeon SE; Hebbe Aeon SE; Aeon SE earbuds</t>
        </is>
      </c>
      <c r="H116" s="20" t="inlineStr">
        <is>
          <t>1 year limited</t>
        </is>
      </c>
      <c r="I116" s="20" t="inlineStr">
        <is>
          <t>FCC, CE, Bluetooth SIG Qualified, IPX5</t>
        </is>
      </c>
      <c r="J116" s="20" t="inlineStr">
        <is>
          <t>N/A</t>
        </is>
      </c>
      <c r="K116" s="20" t="inlineStr">
        <is>
          <t>N/A</t>
        </is>
      </c>
      <c r="L116" s="20" t="inlineStr">
        <is>
          <t>N/A</t>
        </is>
      </c>
      <c r="M116" s="20" t="inlineStr">
        <is>
          <t>N/A</t>
        </is>
      </c>
      <c r="N116" s="20" t="inlineStr">
        <is>
          <t>USB-C charging case</t>
        </is>
      </c>
      <c r="O116" s="20" t="inlineStr">
        <is>
          <t>N/A</t>
        </is>
      </c>
      <c r="P116" s="20" t="n">
        <v>9</v>
      </c>
      <c r="Q116" s="24" t="n">
        <v>9</v>
      </c>
      <c r="R116" s="20" t="inlineStr">
        <is>
          <t>Lower price than Phosphorus Zen Open-Ear Earbuds [PHO-009-07] ($96.99 vs $215.99); Longer battery than Ananke Apex SE Open-Ear Earbuds [ANA-023-05] (9 vs 7 hrs)</t>
        </is>
      </c>
      <c r="S116" s="20" t="inlineStr">
        <is>
          <t>running, outdoor, office</t>
        </is>
      </c>
      <c r="T116" s="0" t="inlineStr">
        <is>
          <t>in_stock</t>
        </is>
      </c>
      <c r="U116" s="0" t="n">
        <v>30</v>
      </c>
      <c r="V116" s="52" t="n">
        <v>107.99</v>
      </c>
      <c r="W116" s="0" t="inlineStr">
        <is>
          <t>2026-08-29</t>
        </is>
      </c>
      <c r="X116" s="0" t="inlineStr">
        <is>
          <t>N/A</t>
        </is>
      </c>
      <c r="Y116" s="0" t="inlineStr">
        <is>
          <t>N/A</t>
        </is>
      </c>
      <c r="Z116" s="0" t="inlineStr">
        <is>
          <t>N/A</t>
        </is>
      </c>
      <c r="AA116" s="0" t="inlineStr">
        <is>
          <t>N/A</t>
        </is>
      </c>
    </row>
    <row r="117" ht="15.75" customHeight="1" s="51">
      <c r="A117" s="20" t="inlineStr">
        <is>
          <t>HEB-011-05</t>
        </is>
      </c>
      <c r="B117" s="20" t="inlineStr">
        <is>
          <t>Hebe</t>
        </is>
      </c>
      <c r="C117" s="20" t="inlineStr">
        <is>
          <t>Headphones &amp; Earbuds</t>
        </is>
      </c>
      <c r="D117" s="20" t="inlineStr">
        <is>
          <t>Headphones</t>
        </is>
      </c>
      <c r="E117" s="21" t="inlineStr">
        <is>
          <t>Hebe Vibe On-Ear Headphones</t>
        </is>
      </c>
      <c r="F117" s="23" t="n">
        <v>108.99</v>
      </c>
      <c r="G117" s="20" t="inlineStr">
        <is>
          <t>the Vibe; Hebe Vibe; Hebbe Vibe; Vibe headphones</t>
        </is>
      </c>
      <c r="H117" s="20" t="inlineStr">
        <is>
          <t>1 year limited</t>
        </is>
      </c>
      <c r="I117" s="20" t="inlineStr">
        <is>
          <t>FCC, CE, Bluetooth SIG Qualified</t>
        </is>
      </c>
      <c r="J117" s="20" t="inlineStr">
        <is>
          <t>N/A</t>
        </is>
      </c>
      <c r="K117" s="20" t="inlineStr">
        <is>
          <t>N/A</t>
        </is>
      </c>
      <c r="L117" s="20" t="inlineStr">
        <is>
          <t>N/A</t>
        </is>
      </c>
      <c r="M117" s="20" t="inlineStr">
        <is>
          <t>N/A</t>
        </is>
      </c>
      <c r="N117" s="20" t="inlineStr">
        <is>
          <t>USB-C charging, 3.5mm</t>
        </is>
      </c>
      <c r="O117" s="20" t="inlineStr">
        <is>
          <t>N/A</t>
        </is>
      </c>
      <c r="P117" s="20" t="n">
        <v>36</v>
      </c>
      <c r="Q117" s="24" t="n">
        <v>207</v>
      </c>
      <c r="R117" s="20" t="inlineStr">
        <is>
          <t>Lower price than Himeros Sable SE On-Ear Headphones [HIM-003-06] ($108.99 vs $179.99); Lighter than Phosphorus Vertex On-Ear Headphones [PHO-009-09] (207 g vs 216 g)</t>
        </is>
      </c>
      <c r="S117" s="20" t="inlineStr">
        <is>
          <t>everyday, commute, school</t>
        </is>
      </c>
      <c r="T117" s="0" t="inlineStr">
        <is>
          <t>in_stock</t>
        </is>
      </c>
      <c r="U117" s="0" t="n">
        <v>30</v>
      </c>
      <c r="V117" s="52" t="n">
        <v>119.99</v>
      </c>
      <c r="W117" s="0" t="inlineStr">
        <is>
          <t>2026-08-10</t>
        </is>
      </c>
      <c r="X117" s="0" t="inlineStr">
        <is>
          <t>N/A</t>
        </is>
      </c>
      <c r="Y117" s="0" t="inlineStr">
        <is>
          <t>N/A</t>
        </is>
      </c>
      <c r="Z117" s="0" t="inlineStr">
        <is>
          <t>N/A</t>
        </is>
      </c>
      <c r="AA117" s="0" t="inlineStr">
        <is>
          <t>N/A</t>
        </is>
      </c>
    </row>
    <row r="118" ht="15.75" customHeight="1" s="51">
      <c r="A118" s="20" t="inlineStr">
        <is>
          <t>HEB-011-06</t>
        </is>
      </c>
      <c r="B118" s="20" t="inlineStr">
        <is>
          <t>Hebe</t>
        </is>
      </c>
      <c r="C118" s="20" t="inlineStr">
        <is>
          <t>Headphones &amp; Earbuds</t>
        </is>
      </c>
      <c r="D118" s="20" t="inlineStr">
        <is>
          <t>Headset</t>
        </is>
      </c>
      <c r="E118" s="21" t="inlineStr">
        <is>
          <t>Hebe Axis SE Gaming Headset</t>
        </is>
      </c>
      <c r="F118" s="23" t="n">
        <v>147.99</v>
      </c>
      <c r="G118" s="20" t="inlineStr">
        <is>
          <t>the Axis SE; Hebe Axis SE; Heebe Axis SE; Axis SE headset</t>
        </is>
      </c>
      <c r="H118" s="20" t="inlineStr">
        <is>
          <t>1 year limited</t>
        </is>
      </c>
      <c r="I118" s="20" t="inlineStr">
        <is>
          <t>FCC, CE, Bluetooth SIG Qualified</t>
        </is>
      </c>
      <c r="J118" s="20" t="inlineStr">
        <is>
          <t>N/A</t>
        </is>
      </c>
      <c r="K118" s="20" t="inlineStr">
        <is>
          <t>N/A</t>
        </is>
      </c>
      <c r="L118" s="20" t="inlineStr">
        <is>
          <t>N/A</t>
        </is>
      </c>
      <c r="M118" s="20" t="inlineStr">
        <is>
          <t>N/A</t>
        </is>
      </c>
      <c r="N118" s="20" t="inlineStr">
        <is>
          <t>USB-C, 3.5mm, 2.4GHz USB dongle</t>
        </is>
      </c>
      <c r="O118" s="20" t="inlineStr">
        <is>
          <t>N/A</t>
        </is>
      </c>
      <c r="P118" s="20" t="n">
        <v>57</v>
      </c>
      <c r="Q118" s="24" t="n">
        <v>266</v>
      </c>
      <c r="R118" s="20" t="inlineStr">
        <is>
          <t>Lower price than Tartarus Onyx Ultra Gaming Headset [TAR-017-08] ($147.99 vs $323.99); Lighter than Euphrosyne Arc Plus Gaming Headset [EUP-019-06] (266 g vs 362 g)</t>
        </is>
      </c>
      <c r="S118" s="20" t="inlineStr">
        <is>
          <t>gaming, streaming, voice chat</t>
        </is>
      </c>
      <c r="T118" s="0" t="inlineStr">
        <is>
          <t>in_stock</t>
        </is>
      </c>
      <c r="U118" s="0" t="n">
        <v>30</v>
      </c>
      <c r="V118" s="52" t="n">
        <v>154.99</v>
      </c>
      <c r="W118" s="0" t="inlineStr">
        <is>
          <t>2026-08-30</t>
        </is>
      </c>
      <c r="X118" s="0" t="inlineStr">
        <is>
          <t>N/A</t>
        </is>
      </c>
      <c r="Y118" s="0" t="inlineStr">
        <is>
          <t>N/A</t>
        </is>
      </c>
      <c r="Z118" s="0" t="inlineStr">
        <is>
          <t>N/A</t>
        </is>
      </c>
      <c r="AA118" s="0" t="inlineStr">
        <is>
          <t>N/A</t>
        </is>
      </c>
    </row>
    <row r="119" ht="15.75" customHeight="1" s="51">
      <c r="A119" s="20" t="inlineStr">
        <is>
          <t>HEB-011-07</t>
        </is>
      </c>
      <c r="B119" s="20" t="inlineStr">
        <is>
          <t>Hebe</t>
        </is>
      </c>
      <c r="C119" s="20" t="inlineStr">
        <is>
          <t>Headphones &amp; Earbuds</t>
        </is>
      </c>
      <c r="D119" s="20" t="inlineStr">
        <is>
          <t>Earbuds</t>
        </is>
      </c>
      <c r="E119" s="21" t="inlineStr">
        <is>
          <t>Hebe Prism Pro Sleep Earbuds</t>
        </is>
      </c>
      <c r="F119" s="23" t="n">
        <v>270.99</v>
      </c>
      <c r="G119" s="20" t="inlineStr">
        <is>
          <t>the Prism Pro; Hebe Prism Pro; Hebee Prism Pro; Prism Pro earbuds</t>
        </is>
      </c>
      <c r="H119" s="20" t="inlineStr">
        <is>
          <t>1 year limited</t>
        </is>
      </c>
      <c r="I119" s="20" t="inlineStr">
        <is>
          <t>FCC, CE, Bluetooth SIG Qualified</t>
        </is>
      </c>
      <c r="J119" s="20" t="inlineStr">
        <is>
          <t>N/A</t>
        </is>
      </c>
      <c r="K119" s="20" t="inlineStr">
        <is>
          <t>N/A</t>
        </is>
      </c>
      <c r="L119" s="20" t="inlineStr">
        <is>
          <t>N/A</t>
        </is>
      </c>
      <c r="M119" s="20" t="inlineStr">
        <is>
          <t>N/A</t>
        </is>
      </c>
      <c r="N119" s="20" t="inlineStr">
        <is>
          <t>USB-C charging case</t>
        </is>
      </c>
      <c r="O119" s="20" t="inlineStr">
        <is>
          <t>N/A</t>
        </is>
      </c>
      <c r="P119" s="20" t="n">
        <v>11</v>
      </c>
      <c r="Q119" s="24" t="n">
        <v>4</v>
      </c>
      <c r="R119" s="20" t="inlineStr">
        <is>
          <t>Longer battery than Clio Blaze Plus Sleep Earbuds [CLI-022-07] (11 vs 8 hrs); Lower price than Carpo Halo Max Sleep Earbuds [CAR-002-09] ($270.99 vs $274.99)</t>
        </is>
      </c>
      <c r="S119" s="20" t="inlineStr">
        <is>
          <t>sleep, travel, relaxation</t>
        </is>
      </c>
      <c r="T119" s="0" t="inlineStr">
        <is>
          <t>low_stock</t>
        </is>
      </c>
      <c r="U119" s="0" t="n">
        <v>30</v>
      </c>
      <c r="V119" s="52" t="n">
        <v>292.99</v>
      </c>
      <c r="W119" s="0" t="inlineStr">
        <is>
          <t>2026-08-26</t>
        </is>
      </c>
      <c r="X119" s="0" t="inlineStr">
        <is>
          <t>N/A</t>
        </is>
      </c>
      <c r="Y119" s="0" t="inlineStr">
        <is>
          <t>N/A</t>
        </is>
      </c>
      <c r="Z119" s="0" t="inlineStr">
        <is>
          <t>N/A</t>
        </is>
      </c>
      <c r="AA119" s="0" t="inlineStr">
        <is>
          <t>N/A</t>
        </is>
      </c>
    </row>
    <row r="120" ht="15.75" customHeight="1" s="51">
      <c r="A120" s="20" t="inlineStr">
        <is>
          <t>HEB-011-08</t>
        </is>
      </c>
      <c r="B120" s="20" t="inlineStr">
        <is>
          <t>Hebe</t>
        </is>
      </c>
      <c r="C120" s="20" t="inlineStr">
        <is>
          <t>Headphones &amp; Earbuds</t>
        </is>
      </c>
      <c r="D120" s="20" t="inlineStr">
        <is>
          <t>Headphones</t>
        </is>
      </c>
      <c r="E120" s="21" t="inlineStr">
        <is>
          <t>Hebe Nimbus Pro ANC Over-Ear Headphones</t>
        </is>
      </c>
      <c r="F120" s="23" t="n">
        <v>401.99</v>
      </c>
      <c r="G120" s="20" t="inlineStr">
        <is>
          <t>the Nimbus Pro; Hebe Nimbus Pro; Heebe Nimbus Pro; Nimbus Pro headphones</t>
        </is>
      </c>
      <c r="H120" s="20" t="inlineStr">
        <is>
          <t>1 year limited</t>
        </is>
      </c>
      <c r="I120" s="20" t="inlineStr">
        <is>
          <t>FCC, CE, Bluetooth SIG Qualified, Hi-Res Audio Wireless</t>
        </is>
      </c>
      <c r="J120" s="20" t="inlineStr">
        <is>
          <t>N/A</t>
        </is>
      </c>
      <c r="K120" s="20" t="inlineStr">
        <is>
          <t>N/A</t>
        </is>
      </c>
      <c r="L120" s="20" t="inlineStr">
        <is>
          <t>N/A</t>
        </is>
      </c>
      <c r="M120" s="20" t="inlineStr">
        <is>
          <t>N/A</t>
        </is>
      </c>
      <c r="N120" s="20" t="inlineStr">
        <is>
          <t>USB-C charging and audio, 3.5mm</t>
        </is>
      </c>
      <c r="O120" s="20" t="inlineStr">
        <is>
          <t>N/A</t>
        </is>
      </c>
      <c r="P120" s="20" t="n">
        <v>41</v>
      </c>
      <c r="Q120" s="24" t="n">
        <v>266</v>
      </c>
      <c r="R120" s="20" t="inlineStr">
        <is>
          <t>Lower price than Tartarus Crest SE ANC Over-Ear Headphones [TAR-017-09] ($401.99 vs $439.99); Lighter than Nereus Crest X ANC Over-Ear Headphones [NER-020-09] (266 g vs 274 g)</t>
        </is>
      </c>
      <c r="S120" s="20" t="inlineStr">
        <is>
          <t>travel, commute, office</t>
        </is>
      </c>
      <c r="T120" s="0" t="inlineStr">
        <is>
          <t>in_stock</t>
        </is>
      </c>
      <c r="U120" s="0" t="n">
        <v>30</v>
      </c>
      <c r="V120" s="52" t="n">
        <v>444.99</v>
      </c>
      <c r="W120" s="0" t="inlineStr">
        <is>
          <t>2026-09-19</t>
        </is>
      </c>
      <c r="X120" s="0" t="inlineStr">
        <is>
          <t>N/A</t>
        </is>
      </c>
      <c r="Y120" s="0" t="inlineStr">
        <is>
          <t>N/A</t>
        </is>
      </c>
      <c r="Z120" s="0" t="inlineStr">
        <is>
          <t>N/A</t>
        </is>
      </c>
      <c r="AA120" s="0" t="inlineStr">
        <is>
          <t>N/A</t>
        </is>
      </c>
    </row>
    <row r="121" ht="15.75" customHeight="1" s="51">
      <c r="A121" s="20" t="inlineStr">
        <is>
          <t>HEB-011-09</t>
        </is>
      </c>
      <c r="B121" s="20" t="inlineStr">
        <is>
          <t>Hebe</t>
        </is>
      </c>
      <c r="C121" s="20" t="inlineStr">
        <is>
          <t>Headphones &amp; Earbuds</t>
        </is>
      </c>
      <c r="D121" s="20" t="inlineStr">
        <is>
          <t>Headphones</t>
        </is>
      </c>
      <c r="E121" s="21" t="inlineStr">
        <is>
          <t>Hebe Strata Studio Monitor Headphones</t>
        </is>
      </c>
      <c r="F121" s="23" t="n">
        <v>482.99</v>
      </c>
      <c r="G121" s="20" t="inlineStr">
        <is>
          <t>the Strata; Hebe Strata; Heebe Strata; Strata headphones</t>
        </is>
      </c>
      <c r="H121" s="20" t="inlineStr">
        <is>
          <t>1 year limited</t>
        </is>
      </c>
      <c r="I121" s="20" t="inlineStr">
        <is>
          <t>CE, RoHS, Hi-Res Audio</t>
        </is>
      </c>
      <c r="J121" s="20" t="inlineStr">
        <is>
          <t>N/A</t>
        </is>
      </c>
      <c r="K121" s="20" t="inlineStr">
        <is>
          <t>N/A</t>
        </is>
      </c>
      <c r="L121" s="20" t="inlineStr">
        <is>
          <t>N/A</t>
        </is>
      </c>
      <c r="M121" s="20" t="inlineStr">
        <is>
          <t>N/A</t>
        </is>
      </c>
      <c r="N121" s="20" t="inlineStr">
        <is>
          <t>Detachable cable: 3.5mm with 6.35mm adapter</t>
        </is>
      </c>
      <c r="O121" s="20" t="inlineStr">
        <is>
          <t>N/A</t>
        </is>
      </c>
      <c r="P121" s="20" t="inlineStr">
        <is>
          <t>N/A</t>
        </is>
      </c>
      <c r="Q121" s="24" t="n">
        <v>315</v>
      </c>
      <c r="R121" s="20" t="inlineStr">
        <is>
          <t>Lighter than Carpo Nova Plus Studio Monitor Headphones [CAR-002-07] (315 g vs 361 g); Lower price than Aura Drift Studio Monitor Headphones [AUR-015-10] ($482.99 vs $497.99)</t>
        </is>
      </c>
      <c r="S121" s="20" t="inlineStr">
        <is>
          <t>music production, studio, podcasting</t>
        </is>
      </c>
      <c r="T121" s="0" t="inlineStr">
        <is>
          <t>in_stock</t>
        </is>
      </c>
      <c r="U121" s="0" t="n">
        <v>30</v>
      </c>
      <c r="V121" s="52" t="n">
        <v>509.99</v>
      </c>
      <c r="W121" s="0" t="inlineStr">
        <is>
          <t>2026-09-07</t>
        </is>
      </c>
      <c r="X121" s="0" t="inlineStr">
        <is>
          <t>N/A</t>
        </is>
      </c>
      <c r="Y121" s="0" t="inlineStr">
        <is>
          <t>N/A</t>
        </is>
      </c>
      <c r="Z121" s="0" t="inlineStr">
        <is>
          <t>N/A</t>
        </is>
      </c>
      <c r="AA121" s="0" t="inlineStr">
        <is>
          <t>N/A</t>
        </is>
      </c>
    </row>
    <row r="122" ht="15.75" customHeight="1" s="51">
      <c r="A122" s="20" t="inlineStr">
        <is>
          <t>HEB-011-10</t>
        </is>
      </c>
      <c r="B122" s="20" t="inlineStr">
        <is>
          <t>Hebe</t>
        </is>
      </c>
      <c r="C122" s="20" t="inlineStr">
        <is>
          <t>Headphones &amp; Earbuds</t>
        </is>
      </c>
      <c r="D122" s="20" t="inlineStr">
        <is>
          <t>Headphones</t>
        </is>
      </c>
      <c r="E122" s="21" t="inlineStr">
        <is>
          <t>Hebe Nova Pro Audiophile Planar Headphones</t>
        </is>
      </c>
      <c r="F122" s="23" t="n">
        <v>984.99</v>
      </c>
      <c r="G122" s="20" t="inlineStr">
        <is>
          <t>the Nova Pro; Hebe Nova Pro; Heb Nova Pro; Nova Pro headphones</t>
        </is>
      </c>
      <c r="H122" s="20" t="inlineStr">
        <is>
          <t>1 year limited</t>
        </is>
      </c>
      <c r="I122" s="20" t="inlineStr">
        <is>
          <t>CE, RoHS, Hi-Res Audio</t>
        </is>
      </c>
      <c r="J122" s="20" t="inlineStr">
        <is>
          <t>N/A</t>
        </is>
      </c>
      <c r="K122" s="20" t="inlineStr">
        <is>
          <t>N/A</t>
        </is>
      </c>
      <c r="L122" s="20" t="inlineStr">
        <is>
          <t>N/A</t>
        </is>
      </c>
      <c r="M122" s="20" t="inlineStr">
        <is>
          <t>N/A</t>
        </is>
      </c>
      <c r="N122" s="20" t="inlineStr">
        <is>
          <t>Detachable cable: 3.5mm, 6.35mm and 4.4mm balanced</t>
        </is>
      </c>
      <c r="O122" s="20" t="inlineStr">
        <is>
          <t>N/A</t>
        </is>
      </c>
      <c r="P122" s="20" t="inlineStr">
        <is>
          <t>N/A</t>
        </is>
      </c>
      <c r="Q122" s="24" t="n">
        <v>387</v>
      </c>
      <c r="R122" s="20" t="inlineStr">
        <is>
          <t>Lighter than Carpo Lumen Air Audiophile Planar Headphones [CAR-002-10] (387 g vs 429 g); Lower price than Morpheus Onyx Lite Audiophile Planar Headphones [MOR-001-10] ($984.99 vs $1,063.99)</t>
        </is>
      </c>
      <c r="S122" s="20" t="inlineStr">
        <is>
          <t>audiophile, home listening, studio</t>
        </is>
      </c>
      <c r="T122" s="0" t="inlineStr">
        <is>
          <t>in_stock</t>
        </is>
      </c>
      <c r="U122" s="0" t="n">
        <v>30</v>
      </c>
      <c r="V122" s="52" t="n">
        <v>1116.99</v>
      </c>
      <c r="W122" s="0" t="inlineStr">
        <is>
          <t>2026-08-21</t>
        </is>
      </c>
      <c r="X122" s="0" t="inlineStr">
        <is>
          <t>N/A</t>
        </is>
      </c>
      <c r="Y122" s="0" t="inlineStr">
        <is>
          <t>N/A</t>
        </is>
      </c>
      <c r="Z122" s="0" t="inlineStr">
        <is>
          <t>N/A</t>
        </is>
      </c>
      <c r="AA122" s="0" t="inlineStr">
        <is>
          <t>N/A</t>
        </is>
      </c>
    </row>
    <row r="123" ht="15.75" customHeight="1" s="51">
      <c r="A123" s="20" t="inlineStr">
        <is>
          <t>GLA-012-01</t>
        </is>
      </c>
      <c r="B123" s="20" t="inlineStr">
        <is>
          <t>Glaucus</t>
        </is>
      </c>
      <c r="C123" s="20" t="inlineStr">
        <is>
          <t>Headphones &amp; Earbuds</t>
        </is>
      </c>
      <c r="D123" s="20" t="inlineStr">
        <is>
          <t>Headphones</t>
        </is>
      </c>
      <c r="E123" s="21" t="inlineStr">
        <is>
          <t>Glaucus Aria Air Kids Headphones</t>
        </is>
      </c>
      <c r="F123" s="23" t="n">
        <v>45.99</v>
      </c>
      <c r="G123" s="20" t="inlineStr">
        <is>
          <t>the Aria Air; Glaucus Aria Air; Gluacus Aria Air; Aria Air headphones</t>
        </is>
      </c>
      <c r="H123" s="20" t="inlineStr">
        <is>
          <t>1 year limited</t>
        </is>
      </c>
      <c r="I123" s="20" t="inlineStr">
        <is>
          <t>FCC, CE, Bluetooth SIG Qualified, EN 71 Toy Safety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USB-C charging, 3.5mm (85 dB limited)</t>
        </is>
      </c>
      <c r="O123" s="20" t="inlineStr">
        <is>
          <t>N/A</t>
        </is>
      </c>
      <c r="P123" s="20" t="n">
        <v>36</v>
      </c>
      <c r="Q123" s="24" t="n">
        <v>164</v>
      </c>
      <c r="R123" s="20" t="inlineStr">
        <is>
          <t>Longer battery than Tethys Pulse Kids Headphones [TET-007-01] (36 vs 20 hrs); Lower price than Soteria Lumen Kids Headphones [SOT-014-01] ($45.99 vs $55.99)</t>
        </is>
      </c>
      <c r="S123" s="20" t="inlineStr">
        <is>
          <t>kids, school, travel</t>
        </is>
      </c>
      <c r="T123" s="0" t="inlineStr">
        <is>
          <t>low_stock</t>
        </is>
      </c>
      <c r="U123" s="0" t="n">
        <v>30</v>
      </c>
      <c r="V123" s="52" t="n">
        <v>48.99</v>
      </c>
      <c r="W123" s="0" t="inlineStr">
        <is>
          <t>2026-08-12</t>
        </is>
      </c>
      <c r="X123" s="0" t="inlineStr">
        <is>
          <t>N/A</t>
        </is>
      </c>
      <c r="Y123" s="0" t="inlineStr">
        <is>
          <t>N/A</t>
        </is>
      </c>
      <c r="Z123" s="0" t="inlineStr">
        <is>
          <t>N/A</t>
        </is>
      </c>
      <c r="AA123" s="0" t="inlineStr">
        <is>
          <t>N/A</t>
        </is>
      </c>
    </row>
    <row r="124" ht="15.75" customHeight="1" s="51">
      <c r="A124" s="20" t="inlineStr">
        <is>
          <t>GLA-012-02</t>
        </is>
      </c>
      <c r="B124" s="20" t="inlineStr">
        <is>
          <t>Glaucus</t>
        </is>
      </c>
      <c r="C124" s="20" t="inlineStr">
        <is>
          <t>Headphones &amp; Earbuds</t>
        </is>
      </c>
      <c r="D124" s="20" t="inlineStr">
        <is>
          <t>Earbuds</t>
        </is>
      </c>
      <c r="E124" s="21" t="inlineStr">
        <is>
          <t>Glaucus Sable Ultra Open-Ear Earbuds</t>
        </is>
      </c>
      <c r="F124" s="23" t="n">
        <v>112.99</v>
      </c>
      <c r="G124" s="20" t="inlineStr">
        <is>
          <t>the Sable Ultra; Glaucus Sable Ultra; Glaucuss Sable Ultra; Sable Ultra earbuds</t>
        </is>
      </c>
      <c r="H124" s="20" t="inlineStr">
        <is>
          <t>1 year limited</t>
        </is>
      </c>
      <c r="I124" s="20" t="inlineStr">
        <is>
          <t>FCC, CE, Bluetooth SIG Qualified, IP55</t>
        </is>
      </c>
      <c r="J124" s="20" t="inlineStr">
        <is>
          <t>N/A</t>
        </is>
      </c>
      <c r="K124" s="20" t="inlineStr">
        <is>
          <t>N/A</t>
        </is>
      </c>
      <c r="L124" s="20" t="inlineStr">
        <is>
          <t>N/A</t>
        </is>
      </c>
      <c r="M124" s="20" t="inlineStr">
        <is>
          <t>N/A</t>
        </is>
      </c>
      <c r="N124" s="20" t="inlineStr">
        <is>
          <t>USB-C charging case</t>
        </is>
      </c>
      <c r="O124" s="20" t="inlineStr">
        <is>
          <t>N/A</t>
        </is>
      </c>
      <c r="P124" s="20" t="n">
        <v>9</v>
      </c>
      <c r="Q124" s="24" t="n">
        <v>9</v>
      </c>
      <c r="R124" s="20" t="inlineStr">
        <is>
          <t>Lower price than Asclepius Axis Max Open-Ear Earbuds [ASC-024-06] ($112.99 vs $208.99); Longer battery than Poseidon Wave Pro Open-Ear Earbuds [POS-021-04] (9 vs 6 hrs)</t>
        </is>
      </c>
      <c r="S124" s="20" t="inlineStr">
        <is>
          <t>running, outdoor, office</t>
        </is>
      </c>
      <c r="T124" s="0" t="inlineStr">
        <is>
          <t>low_stock</t>
        </is>
      </c>
      <c r="U124" s="0" t="n">
        <v>30</v>
      </c>
      <c r="V124" s="52" t="n">
        <v>118.99</v>
      </c>
      <c r="W124" s="0" t="inlineStr">
        <is>
          <t>2026-08-28</t>
        </is>
      </c>
      <c r="X124" s="0" t="inlineStr">
        <is>
          <t>N/A</t>
        </is>
      </c>
      <c r="Y124" s="0" t="inlineStr">
        <is>
          <t>N/A</t>
        </is>
      </c>
      <c r="Z124" s="0" t="inlineStr">
        <is>
          <t>N/A</t>
        </is>
      </c>
      <c r="AA124" s="0" t="inlineStr">
        <is>
          <t>N/A</t>
        </is>
      </c>
    </row>
    <row r="125" ht="15.75" customHeight="1" s="51">
      <c r="A125" s="20" t="inlineStr">
        <is>
          <t>GLA-012-03</t>
        </is>
      </c>
      <c r="B125" s="20" t="inlineStr">
        <is>
          <t>Glaucus</t>
        </is>
      </c>
      <c r="C125" s="20" t="inlineStr">
        <is>
          <t>Headphones &amp; Earbuds</t>
        </is>
      </c>
      <c r="D125" s="20" t="inlineStr">
        <is>
          <t>Headphones</t>
        </is>
      </c>
      <c r="E125" s="21" t="inlineStr">
        <is>
          <t>Glaucus Aria Air Bone Conduction Headphones</t>
        </is>
      </c>
      <c r="F125" s="23" t="n">
        <v>156.99</v>
      </c>
      <c r="G125" s="20" t="inlineStr">
        <is>
          <t>the Aria Air; Glaucus Aria Air; Glauucs Aria Air; Aria Air headphones</t>
        </is>
      </c>
      <c r="H125" s="20" t="inlineStr">
        <is>
          <t>1 year limited</t>
        </is>
      </c>
      <c r="I125" s="20" t="inlineStr">
        <is>
          <t>FCC, CE, Bluetooth SIG Qualified, IP67</t>
        </is>
      </c>
      <c r="J125" s="20" t="inlineStr">
        <is>
          <t>N/A</t>
        </is>
      </c>
      <c r="K125" s="20" t="inlineStr">
        <is>
          <t>N/A</t>
        </is>
      </c>
      <c r="L125" s="20" t="inlineStr">
        <is>
          <t>N/A</t>
        </is>
      </c>
      <c r="M125" s="20" t="inlineStr">
        <is>
          <t>N/A</t>
        </is>
      </c>
      <c r="N125" s="20" t="inlineStr">
        <is>
          <t>Magnetic USB charging</t>
        </is>
      </c>
      <c r="O125" s="20" t="inlineStr">
        <is>
          <t>N/A</t>
        </is>
      </c>
      <c r="P125" s="20" t="n">
        <v>10</v>
      </c>
      <c r="Q125" s="24" t="n">
        <v>34</v>
      </c>
      <c r="R125" s="20" t="inlineStr">
        <is>
          <t>Longer battery than Ananke Orbit Plus Bone Conduction Headphones [ANA-023-03] (10 vs 6 hrs); Lighter than Deimos Crest Bone Conduction Headphones [DEI-005-03] (34 g vs 35 g)</t>
        </is>
      </c>
      <c r="S125" s="20" t="inlineStr">
        <is>
          <t>running, cycling, outdoor</t>
        </is>
      </c>
      <c r="T125" s="0" t="inlineStr">
        <is>
          <t>in_stock</t>
        </is>
      </c>
      <c r="U125" s="0" t="n">
        <v>30</v>
      </c>
      <c r="V125" s="52" t="n">
        <v>171.99</v>
      </c>
      <c r="W125" s="0" t="inlineStr">
        <is>
          <t>2026-09-01</t>
        </is>
      </c>
      <c r="X125" s="0" t="inlineStr">
        <is>
          <t>N/A</t>
        </is>
      </c>
      <c r="Y125" s="0" t="inlineStr">
        <is>
          <t>N/A</t>
        </is>
      </c>
      <c r="Z125" s="0" t="inlineStr">
        <is>
          <t>N/A</t>
        </is>
      </c>
      <c r="AA125" s="0" t="inlineStr">
        <is>
          <t>N/A</t>
        </is>
      </c>
    </row>
    <row r="126" ht="15.75" customHeight="1" s="51">
      <c r="A126" s="20" t="inlineStr">
        <is>
          <t>GLA-012-04</t>
        </is>
      </c>
      <c r="B126" s="20" t="inlineStr">
        <is>
          <t>Glaucus</t>
        </is>
      </c>
      <c r="C126" s="20" t="inlineStr">
        <is>
          <t>Headphones &amp; Earbuds</t>
        </is>
      </c>
      <c r="D126" s="20" t="inlineStr">
        <is>
          <t>Earbuds</t>
        </is>
      </c>
      <c r="E126" s="21" t="inlineStr">
        <is>
          <t>Glaucus Quanta Lite True Wireless Earbuds</t>
        </is>
      </c>
      <c r="F126" s="23" t="n">
        <v>162.99</v>
      </c>
      <c r="G126" s="20" t="inlineStr">
        <is>
          <t>the Quanta Lite; Glaucus Quanta Lite; Glauucs Quanta Lite; Quanta Lite earbuds</t>
        </is>
      </c>
      <c r="H126" s="20" t="inlineStr">
        <is>
          <t>1 year limited</t>
        </is>
      </c>
      <c r="I126" s="20" t="inlineStr">
        <is>
          <t>FCC, CE, Bluetooth SIG Qualified, Hi-Res Audio Wireless</t>
        </is>
      </c>
      <c r="J126" s="20" t="inlineStr">
        <is>
          <t>N/A</t>
        </is>
      </c>
      <c r="K126" s="20" t="inlineStr">
        <is>
          <t>N/A</t>
        </is>
      </c>
      <c r="L126" s="20" t="inlineStr">
        <is>
          <t>N/A</t>
        </is>
      </c>
      <c r="M126" s="20" t="inlineStr">
        <is>
          <t>N/A</t>
        </is>
      </c>
      <c r="N126" s="20" t="inlineStr">
        <is>
          <t>USB-C charging case</t>
        </is>
      </c>
      <c r="O126" s="20" t="inlineStr">
        <is>
          <t>N/A</t>
        </is>
      </c>
      <c r="P126" s="20" t="n">
        <v>10</v>
      </c>
      <c r="Q126" s="24" t="n">
        <v>5</v>
      </c>
      <c r="R126" s="20" t="inlineStr">
        <is>
          <t>Longer battery than Doris Rift Ultra True Wireless Earbuds [DOR-004-03] (10 vs 6 hrs); Lower price than Morpheus Vibe Lite True Wireless Earbuds [MOR-001-08] ($162.99 vs $244.99)</t>
        </is>
      </c>
      <c r="S126" s="20" t="inlineStr">
        <is>
          <t>commute, everyday, travel</t>
        </is>
      </c>
      <c r="T126" s="0" t="inlineStr">
        <is>
          <t>in_stock</t>
        </is>
      </c>
      <c r="U126" s="0" t="n">
        <v>30</v>
      </c>
      <c r="V126" s="52" t="n">
        <v>178.99</v>
      </c>
      <c r="W126" s="0" t="inlineStr">
        <is>
          <t>2026-09-06</t>
        </is>
      </c>
      <c r="X126" s="0" t="inlineStr">
        <is>
          <t>N/A</t>
        </is>
      </c>
      <c r="Y126" s="0" t="inlineStr">
        <is>
          <t>N/A</t>
        </is>
      </c>
      <c r="Z126" s="0" t="inlineStr">
        <is>
          <t>N/A</t>
        </is>
      </c>
      <c r="AA126" s="0" t="inlineStr">
        <is>
          <t>N/A</t>
        </is>
      </c>
    </row>
    <row r="127" ht="15.75" customHeight="1" s="51">
      <c r="A127" s="20" t="inlineStr">
        <is>
          <t>GLA-012-05</t>
        </is>
      </c>
      <c r="B127" s="20" t="inlineStr">
        <is>
          <t>Glaucus</t>
        </is>
      </c>
      <c r="C127" s="20" t="inlineStr">
        <is>
          <t>Headphones &amp; Earbuds</t>
        </is>
      </c>
      <c r="D127" s="20" t="inlineStr">
        <is>
          <t>Earbuds</t>
        </is>
      </c>
      <c r="E127" s="21" t="inlineStr">
        <is>
          <t>Glaucus Zen Ultra Sport Earbuds</t>
        </is>
      </c>
      <c r="F127" s="23" t="n">
        <v>190.99</v>
      </c>
      <c r="G127" s="20" t="inlineStr">
        <is>
          <t>the Zen Ultra; Glaucus Zen Ultra; Glaucos Zen Ultra; Zen Ultra earbuds</t>
        </is>
      </c>
      <c r="H127" s="20" t="inlineStr">
        <is>
          <t>1 year limited</t>
        </is>
      </c>
      <c r="I127" s="20" t="inlineStr">
        <is>
          <t>FCC, CE, Bluetooth SIG Qualified, IPX4</t>
        </is>
      </c>
      <c r="J127" s="20" t="inlineStr">
        <is>
          <t>N/A</t>
        </is>
      </c>
      <c r="K127" s="20" t="inlineStr">
        <is>
          <t>N/A</t>
        </is>
      </c>
      <c r="L127" s="20" t="inlineStr">
        <is>
          <t>N/A</t>
        </is>
      </c>
      <c r="M127" s="20" t="inlineStr">
        <is>
          <t>N/A</t>
        </is>
      </c>
      <c r="N127" s="20" t="inlineStr">
        <is>
          <t>USB-C charging case</t>
        </is>
      </c>
      <c r="O127" s="20" t="inlineStr">
        <is>
          <t>N/A</t>
        </is>
      </c>
      <c r="P127" s="20" t="n">
        <v>6</v>
      </c>
      <c r="Q127" s="24" t="n">
        <v>7</v>
      </c>
      <c r="R127" s="20" t="inlineStr">
        <is>
          <t>Lighter than Achelous Core Max Sport Earbuds [ACH-018-04] (7 g vs 8 g)</t>
        </is>
      </c>
      <c r="S127" s="20" t="inlineStr">
        <is>
          <t>gym, running, sport</t>
        </is>
      </c>
      <c r="T127" s="0" t="inlineStr">
        <is>
          <t>in_stock</t>
        </is>
      </c>
      <c r="U127" s="0" t="n">
        <v>30</v>
      </c>
      <c r="V127" s="52" t="n">
        <v>216.99</v>
      </c>
      <c r="W127" s="0" t="inlineStr">
        <is>
          <t>2026-08-07</t>
        </is>
      </c>
      <c r="X127" s="0" t="inlineStr">
        <is>
          <t>N/A</t>
        </is>
      </c>
      <c r="Y127" s="0" t="inlineStr">
        <is>
          <t>N/A</t>
        </is>
      </c>
      <c r="Z127" s="0" t="inlineStr">
        <is>
          <t>N/A</t>
        </is>
      </c>
      <c r="AA127" s="0" t="inlineStr">
        <is>
          <t>N/A</t>
        </is>
      </c>
    </row>
    <row r="128" ht="15.75" customHeight="1" s="51">
      <c r="A128" s="20" t="inlineStr">
        <is>
          <t>GLA-012-06</t>
        </is>
      </c>
      <c r="B128" s="20" t="inlineStr">
        <is>
          <t>Glaucus</t>
        </is>
      </c>
      <c r="C128" s="20" t="inlineStr">
        <is>
          <t>Headphones &amp; Earbuds</t>
        </is>
      </c>
      <c r="D128" s="20" t="inlineStr">
        <is>
          <t>Headphones</t>
        </is>
      </c>
      <c r="E128" s="21" t="inlineStr">
        <is>
          <t>Glaucus Orbit Air On-Ear Headphones</t>
        </is>
      </c>
      <c r="F128" s="23" t="n">
        <v>228.99</v>
      </c>
      <c r="G128" s="20" t="inlineStr">
        <is>
          <t>the Orbit Air; Glaucus Orbit Air; Glacuus Orbit Air; Orbit Air headphones</t>
        </is>
      </c>
      <c r="H128" s="20" t="inlineStr">
        <is>
          <t>1 year limited</t>
        </is>
      </c>
      <c r="I128" s="20" t="inlineStr">
        <is>
          <t>FCC, CE, Bluetooth SIG Qualified</t>
        </is>
      </c>
      <c r="J128" s="20" t="inlineStr">
        <is>
          <t>N/A</t>
        </is>
      </c>
      <c r="K128" s="20" t="inlineStr">
        <is>
          <t>N/A</t>
        </is>
      </c>
      <c r="L128" s="20" t="inlineStr">
        <is>
          <t>N/A</t>
        </is>
      </c>
      <c r="M128" s="20" t="inlineStr">
        <is>
          <t>N/A</t>
        </is>
      </c>
      <c r="N128" s="20" t="inlineStr">
        <is>
          <t>USB-C charging, 3.5mm</t>
        </is>
      </c>
      <c r="O128" s="20" t="inlineStr">
        <is>
          <t>N/A</t>
        </is>
      </c>
      <c r="P128" s="20" t="n">
        <v>52</v>
      </c>
      <c r="Q128" s="24" t="n">
        <v>205</v>
      </c>
      <c r="R128" s="20" t="inlineStr">
        <is>
          <t>Lighter than Euphrosyne Blaze X On-Ear Headphones [EUP-019-03] (205 g vs 225 g); Longer battery than Hebe Vibe On-Ear Headphones [HEB-011-05] (52 vs 36 hrs)</t>
        </is>
      </c>
      <c r="S128" s="20" t="inlineStr">
        <is>
          <t>everyday, commute, school</t>
        </is>
      </c>
      <c r="T128" s="0" t="inlineStr">
        <is>
          <t>low_stock</t>
        </is>
      </c>
      <c r="U128" s="0" t="n">
        <v>30</v>
      </c>
      <c r="V128" s="52" t="n">
        <v>238.99</v>
      </c>
      <c r="W128" s="0" t="inlineStr">
        <is>
          <t>2026-08-24</t>
        </is>
      </c>
      <c r="X128" s="0" t="inlineStr">
        <is>
          <t>N/A</t>
        </is>
      </c>
      <c r="Y128" s="0" t="inlineStr">
        <is>
          <t>N/A</t>
        </is>
      </c>
      <c r="Z128" s="0" t="inlineStr">
        <is>
          <t>N/A</t>
        </is>
      </c>
      <c r="AA128" s="0" t="inlineStr">
        <is>
          <t>N/A</t>
        </is>
      </c>
    </row>
    <row r="129" ht="15.75" customHeight="1" s="51">
      <c r="A129" s="20" t="inlineStr">
        <is>
          <t>GLA-012-07</t>
        </is>
      </c>
      <c r="B129" s="20" t="inlineStr">
        <is>
          <t>Glaucus</t>
        </is>
      </c>
      <c r="C129" s="20" t="inlineStr">
        <is>
          <t>Headphones &amp; Earbuds</t>
        </is>
      </c>
      <c r="D129" s="20" t="inlineStr">
        <is>
          <t>Headset</t>
        </is>
      </c>
      <c r="E129" s="21" t="inlineStr">
        <is>
          <t>Glaucus Drift Pro Gaming Headset</t>
        </is>
      </c>
      <c r="F129" s="23" t="n">
        <v>296.99</v>
      </c>
      <c r="G129" s="20" t="inlineStr">
        <is>
          <t>the Drift Pro; Glaucus Drift Pro; Glaucuss Drift Pro; Drift Pro headset</t>
        </is>
      </c>
      <c r="H129" s="20" t="inlineStr">
        <is>
          <t>1 year limited</t>
        </is>
      </c>
      <c r="I129" s="20" t="inlineStr">
        <is>
          <t>FCC, CE, Bluetooth SIG Qualified</t>
        </is>
      </c>
      <c r="J129" s="20" t="inlineStr">
        <is>
          <t>N/A</t>
        </is>
      </c>
      <c r="K129" s="20" t="inlineStr">
        <is>
          <t>N/A</t>
        </is>
      </c>
      <c r="L129" s="20" t="inlineStr">
        <is>
          <t>N/A</t>
        </is>
      </c>
      <c r="M129" s="20" t="inlineStr">
        <is>
          <t>N/A</t>
        </is>
      </c>
      <c r="N129" s="20" t="inlineStr">
        <is>
          <t>USB-C, 3.5mm, 2.4GHz USB dongle</t>
        </is>
      </c>
      <c r="O129" s="20" t="inlineStr">
        <is>
          <t>N/A</t>
        </is>
      </c>
      <c r="P129" s="20" t="n">
        <v>23</v>
      </c>
      <c r="Q129" s="24" t="n">
        <v>356</v>
      </c>
      <c r="R129" s="20" t="inlineStr">
        <is>
          <t>Lighter than Himeros Sable Gaming Headset [HIM-003-09] (356 g vs 376 g); Lower price than Tartarus Onyx Ultra Gaming Headset [TAR-017-08] ($296.99 vs $323.99)</t>
        </is>
      </c>
      <c r="S129" s="20" t="inlineStr">
        <is>
          <t>gaming, streaming, voice chat</t>
        </is>
      </c>
      <c r="T129" s="0" t="inlineStr">
        <is>
          <t>in_stock</t>
        </is>
      </c>
      <c r="U129" s="0" t="n">
        <v>30</v>
      </c>
      <c r="V129" s="52" t="n">
        <v>341.99</v>
      </c>
      <c r="W129" s="0" t="inlineStr">
        <is>
          <t>2026-08-12</t>
        </is>
      </c>
      <c r="X129" s="0" t="inlineStr">
        <is>
          <t>N/A</t>
        </is>
      </c>
      <c r="Y129" s="0" t="inlineStr">
        <is>
          <t>N/A</t>
        </is>
      </c>
      <c r="Z129" s="0" t="inlineStr">
        <is>
          <t>N/A</t>
        </is>
      </c>
      <c r="AA129" s="0" t="inlineStr">
        <is>
          <t>N/A</t>
        </is>
      </c>
    </row>
    <row r="130" ht="15.75" customHeight="1" s="51">
      <c r="A130" s="20" t="inlineStr">
        <is>
          <t>GLA-012-08</t>
        </is>
      </c>
      <c r="B130" s="20" t="inlineStr">
        <is>
          <t>Glaucus</t>
        </is>
      </c>
      <c r="C130" s="20" t="inlineStr">
        <is>
          <t>Headphones &amp; Earbuds</t>
        </is>
      </c>
      <c r="D130" s="20" t="inlineStr">
        <is>
          <t>Headphones</t>
        </is>
      </c>
      <c r="E130" s="21" t="inlineStr">
        <is>
          <t>Glaucus Core Pro ANC Over-Ear Headphones</t>
        </is>
      </c>
      <c r="F130" s="23" t="n">
        <v>378.99</v>
      </c>
      <c r="G130" s="20" t="inlineStr">
        <is>
          <t>the Core Pro; Glaucus Core Pro; Glauccus Core Pro; Core Pro headphones</t>
        </is>
      </c>
      <c r="H130" s="20" t="inlineStr">
        <is>
          <t>1 year limited</t>
        </is>
      </c>
      <c r="I130" s="20" t="inlineStr">
        <is>
          <t>FCC, CE, Bluetooth SIG Qualified, Hi-Res Audio Wireless</t>
        </is>
      </c>
      <c r="J130" s="20" t="inlineStr">
        <is>
          <t>N/A</t>
        </is>
      </c>
      <c r="K130" s="20" t="inlineStr">
        <is>
          <t>N/A</t>
        </is>
      </c>
      <c r="L130" s="20" t="inlineStr">
        <is>
          <t>N/A</t>
        </is>
      </c>
      <c r="M130" s="20" t="inlineStr">
        <is>
          <t>N/A</t>
        </is>
      </c>
      <c r="N130" s="20" t="inlineStr">
        <is>
          <t>USB-C charging and audio, 3.5mm</t>
        </is>
      </c>
      <c r="O130" s="20" t="inlineStr">
        <is>
          <t>N/A</t>
        </is>
      </c>
      <c r="P130" s="20" t="n">
        <v>59</v>
      </c>
      <c r="Q130" s="24" t="n">
        <v>282</v>
      </c>
      <c r="R130" s="20" t="inlineStr">
        <is>
          <t>Longer battery than Soteria Drift SE ANC Over-Ear Headphones [SOT-014-08] (59 vs 21 hrs); Lower price than Poseidon Prism ANC Over-Ear Headphones [POS-021-09] ($378.99 vs $388.99)</t>
        </is>
      </c>
      <c r="S130" s="20" t="inlineStr">
        <is>
          <t>travel, commute, office</t>
        </is>
      </c>
      <c r="T130" s="0" t="inlineStr">
        <is>
          <t>in_stock</t>
        </is>
      </c>
      <c r="U130" s="0" t="n">
        <v>30</v>
      </c>
      <c r="V130" s="52" t="n">
        <v>418.99</v>
      </c>
      <c r="W130" s="0" t="inlineStr">
        <is>
          <t>2026-08-24</t>
        </is>
      </c>
      <c r="X130" s="0" t="inlineStr">
        <is>
          <t>N/A</t>
        </is>
      </c>
      <c r="Y130" s="0" t="inlineStr">
        <is>
          <t>N/A</t>
        </is>
      </c>
      <c r="Z130" s="0" t="inlineStr">
        <is>
          <t>N/A</t>
        </is>
      </c>
      <c r="AA130" s="0" t="inlineStr">
        <is>
          <t>N/A</t>
        </is>
      </c>
    </row>
    <row r="131" ht="15.75" customHeight="1" s="51">
      <c r="A131" s="20" t="inlineStr">
        <is>
          <t>GLA-012-09</t>
        </is>
      </c>
      <c r="B131" s="20" t="inlineStr">
        <is>
          <t>Glaucus</t>
        </is>
      </c>
      <c r="C131" s="20" t="inlineStr">
        <is>
          <t>Headphones &amp; Earbuds</t>
        </is>
      </c>
      <c r="D131" s="20" t="inlineStr">
        <is>
          <t>Headphones</t>
        </is>
      </c>
      <c r="E131" s="21" t="inlineStr">
        <is>
          <t>Glaucus Strata Ultra Studio Monitor Headphones</t>
        </is>
      </c>
      <c r="F131" s="23" t="n">
        <v>478.99</v>
      </c>
      <c r="G131" s="20" t="inlineStr">
        <is>
          <t>the Strata Ultra; Glaucus Strata Ultra; Glauucus Strata Ultra; Strata Ultra headphones</t>
        </is>
      </c>
      <c r="H131" s="20" t="inlineStr">
        <is>
          <t>1 year limited</t>
        </is>
      </c>
      <c r="I131" s="20" t="inlineStr">
        <is>
          <t>CE, RoHS, Hi-Res Audio</t>
        </is>
      </c>
      <c r="J131" s="20" t="inlineStr">
        <is>
          <t>N/A</t>
        </is>
      </c>
      <c r="K131" s="20" t="inlineStr">
        <is>
          <t>N/A</t>
        </is>
      </c>
      <c r="L131" s="20" t="inlineStr">
        <is>
          <t>N/A</t>
        </is>
      </c>
      <c r="M131" s="20" t="inlineStr">
        <is>
          <t>N/A</t>
        </is>
      </c>
      <c r="N131" s="20" t="inlineStr">
        <is>
          <t>Detachable cable: 3.5mm with 6.35mm adapter</t>
        </is>
      </c>
      <c r="O131" s="20" t="inlineStr">
        <is>
          <t>N/A</t>
        </is>
      </c>
      <c r="P131" s="20" t="inlineStr">
        <is>
          <t>N/A</t>
        </is>
      </c>
      <c r="Q131" s="24" t="n">
        <v>343</v>
      </c>
      <c r="R131" s="20" t="inlineStr">
        <is>
          <t>Lighter than Clio Aeon Max Studio Monitor Headphones [CLI-022-06] (343 g vs 369 g); Lower price than Aura Drift Studio Monitor Headphones [AUR-015-10] ($478.99 vs $497.99)</t>
        </is>
      </c>
      <c r="S131" s="20" t="inlineStr">
        <is>
          <t>music production, studio, podcasting</t>
        </is>
      </c>
      <c r="T131" s="0" t="inlineStr">
        <is>
          <t>in_stock</t>
        </is>
      </c>
      <c r="U131" s="0" t="n">
        <v>30</v>
      </c>
      <c r="V131" s="52" t="n">
        <v>526.99</v>
      </c>
      <c r="W131" s="0" t="inlineStr">
        <is>
          <t>2026-09-24</t>
        </is>
      </c>
      <c r="X131" s="0" t="inlineStr">
        <is>
          <t>N/A</t>
        </is>
      </c>
      <c r="Y131" s="0" t="inlineStr">
        <is>
          <t>N/A</t>
        </is>
      </c>
      <c r="Z131" s="0" t="inlineStr">
        <is>
          <t>N/A</t>
        </is>
      </c>
      <c r="AA131" s="0" t="inlineStr">
        <is>
          <t>N/A</t>
        </is>
      </c>
    </row>
    <row r="132" ht="15.75" customHeight="1" s="51">
      <c r="A132" s="20" t="inlineStr">
        <is>
          <t>GLA-012-10</t>
        </is>
      </c>
      <c r="B132" s="20" t="inlineStr">
        <is>
          <t>Glaucus</t>
        </is>
      </c>
      <c r="C132" s="20" t="inlineStr">
        <is>
          <t>Headphones &amp; Earbuds</t>
        </is>
      </c>
      <c r="D132" s="20" t="inlineStr">
        <is>
          <t>Headphones</t>
        </is>
      </c>
      <c r="E132" s="21" t="inlineStr">
        <is>
          <t>Glaucus Onyx Air Audiophile Planar Headphones</t>
        </is>
      </c>
      <c r="F132" s="23" t="n">
        <v>865.99</v>
      </c>
      <c r="G132" s="20" t="inlineStr">
        <is>
          <t>the Onyx Air; Glaucus Onyx Air; Glacuus Onyx Air; Onyx Air headphones</t>
        </is>
      </c>
      <c r="H132" s="20" t="inlineStr">
        <is>
          <t>1 year limited</t>
        </is>
      </c>
      <c r="I132" s="20" t="inlineStr">
        <is>
          <t>CE, RoHS, Hi-Res Audio</t>
        </is>
      </c>
      <c r="J132" s="20" t="inlineStr">
        <is>
          <t>N/A</t>
        </is>
      </c>
      <c r="K132" s="20" t="inlineStr">
        <is>
          <t>N/A</t>
        </is>
      </c>
      <c r="L132" s="20" t="inlineStr">
        <is>
          <t>N/A</t>
        </is>
      </c>
      <c r="M132" s="20" t="inlineStr">
        <is>
          <t>N/A</t>
        </is>
      </c>
      <c r="N132" s="20" t="inlineStr">
        <is>
          <t>Detachable cable: 3.5mm, 6.35mm and 4.4mm balanced</t>
        </is>
      </c>
      <c r="O132" s="20" t="inlineStr">
        <is>
          <t>N/A</t>
        </is>
      </c>
      <c r="P132" s="20" t="inlineStr">
        <is>
          <t>N/A</t>
        </is>
      </c>
      <c r="Q132" s="24" t="n">
        <v>484</v>
      </c>
      <c r="R132" s="20" t="inlineStr">
        <is>
          <t>Lighter than Morpheus Onyx Lite Audiophile Planar Headphones [MOR-001-10] (484 g vs 502 g); Lower price than Hedone Prism SE Audiophile Planar Headphones [HED-010-10] ($865.99 vs $1,336.99)</t>
        </is>
      </c>
      <c r="S132" s="20" t="inlineStr">
        <is>
          <t>audiophile, home listening, studio</t>
        </is>
      </c>
      <c r="T132" s="0" t="inlineStr">
        <is>
          <t>low_stock</t>
        </is>
      </c>
      <c r="U132" s="0" t="n">
        <v>30</v>
      </c>
      <c r="V132" s="52" t="n">
        <v>920.99</v>
      </c>
      <c r="W132" s="0" t="inlineStr">
        <is>
          <t>2026-08-30</t>
        </is>
      </c>
      <c r="X132" s="0" t="inlineStr">
        <is>
          <t>N/A</t>
        </is>
      </c>
      <c r="Y132" s="0" t="inlineStr">
        <is>
          <t>N/A</t>
        </is>
      </c>
      <c r="Z132" s="0" t="inlineStr">
        <is>
          <t>N/A</t>
        </is>
      </c>
      <c r="AA132" s="0" t="inlineStr">
        <is>
          <t>N/A</t>
        </is>
      </c>
    </row>
    <row r="133" ht="15.75" customHeight="1" s="51">
      <c r="A133" s="20" t="inlineStr">
        <is>
          <t>ZEU-013-01</t>
        </is>
      </c>
      <c r="B133" s="20" t="inlineStr">
        <is>
          <t>Zeus</t>
        </is>
      </c>
      <c r="C133" s="20" t="inlineStr">
        <is>
          <t>Headphones &amp; Earbuds</t>
        </is>
      </c>
      <c r="D133" s="20" t="inlineStr">
        <is>
          <t>Headphones</t>
        </is>
      </c>
      <c r="E133" s="21" t="inlineStr">
        <is>
          <t>Zeus Axis Pro Kids Headphones</t>
        </is>
      </c>
      <c r="F133" s="23" t="n">
        <v>27.99</v>
      </c>
      <c r="G133" s="20" t="inlineStr">
        <is>
          <t>the Axis Pro; Zeus Axis Pro; Zeeus Axis Pro; Axis Pro headphones</t>
        </is>
      </c>
      <c r="H133" s="20" t="inlineStr">
        <is>
          <t>1 year limited</t>
        </is>
      </c>
      <c r="I133" s="20" t="inlineStr">
        <is>
          <t>FCC, CE, Bluetooth SIG Qualified, EN 71 Toy Safety</t>
        </is>
      </c>
      <c r="J133" s="20" t="inlineStr">
        <is>
          <t>N/A</t>
        </is>
      </c>
      <c r="K133" s="20" t="inlineStr">
        <is>
          <t>N/A</t>
        </is>
      </c>
      <c r="L133" s="20" t="inlineStr">
        <is>
          <t>N/A</t>
        </is>
      </c>
      <c r="M133" s="20" t="inlineStr">
        <is>
          <t>N/A</t>
        </is>
      </c>
      <c r="N133" s="20" t="inlineStr">
        <is>
          <t>USB-C charging, 3.5mm (85 dB limited)</t>
        </is>
      </c>
      <c r="O133" s="20" t="inlineStr">
        <is>
          <t>N/A</t>
        </is>
      </c>
      <c r="P133" s="20" t="n">
        <v>36</v>
      </c>
      <c r="Q133" s="24" t="n">
        <v>112</v>
      </c>
      <c r="R133" s="20" t="inlineStr">
        <is>
          <t>Longer battery than Morpheus Onyx Air Kids Headphones [MOR-001-01] (36 vs 23 hrs); Lighter than Tartarus Zen Pro Kids Headphones [TAR-017-01] (112 g vs 122 g)</t>
        </is>
      </c>
      <c r="S133" s="20" t="inlineStr">
        <is>
          <t>kids, school, travel</t>
        </is>
      </c>
      <c r="T133" s="0" t="inlineStr">
        <is>
          <t>in_stock</t>
        </is>
      </c>
      <c r="U133" s="0" t="n">
        <v>15</v>
      </c>
      <c r="V133" s="52" t="n">
        <v>30.99</v>
      </c>
      <c r="W133" s="0" t="inlineStr">
        <is>
          <t>2026-09-12</t>
        </is>
      </c>
      <c r="X133" s="0" t="inlineStr">
        <is>
          <t>N/A</t>
        </is>
      </c>
      <c r="Y133" s="0" t="inlineStr">
        <is>
          <t>N/A</t>
        </is>
      </c>
      <c r="Z133" s="0" t="inlineStr">
        <is>
          <t>N/A</t>
        </is>
      </c>
      <c r="AA133" s="0" t="inlineStr">
        <is>
          <t>N/A</t>
        </is>
      </c>
    </row>
    <row r="134" ht="15.75" customHeight="1" s="51">
      <c r="A134" s="20" t="inlineStr">
        <is>
          <t>ZEU-013-02</t>
        </is>
      </c>
      <c r="B134" s="20" t="inlineStr">
        <is>
          <t>Zeus</t>
        </is>
      </c>
      <c r="C134" s="20" t="inlineStr">
        <is>
          <t>Headphones &amp; Earbuds</t>
        </is>
      </c>
      <c r="D134" s="20" t="inlineStr">
        <is>
          <t>Earbuds</t>
        </is>
      </c>
      <c r="E134" s="21" t="inlineStr">
        <is>
          <t>Zeus Strata X Open-Ear Earbuds</t>
        </is>
      </c>
      <c r="F134" s="23" t="n">
        <v>83.98999999999999</v>
      </c>
      <c r="G134" s="20" t="inlineStr">
        <is>
          <t>the Strata X; Zeus Strata X; Zeos Strata X; Strata X earbuds</t>
        </is>
      </c>
      <c r="H134" s="20" t="inlineStr">
        <is>
          <t>1 year limited</t>
        </is>
      </c>
      <c r="I134" s="20" t="inlineStr">
        <is>
          <t>FCC, CE, Bluetooth SIG Qualified, IPX4</t>
        </is>
      </c>
      <c r="J134" s="20" t="inlineStr">
        <is>
          <t>N/A</t>
        </is>
      </c>
      <c r="K134" s="20" t="inlineStr">
        <is>
          <t>N/A</t>
        </is>
      </c>
      <c r="L134" s="20" t="inlineStr">
        <is>
          <t>N/A</t>
        </is>
      </c>
      <c r="M134" s="20" t="inlineStr">
        <is>
          <t>N/A</t>
        </is>
      </c>
      <c r="N134" s="20" t="inlineStr">
        <is>
          <t>USB-C charging case</t>
        </is>
      </c>
      <c r="O134" s="20" t="inlineStr">
        <is>
          <t>N/A</t>
        </is>
      </c>
      <c r="P134" s="20" t="n">
        <v>8</v>
      </c>
      <c r="Q134" s="24" t="n">
        <v>12</v>
      </c>
      <c r="R134" s="20" t="inlineStr">
        <is>
          <t>Lower price than Poseidon Wave Pro Open-Ear Earbuds [POS-021-04] ($83.99 vs $98.99); Longer battery than Ananke Apex SE Open-Ear Earbuds [ANA-023-05] (8 vs 7 hrs)</t>
        </is>
      </c>
      <c r="S134" s="20" t="inlineStr">
        <is>
          <t>running, outdoor, office</t>
        </is>
      </c>
      <c r="T134" s="0" t="inlineStr">
        <is>
          <t>in_stock</t>
        </is>
      </c>
      <c r="U134" s="0" t="n">
        <v>15</v>
      </c>
      <c r="V134" s="52" t="n">
        <v>96.98999999999999</v>
      </c>
      <c r="W134" s="0" t="inlineStr">
        <is>
          <t>2026-08-19</t>
        </is>
      </c>
      <c r="X134" s="0" t="inlineStr">
        <is>
          <t>N/A</t>
        </is>
      </c>
      <c r="Y134" s="0" t="inlineStr">
        <is>
          <t>N/A</t>
        </is>
      </c>
      <c r="Z134" s="0" t="inlineStr">
        <is>
          <t>N/A</t>
        </is>
      </c>
      <c r="AA134" s="0" t="inlineStr">
        <is>
          <t>N/A</t>
        </is>
      </c>
    </row>
    <row r="135" ht="15.75" customHeight="1" s="51">
      <c r="A135" s="20" t="inlineStr">
        <is>
          <t>ZEU-013-03</t>
        </is>
      </c>
      <c r="B135" s="20" t="inlineStr">
        <is>
          <t>Zeus</t>
        </is>
      </c>
      <c r="C135" s="20" t="inlineStr">
        <is>
          <t>Headphones &amp; Earbuds</t>
        </is>
      </c>
      <c r="D135" s="20" t="inlineStr">
        <is>
          <t>Earbuds</t>
        </is>
      </c>
      <c r="E135" s="21" t="inlineStr">
        <is>
          <t>Zeus Nimbus X Sport Earbuds</t>
        </is>
      </c>
      <c r="F135" s="23" t="n">
        <v>145.99</v>
      </c>
      <c r="G135" s="20" t="inlineStr">
        <is>
          <t>the Nimbus X; Zeus Nimbus X; Zus Nimbus X; Nimbus X earbuds</t>
        </is>
      </c>
      <c r="H135" s="20" t="inlineStr">
        <is>
          <t>1 year limited</t>
        </is>
      </c>
      <c r="I135" s="20" t="inlineStr">
        <is>
          <t>FCC, CE, Bluetooth SIG Qualified, IPX4</t>
        </is>
      </c>
      <c r="J135" s="20" t="inlineStr">
        <is>
          <t>N/A</t>
        </is>
      </c>
      <c r="K135" s="20" t="inlineStr">
        <is>
          <t>N/A</t>
        </is>
      </c>
      <c r="L135" s="20" t="inlineStr">
        <is>
          <t>N/A</t>
        </is>
      </c>
      <c r="M135" s="20" t="inlineStr">
        <is>
          <t>N/A</t>
        </is>
      </c>
      <c r="N135" s="20" t="inlineStr">
        <is>
          <t>USB-C charging case</t>
        </is>
      </c>
      <c r="O135" s="20" t="inlineStr">
        <is>
          <t>N/A</t>
        </is>
      </c>
      <c r="P135" s="20" t="n">
        <v>7</v>
      </c>
      <c r="Q135" s="24" t="n">
        <v>5</v>
      </c>
      <c r="R135" s="20" t="inlineStr">
        <is>
          <t>Lighter than Tartarus Core Ultra Sport Earbuds [TAR-017-02] (5 g vs 8 g); Longer battery than Achelous Core Max Sport Earbuds [ACH-018-04] (7 vs 6 hrs)</t>
        </is>
      </c>
      <c r="S135" s="20" t="inlineStr">
        <is>
          <t>gym, running, sport</t>
        </is>
      </c>
      <c r="T135" s="0" t="inlineStr">
        <is>
          <t>in_stock</t>
        </is>
      </c>
      <c r="U135" s="0" t="n">
        <v>15</v>
      </c>
      <c r="V135" s="52" t="n">
        <v>165.99</v>
      </c>
      <c r="W135" s="0" t="inlineStr">
        <is>
          <t>2026-09-01</t>
        </is>
      </c>
      <c r="X135" s="0" t="inlineStr">
        <is>
          <t>N/A</t>
        </is>
      </c>
      <c r="Y135" s="0" t="inlineStr">
        <is>
          <t>N/A</t>
        </is>
      </c>
      <c r="Z135" s="0" t="inlineStr">
        <is>
          <t>N/A</t>
        </is>
      </c>
      <c r="AA135" s="0" t="inlineStr">
        <is>
          <t>N/A</t>
        </is>
      </c>
    </row>
    <row r="136" ht="15.75" customHeight="1" s="51">
      <c r="A136" s="20" t="inlineStr">
        <is>
          <t>ZEU-013-04</t>
        </is>
      </c>
      <c r="B136" s="20" t="inlineStr">
        <is>
          <t>Zeus</t>
        </is>
      </c>
      <c r="C136" s="20" t="inlineStr">
        <is>
          <t>Headphones &amp; Earbuds</t>
        </is>
      </c>
      <c r="D136" s="20" t="inlineStr">
        <is>
          <t>Headphones</t>
        </is>
      </c>
      <c r="E136" s="21" t="inlineStr">
        <is>
          <t>Zeus Echo Pro On-Ear Headphones</t>
        </is>
      </c>
      <c r="F136" s="23" t="n">
        <v>164.99</v>
      </c>
      <c r="G136" s="20" t="inlineStr">
        <is>
          <t>the Echo Pro; Zeus Echo Pro; Zeu Echo Pro; Echo Pro headphones</t>
        </is>
      </c>
      <c r="H136" s="20" t="inlineStr">
        <is>
          <t>1 year limited</t>
        </is>
      </c>
      <c r="I136" s="20" t="inlineStr">
        <is>
          <t>FCC, CE, Bluetooth SIG Qualified</t>
        </is>
      </c>
      <c r="J136" s="20" t="inlineStr">
        <is>
          <t>N/A</t>
        </is>
      </c>
      <c r="K136" s="20" t="inlineStr">
        <is>
          <t>N/A</t>
        </is>
      </c>
      <c r="L136" s="20" t="inlineStr">
        <is>
          <t>N/A</t>
        </is>
      </c>
      <c r="M136" s="20" t="inlineStr">
        <is>
          <t>N/A</t>
        </is>
      </c>
      <c r="N136" s="20" t="inlineStr">
        <is>
          <t>USB-C charging, 3.5mm</t>
        </is>
      </c>
      <c r="O136" s="20" t="inlineStr">
        <is>
          <t>N/A</t>
        </is>
      </c>
      <c r="P136" s="20" t="n">
        <v>37</v>
      </c>
      <c r="Q136" s="24" t="n">
        <v>188</v>
      </c>
      <c r="R136" s="20" t="inlineStr">
        <is>
          <t>Lighter than Hebe Vibe On-Ear Headphones [HEB-011-05] (188 g vs 207 g); Lower price than Poseidon Arc Lite On-Ear Headphones [POS-021-08] ($164.99 vs $197.99)</t>
        </is>
      </c>
      <c r="S136" s="20" t="inlineStr">
        <is>
          <t>everyday, commute, school</t>
        </is>
      </c>
      <c r="T136" s="0" t="inlineStr">
        <is>
          <t>in_stock</t>
        </is>
      </c>
      <c r="U136" s="0" t="n">
        <v>15</v>
      </c>
      <c r="V136" s="52" t="n">
        <v>178.99</v>
      </c>
      <c r="W136" s="0" t="inlineStr">
        <is>
          <t>2026-08-18</t>
        </is>
      </c>
      <c r="X136" s="0" t="inlineStr">
        <is>
          <t>N/A</t>
        </is>
      </c>
      <c r="Y136" s="0" t="inlineStr">
        <is>
          <t>N/A</t>
        </is>
      </c>
      <c r="Z136" s="0" t="inlineStr">
        <is>
          <t>N/A</t>
        </is>
      </c>
      <c r="AA136" s="0" t="inlineStr">
        <is>
          <t>N/A</t>
        </is>
      </c>
    </row>
    <row r="137" ht="15.75" customHeight="1" s="51">
      <c r="A137" s="20" t="inlineStr">
        <is>
          <t>ZEU-013-05</t>
        </is>
      </c>
      <c r="B137" s="20" t="inlineStr">
        <is>
          <t>Zeus</t>
        </is>
      </c>
      <c r="C137" s="20" t="inlineStr">
        <is>
          <t>Headphones &amp; Earbuds</t>
        </is>
      </c>
      <c r="D137" s="20" t="inlineStr">
        <is>
          <t>Headphones</t>
        </is>
      </c>
      <c r="E137" s="21" t="inlineStr">
        <is>
          <t>Zeus Arc SE Studio Monitor Headphones</t>
        </is>
      </c>
      <c r="F137" s="23" t="n">
        <v>175.99</v>
      </c>
      <c r="G137" s="20" t="inlineStr">
        <is>
          <t>the Arc SE; Zeus Arc SE; Zus Arc SE; Arc SE headphones</t>
        </is>
      </c>
      <c r="H137" s="20" t="inlineStr">
        <is>
          <t>1 year limited</t>
        </is>
      </c>
      <c r="I137" s="20" t="inlineStr">
        <is>
          <t>CE, RoHS, Hi-Res Audio</t>
        </is>
      </c>
      <c r="J137" s="20" t="inlineStr">
        <is>
          <t>N/A</t>
        </is>
      </c>
      <c r="K137" s="20" t="inlineStr">
        <is>
          <t>N/A</t>
        </is>
      </c>
      <c r="L137" s="20" t="inlineStr">
        <is>
          <t>N/A</t>
        </is>
      </c>
      <c r="M137" s="20" t="inlineStr">
        <is>
          <t>N/A</t>
        </is>
      </c>
      <c r="N137" s="20" t="inlineStr">
        <is>
          <t>Detachable cable: 3.5mm with 6.35mm adapter</t>
        </is>
      </c>
      <c r="O137" s="20" t="inlineStr">
        <is>
          <t>N/A</t>
        </is>
      </c>
      <c r="P137" s="20" t="inlineStr">
        <is>
          <t>N/A</t>
        </is>
      </c>
      <c r="Q137" s="24" t="n">
        <v>358</v>
      </c>
      <c r="R137" s="20" t="inlineStr">
        <is>
          <t>Lower price than Asclepius Flux Lite Studio Monitor Headphones [ASC-024-08] ($175.99 vs $334.99); Lighter than Carpo Nova Plus Studio Monitor Headphones [CAR-002-07] (358 g vs 361 g)</t>
        </is>
      </c>
      <c r="S137" s="20" t="inlineStr">
        <is>
          <t>music production, studio, podcasting</t>
        </is>
      </c>
      <c r="T137" s="0" t="inlineStr">
        <is>
          <t>low_stock</t>
        </is>
      </c>
      <c r="U137" s="0" t="n">
        <v>15</v>
      </c>
      <c r="V137" s="52" t="n">
        <v>199.99</v>
      </c>
      <c r="W137" s="0" t="inlineStr">
        <is>
          <t>2026-08-03</t>
        </is>
      </c>
      <c r="X137" s="0" t="inlineStr">
        <is>
          <t>N/A</t>
        </is>
      </c>
      <c r="Y137" s="0" t="inlineStr">
        <is>
          <t>N/A</t>
        </is>
      </c>
      <c r="Z137" s="0" t="inlineStr">
        <is>
          <t>N/A</t>
        </is>
      </c>
      <c r="AA137" s="0" t="inlineStr">
        <is>
          <t>N/A</t>
        </is>
      </c>
    </row>
    <row r="138" ht="15.75" customHeight="1" s="51">
      <c r="A138" s="20" t="inlineStr">
        <is>
          <t>ZEU-013-06</t>
        </is>
      </c>
      <c r="B138" s="20" t="inlineStr">
        <is>
          <t>Zeus</t>
        </is>
      </c>
      <c r="C138" s="20" t="inlineStr">
        <is>
          <t>Headphones &amp; Earbuds</t>
        </is>
      </c>
      <c r="D138" s="20" t="inlineStr">
        <is>
          <t>Headphones</t>
        </is>
      </c>
      <c r="E138" s="21" t="inlineStr">
        <is>
          <t>Zeus Vertex SE ANC Over-Ear Headphones</t>
        </is>
      </c>
      <c r="F138" s="23" t="n">
        <v>180.99</v>
      </c>
      <c r="G138" s="20" t="inlineStr">
        <is>
          <t>the Vertex SE; Zeus Vertex SE; Zeeus Vertex SE; Vertex SE headphones</t>
        </is>
      </c>
      <c r="H138" s="20" t="inlineStr">
        <is>
          <t>1 year limited</t>
        </is>
      </c>
      <c r="I138" s="20" t="inlineStr">
        <is>
          <t>FCC, CE, Bluetooth SIG Qualified</t>
        </is>
      </c>
      <c r="J138" s="20" t="inlineStr">
        <is>
          <t>N/A</t>
        </is>
      </c>
      <c r="K138" s="20" t="inlineStr">
        <is>
          <t>N/A</t>
        </is>
      </c>
      <c r="L138" s="20" t="inlineStr">
        <is>
          <t>N/A</t>
        </is>
      </c>
      <c r="M138" s="20" t="inlineStr">
        <is>
          <t>N/A</t>
        </is>
      </c>
      <c r="N138" s="20" t="inlineStr">
        <is>
          <t>USB-C charging and audio, 3.5mm</t>
        </is>
      </c>
      <c r="O138" s="20" t="inlineStr">
        <is>
          <t>N/A</t>
        </is>
      </c>
      <c r="P138" s="20" t="n">
        <v>33</v>
      </c>
      <c r="Q138" s="24" t="n">
        <v>259</v>
      </c>
      <c r="R138" s="20" t="inlineStr">
        <is>
          <t>Lighter than Carpo Nova ANC Over-Ear Headphones [CAR-002-08] (259 g vs 276 g); Lower price than Aura Vibe Ultra ANC Over-Ear Headphones [AUR-015-07] ($180.99 vs $270.99)</t>
        </is>
      </c>
      <c r="S138" s="20" t="inlineStr">
        <is>
          <t>travel, commute, office</t>
        </is>
      </c>
      <c r="T138" s="0" t="inlineStr">
        <is>
          <t>in_stock</t>
        </is>
      </c>
      <c r="U138" s="0" t="n">
        <v>15</v>
      </c>
      <c r="V138" s="52" t="n">
        <v>197.99</v>
      </c>
      <c r="W138" s="0" t="inlineStr">
        <is>
          <t>2026-09-19</t>
        </is>
      </c>
      <c r="X138" s="0" t="inlineStr">
        <is>
          <t>N/A</t>
        </is>
      </c>
      <c r="Y138" s="0" t="inlineStr">
        <is>
          <t>N/A</t>
        </is>
      </c>
      <c r="Z138" s="0" t="inlineStr">
        <is>
          <t>N/A</t>
        </is>
      </c>
      <c r="AA138" s="0" t="inlineStr">
        <is>
          <t>N/A</t>
        </is>
      </c>
    </row>
    <row r="139" ht="15.75" customHeight="1" s="51">
      <c r="A139" s="20" t="inlineStr">
        <is>
          <t>ZEU-013-07</t>
        </is>
      </c>
      <c r="B139" s="20" t="inlineStr">
        <is>
          <t>Zeus</t>
        </is>
      </c>
      <c r="C139" s="20" t="inlineStr">
        <is>
          <t>Headphones &amp; Earbuds</t>
        </is>
      </c>
      <c r="D139" s="20" t="inlineStr">
        <is>
          <t>Earbuds</t>
        </is>
      </c>
      <c r="E139" s="21" t="inlineStr">
        <is>
          <t>Zeus Strata SE Sleep Earbuds</t>
        </is>
      </c>
      <c r="F139" s="23" t="n">
        <v>197.99</v>
      </c>
      <c r="G139" s="20" t="inlineStr">
        <is>
          <t>the Strata SE; Zeus Strata SE; Zues Strata SE; Strata SE earbuds</t>
        </is>
      </c>
      <c r="H139" s="20" t="inlineStr">
        <is>
          <t>1 year limited</t>
        </is>
      </c>
      <c r="I139" s="20" t="inlineStr">
        <is>
          <t>FCC, CE, Bluetooth SIG Qualified</t>
        </is>
      </c>
      <c r="J139" s="20" t="inlineStr">
        <is>
          <t>N/A</t>
        </is>
      </c>
      <c r="K139" s="20" t="inlineStr">
        <is>
          <t>N/A</t>
        </is>
      </c>
      <c r="L139" s="20" t="inlineStr">
        <is>
          <t>N/A</t>
        </is>
      </c>
      <c r="M139" s="20" t="inlineStr">
        <is>
          <t>N/A</t>
        </is>
      </c>
      <c r="N139" s="20" t="inlineStr">
        <is>
          <t>USB-C charging case</t>
        </is>
      </c>
      <c r="O139" s="20" t="inlineStr">
        <is>
          <t>N/A</t>
        </is>
      </c>
      <c r="P139" s="20" t="n">
        <v>9</v>
      </c>
      <c r="Q139" s="24" t="n">
        <v>2</v>
      </c>
      <c r="R139" s="20" t="inlineStr">
        <is>
          <t>Lighter than Doris Vertex Air Sleep Earbuds [DOR-004-05] (2 g vs 4 g); Longer battery than Phosphorus Nimbus X Sleep Earbuds [PHO-009-03] (9 vs 8 hrs)</t>
        </is>
      </c>
      <c r="S139" s="20" t="inlineStr">
        <is>
          <t>sleep, travel, relaxation</t>
        </is>
      </c>
      <c r="T139" s="0" t="inlineStr">
        <is>
          <t>out_of_stock</t>
        </is>
      </c>
      <c r="U139" s="0" t="n">
        <v>15</v>
      </c>
      <c r="V139" s="52" t="n">
        <v>221.99</v>
      </c>
      <c r="W139" s="0" t="inlineStr">
        <is>
          <t>2026-09-24</t>
        </is>
      </c>
      <c r="X139" s="0" t="inlineStr">
        <is>
          <t>N/A</t>
        </is>
      </c>
      <c r="Y139" s="0" t="inlineStr">
        <is>
          <t>N/A</t>
        </is>
      </c>
      <c r="Z139" s="0" t="inlineStr">
        <is>
          <t>N/A</t>
        </is>
      </c>
      <c r="AA139" s="0" t="inlineStr">
        <is>
          <t>N/A</t>
        </is>
      </c>
    </row>
    <row r="140" ht="15.75" customHeight="1" s="51">
      <c r="A140" s="20" t="inlineStr">
        <is>
          <t>ZEU-013-08</t>
        </is>
      </c>
      <c r="B140" s="20" t="inlineStr">
        <is>
          <t>Zeus</t>
        </is>
      </c>
      <c r="C140" s="20" t="inlineStr">
        <is>
          <t>Headphones &amp; Earbuds</t>
        </is>
      </c>
      <c r="D140" s="20" t="inlineStr">
        <is>
          <t>Headset</t>
        </is>
      </c>
      <c r="E140" s="21" t="inlineStr">
        <is>
          <t>Zeus Spark Gaming Headset</t>
        </is>
      </c>
      <c r="F140" s="23" t="n">
        <v>242.99</v>
      </c>
      <c r="G140" s="20" t="inlineStr">
        <is>
          <t>the Spark; Zeus Spark; Zeos Spark; Spark headset</t>
        </is>
      </c>
      <c r="H140" s="20" t="inlineStr">
        <is>
          <t>1 year limited</t>
        </is>
      </c>
      <c r="I140" s="20" t="inlineStr">
        <is>
          <t>FCC, CE, Bluetooth SIG Qualified</t>
        </is>
      </c>
      <c r="J140" s="20" t="inlineStr">
        <is>
          <t>N/A</t>
        </is>
      </c>
      <c r="K140" s="20" t="inlineStr">
        <is>
          <t>N/A</t>
        </is>
      </c>
      <c r="L140" s="20" t="inlineStr">
        <is>
          <t>N/A</t>
        </is>
      </c>
      <c r="M140" s="20" t="inlineStr">
        <is>
          <t>N/A</t>
        </is>
      </c>
      <c r="N140" s="20" t="inlineStr">
        <is>
          <t>USB-C, 3.5mm, 2.4GHz USB dongle</t>
        </is>
      </c>
      <c r="O140" s="20" t="inlineStr">
        <is>
          <t>N/A</t>
        </is>
      </c>
      <c r="P140" s="20" t="n">
        <v>59</v>
      </c>
      <c r="Q140" s="24" t="n">
        <v>348</v>
      </c>
      <c r="R140" s="20" t="inlineStr">
        <is>
          <t>Longer battery than Clio Spark Air Gaming Headset [CLI-022-03] (59 vs 49 hrs); Lighter than Asteria Core Max Gaming Headset [AST-006-03] (348 g vs 372 g)</t>
        </is>
      </c>
      <c r="S140" s="20" t="inlineStr">
        <is>
          <t>gaming, streaming, voice chat</t>
        </is>
      </c>
      <c r="T140" s="0" t="inlineStr">
        <is>
          <t>in_stock</t>
        </is>
      </c>
      <c r="U140" s="0" t="n">
        <v>15</v>
      </c>
      <c r="V140" s="52" t="n">
        <v>256.99</v>
      </c>
      <c r="W140" s="0" t="inlineStr">
        <is>
          <t>2026-08-19</t>
        </is>
      </c>
      <c r="X140" s="0" t="inlineStr">
        <is>
          <t>N/A</t>
        </is>
      </c>
      <c r="Y140" s="0" t="inlineStr">
        <is>
          <t>N/A</t>
        </is>
      </c>
      <c r="Z140" s="0" t="inlineStr">
        <is>
          <t>N/A</t>
        </is>
      </c>
      <c r="AA140" s="0" t="inlineStr">
        <is>
          <t>N/A</t>
        </is>
      </c>
    </row>
    <row r="141" ht="15.75" customHeight="1" s="51">
      <c r="A141" s="20" t="inlineStr">
        <is>
          <t>ZEU-013-09</t>
        </is>
      </c>
      <c r="B141" s="20" t="inlineStr">
        <is>
          <t>Zeus</t>
        </is>
      </c>
      <c r="C141" s="20" t="inlineStr">
        <is>
          <t>Headphones &amp; Earbuds</t>
        </is>
      </c>
      <c r="D141" s="20" t="inlineStr">
        <is>
          <t>Earbuds</t>
        </is>
      </c>
      <c r="E141" s="21" t="inlineStr">
        <is>
          <t>Zeus Volt Max True Wireless Earbuds</t>
        </is>
      </c>
      <c r="F141" s="23" t="n">
        <v>289.99</v>
      </c>
      <c r="G141" s="20" t="inlineStr">
        <is>
          <t>the Volt Max; Zeus Volt Max; Zeuus Volt Max; Volt Max earbuds</t>
        </is>
      </c>
      <c r="H141" s="20" t="inlineStr">
        <is>
          <t>1 year limited</t>
        </is>
      </c>
      <c r="I141" s="20" t="inlineStr">
        <is>
          <t>FCC, CE, Bluetooth SIG Qualified, IPX4</t>
        </is>
      </c>
      <c r="J141" s="20" t="inlineStr">
        <is>
          <t>N/A</t>
        </is>
      </c>
      <c r="K141" s="20" t="inlineStr">
        <is>
          <t>N/A</t>
        </is>
      </c>
      <c r="L141" s="20" t="inlineStr">
        <is>
          <t>N/A</t>
        </is>
      </c>
      <c r="M141" s="20" t="inlineStr">
        <is>
          <t>N/A</t>
        </is>
      </c>
      <c r="N141" s="20" t="inlineStr">
        <is>
          <t>USB-C charging case</t>
        </is>
      </c>
      <c r="O141" s="20" t="inlineStr">
        <is>
          <t>N/A</t>
        </is>
      </c>
      <c r="P141" s="20" t="n">
        <v>10</v>
      </c>
      <c r="Q141" s="24" t="n">
        <v>7</v>
      </c>
      <c r="R141" s="20" t="inlineStr">
        <is>
          <t>Longer battery than Hebe Drift True Wireless Earbuds [HEB-011-03] (10 vs 9 hrs); Lower price than Aura Halo Ultra True Wireless Earbuds [AUR-015-08] ($289.99 vs $290.99)</t>
        </is>
      </c>
      <c r="S141" s="20" t="inlineStr">
        <is>
          <t>commute, everyday, travel</t>
        </is>
      </c>
      <c r="T141" s="0" t="inlineStr">
        <is>
          <t>in_stock</t>
        </is>
      </c>
      <c r="U141" s="0" t="n">
        <v>15</v>
      </c>
      <c r="V141" s="52" t="n">
        <v>310.99</v>
      </c>
      <c r="W141" s="0" t="inlineStr">
        <is>
          <t>2026-08-12</t>
        </is>
      </c>
      <c r="X141" s="0" t="inlineStr">
        <is>
          <t>N/A</t>
        </is>
      </c>
      <c r="Y141" s="0" t="inlineStr">
        <is>
          <t>N/A</t>
        </is>
      </c>
      <c r="Z141" s="0" t="inlineStr">
        <is>
          <t>N/A</t>
        </is>
      </c>
      <c r="AA141" s="0" t="inlineStr">
        <is>
          <t>N/A</t>
        </is>
      </c>
    </row>
    <row r="142" ht="15.75" customHeight="1" s="51">
      <c r="A142" s="20" t="inlineStr">
        <is>
          <t>ZEU-013-10</t>
        </is>
      </c>
      <c r="B142" s="20" t="inlineStr">
        <is>
          <t>Zeus</t>
        </is>
      </c>
      <c r="C142" s="20" t="inlineStr">
        <is>
          <t>Headphones &amp; Earbuds</t>
        </is>
      </c>
      <c r="D142" s="20" t="inlineStr">
        <is>
          <t>Headphones</t>
        </is>
      </c>
      <c r="E142" s="21" t="inlineStr">
        <is>
          <t>Zeus Titan Ultra Audiophile Planar Headphones</t>
        </is>
      </c>
      <c r="F142" s="23" t="n">
        <v>975.99</v>
      </c>
      <c r="G142" s="20" t="inlineStr">
        <is>
          <t>the Titan Ultra; Zeus Titan Ultra; Zues Titan Ultra; Titan Ultra headphones</t>
        </is>
      </c>
      <c r="H142" s="20" t="inlineStr">
        <is>
          <t>1 year limited</t>
        </is>
      </c>
      <c r="I142" s="20" t="inlineStr">
        <is>
          <t>CE, RoHS, Hi-Res Audio</t>
        </is>
      </c>
      <c r="J142" s="20" t="inlineStr">
        <is>
          <t>N/A</t>
        </is>
      </c>
      <c r="K142" s="20" t="inlineStr">
        <is>
          <t>N/A</t>
        </is>
      </c>
      <c r="L142" s="20" t="inlineStr">
        <is>
          <t>N/A</t>
        </is>
      </c>
      <c r="M142" s="20" t="inlineStr">
        <is>
          <t>N/A</t>
        </is>
      </c>
      <c r="N142" s="20" t="inlineStr">
        <is>
          <t>Detachable cable: 3.5mm, 6.35mm and 4.4mm balanced</t>
        </is>
      </c>
      <c r="O142" s="20" t="inlineStr">
        <is>
          <t>N/A</t>
        </is>
      </c>
      <c r="P142" s="20" t="inlineStr">
        <is>
          <t>N/A</t>
        </is>
      </c>
      <c r="Q142" s="24" t="n">
        <v>545</v>
      </c>
      <c r="R142" s="20" t="inlineStr">
        <is>
          <t>Lower price than Hedone Prism SE Audiophile Planar Headphones [HED-010-10] ($975.99 vs $1,336.99); Lighter than Achelous Axis Ultra Audiophile Planar Headphones [ACH-018-10] (545 g vs 550 g)</t>
        </is>
      </c>
      <c r="S142" s="20" t="inlineStr">
        <is>
          <t>audiophile, home listening, studio</t>
        </is>
      </c>
      <c r="T142" s="0" t="inlineStr">
        <is>
          <t>in_stock</t>
        </is>
      </c>
      <c r="U142" s="0" t="n">
        <v>15</v>
      </c>
      <c r="V142" s="52" t="n">
        <v>1100.99</v>
      </c>
      <c r="W142" s="0" t="inlineStr">
        <is>
          <t>2026-09-10</t>
        </is>
      </c>
      <c r="X142" s="0" t="inlineStr">
        <is>
          <t>N/A</t>
        </is>
      </c>
      <c r="Y142" s="0" t="inlineStr">
        <is>
          <t>N/A</t>
        </is>
      </c>
      <c r="Z142" s="0" t="inlineStr">
        <is>
          <t>N/A</t>
        </is>
      </c>
      <c r="AA142" s="0" t="inlineStr">
        <is>
          <t>N/A</t>
        </is>
      </c>
    </row>
    <row r="143" ht="15.75" customHeight="1" s="51">
      <c r="A143" s="20" t="inlineStr">
        <is>
          <t>SOT-014-01</t>
        </is>
      </c>
      <c r="B143" s="20" t="inlineStr">
        <is>
          <t>Soteria</t>
        </is>
      </c>
      <c r="C143" s="20" t="inlineStr">
        <is>
          <t>Headphones &amp; Earbuds</t>
        </is>
      </c>
      <c r="D143" s="20" t="inlineStr">
        <is>
          <t>Headphones</t>
        </is>
      </c>
      <c r="E143" s="21" t="inlineStr">
        <is>
          <t>Soteria Lumen Kids Headphones</t>
        </is>
      </c>
      <c r="F143" s="23" t="n">
        <v>55.99</v>
      </c>
      <c r="G143" s="20" t="inlineStr">
        <is>
          <t>the Lumen; Soteria Lumen; Soteri Lumen; Lumen headphones</t>
        </is>
      </c>
      <c r="H143" s="20" t="inlineStr">
        <is>
          <t>1 year limited</t>
        </is>
      </c>
      <c r="I143" s="20" t="inlineStr">
        <is>
          <t>FCC, CE, Bluetooth SIG Qualified, EN 71 Toy Safety</t>
        </is>
      </c>
      <c r="J143" s="20" t="inlineStr">
        <is>
          <t>N/A</t>
        </is>
      </c>
      <c r="K143" s="20" t="inlineStr">
        <is>
          <t>N/A</t>
        </is>
      </c>
      <c r="L143" s="20" t="inlineStr">
        <is>
          <t>N/A</t>
        </is>
      </c>
      <c r="M143" s="20" t="inlineStr">
        <is>
          <t>N/A</t>
        </is>
      </c>
      <c r="N143" s="20" t="inlineStr">
        <is>
          <t>USB-C charging, 3.5mm (85 dB limited)</t>
        </is>
      </c>
      <c r="O143" s="20" t="inlineStr">
        <is>
          <t>N/A</t>
        </is>
      </c>
      <c r="P143" s="20" t="n">
        <v>32</v>
      </c>
      <c r="Q143" s="24" t="n">
        <v>110</v>
      </c>
      <c r="R143" s="20" t="inlineStr">
        <is>
          <t>Longer battery than Carpo Apex Plus Kids Headphones [CAR-002-01] (32 vs 21 hrs); Lighter than Zeus Axis Pro Kids Headphones [ZEU-013-01] (110 g vs 112 g)</t>
        </is>
      </c>
      <c r="S143" s="20" t="inlineStr">
        <is>
          <t>kids, school, travel</t>
        </is>
      </c>
      <c r="T143" s="0" t="inlineStr">
        <is>
          <t>in_stock</t>
        </is>
      </c>
      <c r="U143" s="0" t="n">
        <v>30</v>
      </c>
      <c r="V143" s="52" t="n">
        <v>64.98999999999999</v>
      </c>
      <c r="W143" s="0" t="inlineStr">
        <is>
          <t>2026-09-25</t>
        </is>
      </c>
      <c r="X143" s="0" t="inlineStr">
        <is>
          <t>N/A</t>
        </is>
      </c>
      <c r="Y143" s="0" t="inlineStr">
        <is>
          <t>N/A</t>
        </is>
      </c>
      <c r="Z143" s="0" t="inlineStr">
        <is>
          <t>N/A</t>
        </is>
      </c>
      <c r="AA143" s="0" t="inlineStr">
        <is>
          <t>N/A</t>
        </is>
      </c>
    </row>
    <row r="144" ht="15.75" customHeight="1" s="51">
      <c r="A144" s="20" t="inlineStr">
        <is>
          <t>SOT-014-02</t>
        </is>
      </c>
      <c r="B144" s="20" t="inlineStr">
        <is>
          <t>Soteria</t>
        </is>
      </c>
      <c r="C144" s="20" t="inlineStr">
        <is>
          <t>Headphones &amp; Earbuds</t>
        </is>
      </c>
      <c r="D144" s="20" t="inlineStr">
        <is>
          <t>Headphones</t>
        </is>
      </c>
      <c r="E144" s="21" t="inlineStr">
        <is>
          <t>Soteria Rift SE On-Ear Headphones</t>
        </is>
      </c>
      <c r="F144" s="23" t="n">
        <v>64.98999999999999</v>
      </c>
      <c r="G144" s="20" t="inlineStr">
        <is>
          <t>the Rift SE; Soteria Rift SE; Sotreia Rift SE; Rift SE headphones</t>
        </is>
      </c>
      <c r="H144" s="20" t="inlineStr">
        <is>
          <t>1 year limited</t>
        </is>
      </c>
      <c r="I144" s="20" t="inlineStr">
        <is>
          <t>FCC, CE, Bluetooth SIG Qualified</t>
        </is>
      </c>
      <c r="J144" s="20" t="inlineStr">
        <is>
          <t>N/A</t>
        </is>
      </c>
      <c r="K144" s="20" t="inlineStr">
        <is>
          <t>N/A</t>
        </is>
      </c>
      <c r="L144" s="20" t="inlineStr">
        <is>
          <t>N/A</t>
        </is>
      </c>
      <c r="M144" s="20" t="inlineStr">
        <is>
          <t>N/A</t>
        </is>
      </c>
      <c r="N144" s="20" t="inlineStr">
        <is>
          <t>USB-C charging, 3.5mm</t>
        </is>
      </c>
      <c r="O144" s="20" t="inlineStr">
        <is>
          <t>N/A</t>
        </is>
      </c>
      <c r="P144" s="20" t="n">
        <v>45</v>
      </c>
      <c r="Q144" s="24" t="n">
        <v>177</v>
      </c>
      <c r="R144" s="20" t="inlineStr">
        <is>
          <t>Lighter than Carpo Nova On-Ear Headphones [CAR-002-02] (177 g vs 189 g); Longer battery than Tartarus Core X On-Ear Headphones [TAR-017-05] (45 vs 30 hrs)</t>
        </is>
      </c>
      <c r="S144" s="20" t="inlineStr">
        <is>
          <t>everyday, commute, school</t>
        </is>
      </c>
      <c r="T144" s="0" t="inlineStr">
        <is>
          <t>in_stock</t>
        </is>
      </c>
      <c r="U144" s="0" t="n">
        <v>30</v>
      </c>
      <c r="V144" s="52" t="n">
        <v>67.98999999999999</v>
      </c>
      <c r="W144" s="0" t="inlineStr">
        <is>
          <t>2026-08-01</t>
        </is>
      </c>
      <c r="X144" s="0" t="inlineStr">
        <is>
          <t>N/A</t>
        </is>
      </c>
      <c r="Y144" s="0" t="inlineStr">
        <is>
          <t>N/A</t>
        </is>
      </c>
      <c r="Z144" s="0" t="inlineStr">
        <is>
          <t>N/A</t>
        </is>
      </c>
      <c r="AA144" s="0" t="inlineStr">
        <is>
          <t>N/A</t>
        </is>
      </c>
    </row>
    <row r="145" ht="15.75" customHeight="1" s="51">
      <c r="A145" s="20" t="inlineStr">
        <is>
          <t>SOT-014-03</t>
        </is>
      </c>
      <c r="B145" s="20" t="inlineStr">
        <is>
          <t>Soteria</t>
        </is>
      </c>
      <c r="C145" s="20" t="inlineStr">
        <is>
          <t>Headphones &amp; Earbuds</t>
        </is>
      </c>
      <c r="D145" s="20" t="inlineStr">
        <is>
          <t>Earbuds</t>
        </is>
      </c>
      <c r="E145" s="21" t="inlineStr">
        <is>
          <t>Soteria Strata Ultra Sport Earbuds</t>
        </is>
      </c>
      <c r="F145" s="23" t="n">
        <v>72.98999999999999</v>
      </c>
      <c r="G145" s="20" t="inlineStr">
        <is>
          <t>the Strata Ultra; Soteria Strata Ultra; Stoeria Strata Ultra; Strata Ultra earbuds</t>
        </is>
      </c>
      <c r="H145" s="20" t="inlineStr">
        <is>
          <t>1 year limited</t>
        </is>
      </c>
      <c r="I145" s="20" t="inlineStr">
        <is>
          <t>FCC, CE, Bluetooth SIG Qualified, IP55</t>
        </is>
      </c>
      <c r="J145" s="20" t="inlineStr">
        <is>
          <t>N/A</t>
        </is>
      </c>
      <c r="K145" s="20" t="inlineStr">
        <is>
          <t>N/A</t>
        </is>
      </c>
      <c r="L145" s="20" t="inlineStr">
        <is>
          <t>N/A</t>
        </is>
      </c>
      <c r="M145" s="20" t="inlineStr">
        <is>
          <t>N/A</t>
        </is>
      </c>
      <c r="N145" s="20" t="inlineStr">
        <is>
          <t>USB-C charging case</t>
        </is>
      </c>
      <c r="O145" s="20" t="inlineStr">
        <is>
          <t>N/A</t>
        </is>
      </c>
      <c r="P145" s="20" t="n">
        <v>8</v>
      </c>
      <c r="Q145" s="24" t="n">
        <v>8</v>
      </c>
      <c r="R145" s="20" t="inlineStr">
        <is>
          <t>Lighter than Asteria Core Sport Earbuds [AST-006-02] (8 g vs 9 g); Lower price than Chaos Flux SE Sport Earbuds [CHA-016-05] ($72.99 vs $163.99)</t>
        </is>
      </c>
      <c r="S145" s="20" t="inlineStr">
        <is>
          <t>gym, running, sport</t>
        </is>
      </c>
      <c r="T145" s="0" t="inlineStr">
        <is>
          <t>in_stock</t>
        </is>
      </c>
      <c r="U145" s="0" t="n">
        <v>30</v>
      </c>
      <c r="V145" s="52" t="n">
        <v>77.98999999999999</v>
      </c>
      <c r="W145" s="0" t="inlineStr">
        <is>
          <t>2026-09-17</t>
        </is>
      </c>
      <c r="X145" s="0" t="inlineStr">
        <is>
          <t>N/A</t>
        </is>
      </c>
      <c r="Y145" s="0" t="inlineStr">
        <is>
          <t>N/A</t>
        </is>
      </c>
      <c r="Z145" s="0" t="inlineStr">
        <is>
          <t>N/A</t>
        </is>
      </c>
      <c r="AA145" s="0" t="inlineStr">
        <is>
          <t>N/A</t>
        </is>
      </c>
    </row>
    <row r="146" ht="15.75" customHeight="1" s="51">
      <c r="A146" s="20" t="inlineStr">
        <is>
          <t>SOT-014-04</t>
        </is>
      </c>
      <c r="B146" s="20" t="inlineStr">
        <is>
          <t>Soteria</t>
        </is>
      </c>
      <c r="C146" s="20" t="inlineStr">
        <is>
          <t>Headphones &amp; Earbuds</t>
        </is>
      </c>
      <c r="D146" s="20" t="inlineStr">
        <is>
          <t>Earbuds</t>
        </is>
      </c>
      <c r="E146" s="21" t="inlineStr">
        <is>
          <t>Soteria Crest Air Wired In-Ear Monitors</t>
        </is>
      </c>
      <c r="F146" s="23" t="n">
        <v>79.98999999999999</v>
      </c>
      <c r="G146" s="20" t="inlineStr">
        <is>
          <t>the Crest Air; Soteria Crest Air; Soterria Crest Air; Crest Air earbuds</t>
        </is>
      </c>
      <c r="H146" s="20" t="inlineStr">
        <is>
          <t>1 year limited</t>
        </is>
      </c>
      <c r="I146" s="20" t="inlineStr">
        <is>
          <t>CE, RoHS, Hi-Res Audio</t>
        </is>
      </c>
      <c r="J146" s="20" t="inlineStr">
        <is>
          <t>N/A</t>
        </is>
      </c>
      <c r="K146" s="20" t="inlineStr">
        <is>
          <t>N/A</t>
        </is>
      </c>
      <c r="L146" s="20" t="inlineStr">
        <is>
          <t>N/A</t>
        </is>
      </c>
      <c r="M146" s="20" t="inlineStr">
        <is>
          <t>N/A</t>
        </is>
      </c>
      <c r="N146" s="20" t="inlineStr">
        <is>
          <t>Detachable 2-pin cable: 3.5mm</t>
        </is>
      </c>
      <c r="O146" s="20" t="inlineStr">
        <is>
          <t>N/A</t>
        </is>
      </c>
      <c r="P146" s="20" t="inlineStr">
        <is>
          <t>N/A</t>
        </is>
      </c>
      <c r="Q146" s="24" t="n">
        <v>28</v>
      </c>
      <c r="R146" s="20" t="inlineStr">
        <is>
          <t>Lighter than Achelous Apex X Wired In-Ear Monitors [ACH-018-06] (28 g vs 32 g); Lower price than Euphrosyne Axis Lite Wired In-Ear Monitors [EUP-019-04] ($79.99 vs $163.99)</t>
        </is>
      </c>
      <c r="S146" s="20" t="inlineStr">
        <is>
          <t>audiophile, stage monitoring, music</t>
        </is>
      </c>
      <c r="T146" s="0" t="inlineStr">
        <is>
          <t>in_stock</t>
        </is>
      </c>
      <c r="U146" s="0" t="n">
        <v>30</v>
      </c>
      <c r="V146" s="52" t="n">
        <v>84.98999999999999</v>
      </c>
      <c r="W146" s="0" t="inlineStr">
        <is>
          <t>2026-09-19</t>
        </is>
      </c>
      <c r="X146" s="0" t="inlineStr">
        <is>
          <t>N/A</t>
        </is>
      </c>
      <c r="Y146" s="0" t="inlineStr">
        <is>
          <t>N/A</t>
        </is>
      </c>
      <c r="Z146" s="0" t="inlineStr">
        <is>
          <t>N/A</t>
        </is>
      </c>
      <c r="AA146" s="0" t="inlineStr">
        <is>
          <t>N/A</t>
        </is>
      </c>
    </row>
    <row r="147" ht="15.75" customHeight="1" s="51">
      <c r="A147" s="20" t="inlineStr">
        <is>
          <t>SOT-014-05</t>
        </is>
      </c>
      <c r="B147" s="20" t="inlineStr">
        <is>
          <t>Soteria</t>
        </is>
      </c>
      <c r="C147" s="20" t="inlineStr">
        <is>
          <t>Headphones &amp; Earbuds</t>
        </is>
      </c>
      <c r="D147" s="20" t="inlineStr">
        <is>
          <t>Headphones</t>
        </is>
      </c>
      <c r="E147" s="21" t="inlineStr">
        <is>
          <t>Soteria Zen SE Bone Conduction Headphones</t>
        </is>
      </c>
      <c r="F147" s="23" t="n">
        <v>127.99</v>
      </c>
      <c r="G147" s="20" t="inlineStr">
        <is>
          <t>the Zen SE; Soteria Zen SE; Soteri Zen SE; Zen SE headphones</t>
        </is>
      </c>
      <c r="H147" s="20" t="inlineStr">
        <is>
          <t>1 year limited</t>
        </is>
      </c>
      <c r="I147" s="20" t="inlineStr">
        <is>
          <t>FCC, CE, Bluetooth SIG Qualified, IP67</t>
        </is>
      </c>
      <c r="J147" s="20" t="inlineStr">
        <is>
          <t>N/A</t>
        </is>
      </c>
      <c r="K147" s="20" t="inlineStr">
        <is>
          <t>N/A</t>
        </is>
      </c>
      <c r="L147" s="20" t="inlineStr">
        <is>
          <t>N/A</t>
        </is>
      </c>
      <c r="M147" s="20" t="inlineStr">
        <is>
          <t>N/A</t>
        </is>
      </c>
      <c r="N147" s="20" t="inlineStr">
        <is>
          <t>Magnetic USB charging</t>
        </is>
      </c>
      <c r="O147" s="20" t="inlineStr">
        <is>
          <t>N/A</t>
        </is>
      </c>
      <c r="P147" s="20" t="n">
        <v>8</v>
      </c>
      <c r="Q147" s="24" t="n">
        <v>34</v>
      </c>
      <c r="R147" s="20" t="inlineStr">
        <is>
          <t>Lower price than Aura Core Plus Bone Conduction Headphones [AUR-015-05] ($127.99 vs $167.99); Lighter than Tartarus Volt Max Bone Conduction Headphones [TAR-017-03] (34 g vs 35 g)</t>
        </is>
      </c>
      <c r="S147" s="20" t="inlineStr">
        <is>
          <t>running, cycling, outdoor</t>
        </is>
      </c>
      <c r="T147" s="0" t="inlineStr">
        <is>
          <t>in_stock</t>
        </is>
      </c>
      <c r="U147" s="0" t="n">
        <v>30</v>
      </c>
      <c r="V147" s="52" t="n">
        <v>142.99</v>
      </c>
      <c r="W147" s="0" t="inlineStr">
        <is>
          <t>2026-09-22</t>
        </is>
      </c>
      <c r="X147" s="0" t="inlineStr">
        <is>
          <t>N/A</t>
        </is>
      </c>
      <c r="Y147" s="0" t="inlineStr">
        <is>
          <t>N/A</t>
        </is>
      </c>
      <c r="Z147" s="0" t="inlineStr">
        <is>
          <t>N/A</t>
        </is>
      </c>
      <c r="AA147" s="0" t="inlineStr">
        <is>
          <t>N/A</t>
        </is>
      </c>
    </row>
    <row r="148" ht="15.75" customHeight="1" s="51">
      <c r="A148" s="20" t="inlineStr">
        <is>
          <t>SOT-014-06</t>
        </is>
      </c>
      <c r="B148" s="20" t="inlineStr">
        <is>
          <t>Soteria</t>
        </is>
      </c>
      <c r="C148" s="20" t="inlineStr">
        <is>
          <t>Headphones &amp; Earbuds</t>
        </is>
      </c>
      <c r="D148" s="20" t="inlineStr">
        <is>
          <t>Earbuds</t>
        </is>
      </c>
      <c r="E148" s="21" t="inlineStr">
        <is>
          <t>Soteria Echo Max Sleep Earbuds</t>
        </is>
      </c>
      <c r="F148" s="23" t="n">
        <v>144.99</v>
      </c>
      <c r="G148" s="20" t="inlineStr">
        <is>
          <t>the Echo Max; Soteria Echo Max; Sotreia Echo Max; Echo Max earbuds</t>
        </is>
      </c>
      <c r="H148" s="20" t="inlineStr">
        <is>
          <t>1 year limited</t>
        </is>
      </c>
      <c r="I148" s="20" t="inlineStr">
        <is>
          <t>FCC, CE, Bluetooth SIG Qualified</t>
        </is>
      </c>
      <c r="J148" s="20" t="inlineStr">
        <is>
          <t>N/A</t>
        </is>
      </c>
      <c r="K148" s="20" t="inlineStr">
        <is>
          <t>N/A</t>
        </is>
      </c>
      <c r="L148" s="20" t="inlineStr">
        <is>
          <t>N/A</t>
        </is>
      </c>
      <c r="M148" s="20" t="inlineStr">
        <is>
          <t>N/A</t>
        </is>
      </c>
      <c r="N148" s="20" t="inlineStr">
        <is>
          <t>USB-C charging case</t>
        </is>
      </c>
      <c r="O148" s="20" t="inlineStr">
        <is>
          <t>N/A</t>
        </is>
      </c>
      <c r="P148" s="20" t="n">
        <v>8</v>
      </c>
      <c r="Q148" s="24" t="n">
        <v>4</v>
      </c>
      <c r="R148" s="20" t="inlineStr">
        <is>
          <t>Lower price than Euphrosyne Flux Pro Sleep Earbuds [EUP-019-05] ($144.99 vs $170.99)</t>
        </is>
      </c>
      <c r="S148" s="20" t="inlineStr">
        <is>
          <t>sleep, travel, relaxation</t>
        </is>
      </c>
      <c r="T148" s="0" t="inlineStr">
        <is>
          <t>in_stock</t>
        </is>
      </c>
      <c r="U148" s="0" t="n">
        <v>30</v>
      </c>
      <c r="V148" s="52" t="n">
        <v>158.99</v>
      </c>
      <c r="W148" s="0" t="inlineStr">
        <is>
          <t>2026-08-31</t>
        </is>
      </c>
      <c r="X148" s="0" t="inlineStr">
        <is>
          <t>N/A</t>
        </is>
      </c>
      <c r="Y148" s="0" t="inlineStr">
        <is>
          <t>N/A</t>
        </is>
      </c>
      <c r="Z148" s="0" t="inlineStr">
        <is>
          <t>N/A</t>
        </is>
      </c>
      <c r="AA148" s="0" t="inlineStr">
        <is>
          <t>N/A</t>
        </is>
      </c>
    </row>
    <row r="149" ht="15.75" customHeight="1" s="51">
      <c r="A149" s="20" t="inlineStr">
        <is>
          <t>SOT-014-07</t>
        </is>
      </c>
      <c r="B149" s="20" t="inlineStr">
        <is>
          <t>Soteria</t>
        </is>
      </c>
      <c r="C149" s="20" t="inlineStr">
        <is>
          <t>Headphones &amp; Earbuds</t>
        </is>
      </c>
      <c r="D149" s="20" t="inlineStr">
        <is>
          <t>Earbuds</t>
        </is>
      </c>
      <c r="E149" s="21" t="inlineStr">
        <is>
          <t>Soteria Zen Plus True Wireless Earbuds</t>
        </is>
      </c>
      <c r="F149" s="23" t="n">
        <v>164.99</v>
      </c>
      <c r="G149" s="20" t="inlineStr">
        <is>
          <t>the Zen Plus; Soteria Zen Plus; Soterria Zen Plus; Zen Plus earbuds</t>
        </is>
      </c>
      <c r="H149" s="20" t="inlineStr">
        <is>
          <t>1 year limited</t>
        </is>
      </c>
      <c r="I149" s="20" t="inlineStr">
        <is>
          <t>FCC, CE, Bluetooth SIG Qualified, Hi-Res Audio Wireless</t>
        </is>
      </c>
      <c r="J149" s="20" t="inlineStr">
        <is>
          <t>N/A</t>
        </is>
      </c>
      <c r="K149" s="20" t="inlineStr">
        <is>
          <t>N/A</t>
        </is>
      </c>
      <c r="L149" s="20" t="inlineStr">
        <is>
          <t>N/A</t>
        </is>
      </c>
      <c r="M149" s="20" t="inlineStr">
        <is>
          <t>N/A</t>
        </is>
      </c>
      <c r="N149" s="20" t="inlineStr">
        <is>
          <t>USB-C charging case</t>
        </is>
      </c>
      <c r="O149" s="20" t="inlineStr">
        <is>
          <t>N/A</t>
        </is>
      </c>
      <c r="P149" s="20" t="n">
        <v>9</v>
      </c>
      <c r="Q149" s="24" t="n">
        <v>4</v>
      </c>
      <c r="R149" s="20" t="inlineStr">
        <is>
          <t>Lighter than Zeus Volt Max True Wireless Earbuds [ZEU-013-09] (4 g vs 7 g); Longer battery than Hesperus Halo Pro True Wireless Earbuds [HES-025-07] (9 vs 5 hrs)</t>
        </is>
      </c>
      <c r="S149" s="20" t="inlineStr">
        <is>
          <t>commute, everyday, travel</t>
        </is>
      </c>
      <c r="T149" s="0" t="inlineStr">
        <is>
          <t>in_stock</t>
        </is>
      </c>
      <c r="U149" s="0" t="n">
        <v>30</v>
      </c>
      <c r="V149" s="52" t="n">
        <v>176.99</v>
      </c>
      <c r="W149" s="0" t="inlineStr">
        <is>
          <t>2026-08-08</t>
        </is>
      </c>
      <c r="X149" s="0" t="inlineStr">
        <is>
          <t>N/A</t>
        </is>
      </c>
      <c r="Y149" s="0" t="inlineStr">
        <is>
          <t>N/A</t>
        </is>
      </c>
      <c r="Z149" s="0" t="inlineStr">
        <is>
          <t>N/A</t>
        </is>
      </c>
      <c r="AA149" s="0" t="inlineStr">
        <is>
          <t>N/A</t>
        </is>
      </c>
    </row>
    <row r="150" ht="15.75" customHeight="1" s="51">
      <c r="A150" s="20" t="inlineStr">
        <is>
          <t>SOT-014-08</t>
        </is>
      </c>
      <c r="B150" s="20" t="inlineStr">
        <is>
          <t>Soteria</t>
        </is>
      </c>
      <c r="C150" s="20" t="inlineStr">
        <is>
          <t>Headphones &amp; Earbuds</t>
        </is>
      </c>
      <c r="D150" s="20" t="inlineStr">
        <is>
          <t>Headphones</t>
        </is>
      </c>
      <c r="E150" s="21" t="inlineStr">
        <is>
          <t>Soteria Drift SE ANC Over-Ear Headphones</t>
        </is>
      </c>
      <c r="F150" s="23" t="n">
        <v>190.99</v>
      </c>
      <c r="G150" s="20" t="inlineStr">
        <is>
          <t>the Drift SE; Soteria Drift SE; Soetria Drift SE; Drift SE headphones</t>
        </is>
      </c>
      <c r="H150" s="20" t="inlineStr">
        <is>
          <t>1 year limited</t>
        </is>
      </c>
      <c r="I150" s="20" t="inlineStr">
        <is>
          <t>FCC, CE, Bluetooth SIG Qualified</t>
        </is>
      </c>
      <c r="J150" s="20" t="inlineStr">
        <is>
          <t>N/A</t>
        </is>
      </c>
      <c r="K150" s="20" t="inlineStr">
        <is>
          <t>N/A</t>
        </is>
      </c>
      <c r="L150" s="20" t="inlineStr">
        <is>
          <t>N/A</t>
        </is>
      </c>
      <c r="M150" s="20" t="inlineStr">
        <is>
          <t>N/A</t>
        </is>
      </c>
      <c r="N150" s="20" t="inlineStr">
        <is>
          <t>USB-C charging and audio, 3.5mm</t>
        </is>
      </c>
      <c r="O150" s="20" t="inlineStr">
        <is>
          <t>N/A</t>
        </is>
      </c>
      <c r="P150" s="20" t="n">
        <v>21</v>
      </c>
      <c r="Q150" s="24" t="n">
        <v>239</v>
      </c>
      <c r="R150" s="20" t="inlineStr">
        <is>
          <t>Lower price than Euphrosyne Orbit X ANC Over-Ear Headphones [EUP-019-10] ($190.99 vs $537.99); Lighter than Asteria Aeon Air ANC Over-Ear Headphones [AST-006-07] (239 g vs 265 g)</t>
        </is>
      </c>
      <c r="S150" s="20" t="inlineStr">
        <is>
          <t>travel, commute, office</t>
        </is>
      </c>
      <c r="T150" s="0" t="inlineStr">
        <is>
          <t>in_stock</t>
        </is>
      </c>
      <c r="U150" s="0" t="n">
        <v>30</v>
      </c>
      <c r="V150" s="52" t="n">
        <v>203.99</v>
      </c>
      <c r="W150" s="0" t="inlineStr">
        <is>
          <t>2026-09-15</t>
        </is>
      </c>
      <c r="X150" s="0" t="inlineStr">
        <is>
          <t>N/A</t>
        </is>
      </c>
      <c r="Y150" s="0" t="inlineStr">
        <is>
          <t>N/A</t>
        </is>
      </c>
      <c r="Z150" s="0" t="inlineStr">
        <is>
          <t>N/A</t>
        </is>
      </c>
      <c r="AA150" s="0" t="inlineStr">
        <is>
          <t>N/A</t>
        </is>
      </c>
    </row>
    <row r="151" ht="15.75" customHeight="1" s="51">
      <c r="A151" s="20" t="inlineStr">
        <is>
          <t>SOT-014-09</t>
        </is>
      </c>
      <c r="B151" s="20" t="inlineStr">
        <is>
          <t>Soteria</t>
        </is>
      </c>
      <c r="C151" s="20" t="inlineStr">
        <is>
          <t>Headphones &amp; Earbuds</t>
        </is>
      </c>
      <c r="D151" s="20" t="inlineStr">
        <is>
          <t>Headphones</t>
        </is>
      </c>
      <c r="E151" s="21" t="inlineStr">
        <is>
          <t>Soteria Zen Pro Studio Monitor Headphones</t>
        </is>
      </c>
      <c r="F151" s="23" t="n">
        <v>292.99</v>
      </c>
      <c r="G151" s="20" t="inlineStr">
        <is>
          <t>the Zen Pro; Soteria Zen Pro; Sotreia Zen Pro; Zen Pro headphones</t>
        </is>
      </c>
      <c r="H151" s="20" t="inlineStr">
        <is>
          <t>1 year limited</t>
        </is>
      </c>
      <c r="I151" s="20" t="inlineStr">
        <is>
          <t>CE, RoHS, Hi-Res Audio</t>
        </is>
      </c>
      <c r="J151" s="20" t="inlineStr">
        <is>
          <t>N/A</t>
        </is>
      </c>
      <c r="K151" s="20" t="inlineStr">
        <is>
          <t>N/A</t>
        </is>
      </c>
      <c r="L151" s="20" t="inlineStr">
        <is>
          <t>N/A</t>
        </is>
      </c>
      <c r="M151" s="20" t="inlineStr">
        <is>
          <t>N/A</t>
        </is>
      </c>
      <c r="N151" s="20" t="inlineStr">
        <is>
          <t>Detachable cable: 3.5mm with 6.35mm adapter</t>
        </is>
      </c>
      <c r="O151" s="20" t="inlineStr">
        <is>
          <t>N/A</t>
        </is>
      </c>
      <c r="P151" s="20" t="inlineStr">
        <is>
          <t>N/A</t>
        </is>
      </c>
      <c r="Q151" s="24" t="n">
        <v>350</v>
      </c>
      <c r="R151" s="20" t="inlineStr">
        <is>
          <t>Lower price than Doris Rift Air Studio Monitor Headphones [DOR-004-09] ($292.99 vs $355.99); Lighter than Tethys Blaze Ultra Studio Monitor Headphones [TET-007-08] (350 g vs 355 g)</t>
        </is>
      </c>
      <c r="S151" s="20" t="inlineStr">
        <is>
          <t>music production, studio, podcasting</t>
        </is>
      </c>
      <c r="T151" s="0" t="inlineStr">
        <is>
          <t>in_stock</t>
        </is>
      </c>
      <c r="U151" s="0" t="n">
        <v>30</v>
      </c>
      <c r="V151" s="52" t="n">
        <v>319.99</v>
      </c>
      <c r="W151" s="0" t="inlineStr">
        <is>
          <t>2026-09-17</t>
        </is>
      </c>
      <c r="X151" s="0" t="inlineStr">
        <is>
          <t>N/A</t>
        </is>
      </c>
      <c r="Y151" s="0" t="inlineStr">
        <is>
          <t>N/A</t>
        </is>
      </c>
      <c r="Z151" s="0" t="inlineStr">
        <is>
          <t>N/A</t>
        </is>
      </c>
      <c r="AA151" s="0" t="inlineStr">
        <is>
          <t>N/A</t>
        </is>
      </c>
    </row>
    <row r="152" ht="15.75" customHeight="1" s="51">
      <c r="A152" s="20" t="inlineStr">
        <is>
          <t>SOT-014-10</t>
        </is>
      </c>
      <c r="B152" s="20" t="inlineStr">
        <is>
          <t>Soteria</t>
        </is>
      </c>
      <c r="C152" s="20" t="inlineStr">
        <is>
          <t>Headphones &amp; Earbuds</t>
        </is>
      </c>
      <c r="D152" s="20" t="inlineStr">
        <is>
          <t>Headphones</t>
        </is>
      </c>
      <c r="E152" s="21" t="inlineStr">
        <is>
          <t>Soteria Aria Ultra Audiophile Planar Headphones</t>
        </is>
      </c>
      <c r="F152" s="23" t="n">
        <v>636.99</v>
      </c>
      <c r="G152" s="20" t="inlineStr">
        <is>
          <t>the Aria Ultra; Soteria Aria Ultra; Sotteria Aria Ultra; Aria Ultra headphones</t>
        </is>
      </c>
      <c r="H152" s="20" t="inlineStr">
        <is>
          <t>1 year limited</t>
        </is>
      </c>
      <c r="I152" s="20" t="inlineStr">
        <is>
          <t>CE, RoHS, Hi-Res Audio</t>
        </is>
      </c>
      <c r="J152" s="20" t="inlineStr">
        <is>
          <t>N/A</t>
        </is>
      </c>
      <c r="K152" s="20" t="inlineStr">
        <is>
          <t>N/A</t>
        </is>
      </c>
      <c r="L152" s="20" t="inlineStr">
        <is>
          <t>N/A</t>
        </is>
      </c>
      <c r="M152" s="20" t="inlineStr">
        <is>
          <t>N/A</t>
        </is>
      </c>
      <c r="N152" s="20" t="inlineStr">
        <is>
          <t>Detachable cable: 3.5mm, 6.35mm and 4.4mm balanced</t>
        </is>
      </c>
      <c r="O152" s="20" t="inlineStr">
        <is>
          <t>N/A</t>
        </is>
      </c>
      <c r="P152" s="20" t="inlineStr">
        <is>
          <t>N/A</t>
        </is>
      </c>
      <c r="Q152" s="24" t="n">
        <v>384</v>
      </c>
      <c r="R152" s="20" t="inlineStr">
        <is>
          <t>Lighter than Clio Onyx Max Audiophile Planar Headphones [CLI-022-08] (384 g vs 456 g); Lower price than Zeus Titan Ultra Audiophile Planar Headphones [ZEU-013-10] ($636.99 vs $975.99)</t>
        </is>
      </c>
      <c r="S152" s="20" t="inlineStr">
        <is>
          <t>audiophile, home listening, studio</t>
        </is>
      </c>
      <c r="T152" s="0" t="inlineStr">
        <is>
          <t>in_stock</t>
        </is>
      </c>
      <c r="U152" s="0" t="n">
        <v>30</v>
      </c>
      <c r="V152" s="52" t="n">
        <v>687.99</v>
      </c>
      <c r="W152" s="0" t="inlineStr">
        <is>
          <t>2026-08-22</t>
        </is>
      </c>
      <c r="X152" s="0" t="inlineStr">
        <is>
          <t>N/A</t>
        </is>
      </c>
      <c r="Y152" s="0" t="inlineStr">
        <is>
          <t>N/A</t>
        </is>
      </c>
      <c r="Z152" s="0" t="inlineStr">
        <is>
          <t>N/A</t>
        </is>
      </c>
      <c r="AA152" s="0" t="inlineStr">
        <is>
          <t>N/A</t>
        </is>
      </c>
    </row>
    <row r="153" ht="15.75" customHeight="1" s="51">
      <c r="A153" s="20" t="inlineStr">
        <is>
          <t>AUR-015-01</t>
        </is>
      </c>
      <c r="B153" s="20" t="inlineStr">
        <is>
          <t>Aura</t>
        </is>
      </c>
      <c r="C153" s="20" t="inlineStr">
        <is>
          <t>Headphones &amp; Earbuds</t>
        </is>
      </c>
      <c r="D153" s="20" t="inlineStr">
        <is>
          <t>Headphones</t>
        </is>
      </c>
      <c r="E153" s="21" t="inlineStr">
        <is>
          <t>Aura Onyx Lite Kids Headphones</t>
        </is>
      </c>
      <c r="F153" s="23" t="n">
        <v>25.99</v>
      </c>
      <c r="G153" s="20" t="inlineStr">
        <is>
          <t>the Onyx Lite; Aura Onyx Lite; Auraa Onyx Lite; Onyx Lite headphones</t>
        </is>
      </c>
      <c r="H153" s="20" t="inlineStr">
        <is>
          <t>1 year limited</t>
        </is>
      </c>
      <c r="I153" s="20" t="inlineStr">
        <is>
          <t>FCC, CE, Bluetooth SIG Qualified, EN 71 Toy Safety</t>
        </is>
      </c>
      <c r="J153" s="20" t="inlineStr">
        <is>
          <t>N/A</t>
        </is>
      </c>
      <c r="K153" s="20" t="inlineStr">
        <is>
          <t>N/A</t>
        </is>
      </c>
      <c r="L153" s="20" t="inlineStr">
        <is>
          <t>N/A</t>
        </is>
      </c>
      <c r="M153" s="20" t="inlineStr">
        <is>
          <t>N/A</t>
        </is>
      </c>
      <c r="N153" s="20" t="inlineStr">
        <is>
          <t>USB-C charging, 3.5mm (85 dB limited)</t>
        </is>
      </c>
      <c r="O153" s="20" t="inlineStr">
        <is>
          <t>N/A</t>
        </is>
      </c>
      <c r="P153" s="20" t="n">
        <v>23</v>
      </c>
      <c r="Q153" s="24" t="n">
        <v>156</v>
      </c>
      <c r="R153" s="20" t="inlineStr">
        <is>
          <t>Lower price than Carpo Apex Plus Kids Headphones [CAR-002-01] ($25.99 vs $43.99); Longer battery than Himeros Volt SE Kids Headphones [HIM-003-01] (23 vs 22 hrs)</t>
        </is>
      </c>
      <c r="S153" s="20" t="inlineStr">
        <is>
          <t>kids, school, travel</t>
        </is>
      </c>
      <c r="T153" s="0" t="inlineStr">
        <is>
          <t>in_stock</t>
        </is>
      </c>
      <c r="U153" s="0" t="n">
        <v>60</v>
      </c>
      <c r="V153" s="52" t="n">
        <v>28.99</v>
      </c>
      <c r="W153" s="0" t="inlineStr">
        <is>
          <t>2026-08-16</t>
        </is>
      </c>
      <c r="X153" s="0" t="inlineStr">
        <is>
          <t>N/A</t>
        </is>
      </c>
      <c r="Y153" s="0" t="inlineStr">
        <is>
          <t>N/A</t>
        </is>
      </c>
      <c r="Z153" s="0" t="inlineStr">
        <is>
          <t>N/A</t>
        </is>
      </c>
      <c r="AA153" s="0" t="inlineStr">
        <is>
          <t>N/A</t>
        </is>
      </c>
    </row>
    <row r="154" ht="15.75" customHeight="1" s="51">
      <c r="A154" s="20" t="inlineStr">
        <is>
          <t>AUR-015-02</t>
        </is>
      </c>
      <c r="B154" s="20" t="inlineStr">
        <is>
          <t>Aura</t>
        </is>
      </c>
      <c r="C154" s="20" t="inlineStr">
        <is>
          <t>Headphones &amp; Earbuds</t>
        </is>
      </c>
      <c r="D154" s="20" t="inlineStr">
        <is>
          <t>Earbuds</t>
        </is>
      </c>
      <c r="E154" s="21" t="inlineStr">
        <is>
          <t>Aura Crest Lite Sleep Earbuds</t>
        </is>
      </c>
      <c r="F154" s="23" t="n">
        <v>103.99</v>
      </c>
      <c r="G154" s="20" t="inlineStr">
        <is>
          <t>the Crest Lite; Aura Crest Lite; Aurra Crest Lite; Crest Lite earbuds</t>
        </is>
      </c>
      <c r="H154" s="20" t="inlineStr">
        <is>
          <t>1 year limited</t>
        </is>
      </c>
      <c r="I154" s="20" t="inlineStr">
        <is>
          <t>FCC, CE, Bluetooth SIG Qualified</t>
        </is>
      </c>
      <c r="J154" s="20" t="inlineStr">
        <is>
          <t>N/A</t>
        </is>
      </c>
      <c r="K154" s="20" t="inlineStr">
        <is>
          <t>N/A</t>
        </is>
      </c>
      <c r="L154" s="20" t="inlineStr">
        <is>
          <t>N/A</t>
        </is>
      </c>
      <c r="M154" s="20" t="inlineStr">
        <is>
          <t>N/A</t>
        </is>
      </c>
      <c r="N154" s="20" t="inlineStr">
        <is>
          <t>USB-C charging case</t>
        </is>
      </c>
      <c r="O154" s="20" t="inlineStr">
        <is>
          <t>N/A</t>
        </is>
      </c>
      <c r="P154" s="20" t="n">
        <v>9</v>
      </c>
      <c r="Q154" s="24" t="n">
        <v>3</v>
      </c>
      <c r="R154" s="20" t="inlineStr">
        <is>
          <t>Lower price than Soteria Echo Max Sleep Earbuds [SOT-014-06] ($103.99 vs $144.99); Lighter than Tartarus Vertex X Sleep Earbuds [TAR-017-06] (3 g vs 4 g)</t>
        </is>
      </c>
      <c r="S154" s="20" t="inlineStr">
        <is>
          <t>sleep, travel, relaxation</t>
        </is>
      </c>
      <c r="T154" s="0" t="inlineStr">
        <is>
          <t>in_stock</t>
        </is>
      </c>
      <c r="U154" s="0" t="n">
        <v>60</v>
      </c>
      <c r="V154" s="52" t="n">
        <v>111.99</v>
      </c>
      <c r="W154" s="0" t="inlineStr">
        <is>
          <t>2026-08-22</t>
        </is>
      </c>
      <c r="X154" s="0" t="inlineStr">
        <is>
          <t>N/A</t>
        </is>
      </c>
      <c r="Y154" s="0" t="inlineStr">
        <is>
          <t>N/A</t>
        </is>
      </c>
      <c r="Z154" s="0" t="inlineStr">
        <is>
          <t>N/A</t>
        </is>
      </c>
      <c r="AA154" s="0" t="inlineStr">
        <is>
          <t>N/A</t>
        </is>
      </c>
    </row>
    <row r="155" ht="15.75" customHeight="1" s="51">
      <c r="A155" s="20" t="inlineStr">
        <is>
          <t>AUR-015-03</t>
        </is>
      </c>
      <c r="B155" s="20" t="inlineStr">
        <is>
          <t>Aura</t>
        </is>
      </c>
      <c r="C155" s="20" t="inlineStr">
        <is>
          <t>Headphones &amp; Earbuds</t>
        </is>
      </c>
      <c r="D155" s="20" t="inlineStr">
        <is>
          <t>Headset</t>
        </is>
      </c>
      <c r="E155" s="21" t="inlineStr">
        <is>
          <t>Aura Crest X Gaming Headset</t>
        </is>
      </c>
      <c r="F155" s="23" t="n">
        <v>133.99</v>
      </c>
      <c r="G155" s="20" t="inlineStr">
        <is>
          <t>the Crest X; Aura Crest X; Arua Crest X; Crest X headset</t>
        </is>
      </c>
      <c r="H155" s="20" t="inlineStr">
        <is>
          <t>1 year limited</t>
        </is>
      </c>
      <c r="I155" s="20" t="inlineStr">
        <is>
          <t>FCC, CE, Bluetooth SIG Qualified</t>
        </is>
      </c>
      <c r="J155" s="20" t="inlineStr">
        <is>
          <t>N/A</t>
        </is>
      </c>
      <c r="K155" s="20" t="inlineStr">
        <is>
          <t>N/A</t>
        </is>
      </c>
      <c r="L155" s="20" t="inlineStr">
        <is>
          <t>N/A</t>
        </is>
      </c>
      <c r="M155" s="20" t="inlineStr">
        <is>
          <t>N/A</t>
        </is>
      </c>
      <c r="N155" s="20" t="inlineStr">
        <is>
          <t>USB-C, 3.5mm, 2.4GHz USB dongle</t>
        </is>
      </c>
      <c r="O155" s="20" t="inlineStr">
        <is>
          <t>N/A</t>
        </is>
      </c>
      <c r="P155" s="20" t="n">
        <v>52</v>
      </c>
      <c r="Q155" s="24" t="n">
        <v>370</v>
      </c>
      <c r="R155" s="20" t="inlineStr">
        <is>
          <t>Lower price than Morpheus Quanta X Gaming Headset [MOR-001-05] ($133.99 vs $171.99); Longer battery than Glaucus Drift Pro Gaming Headset [GLA-012-07] (52 vs 23 hrs)</t>
        </is>
      </c>
      <c r="S155" s="20" t="inlineStr">
        <is>
          <t>gaming, streaming, voice chat</t>
        </is>
      </c>
      <c r="T155" s="0" t="inlineStr">
        <is>
          <t>in_stock</t>
        </is>
      </c>
      <c r="U155" s="0" t="n">
        <v>60</v>
      </c>
      <c r="V155" s="52" t="n">
        <v>138.99</v>
      </c>
      <c r="W155" s="0" t="inlineStr">
        <is>
          <t>2026-09-09</t>
        </is>
      </c>
      <c r="X155" s="0" t="inlineStr">
        <is>
          <t>N/A</t>
        </is>
      </c>
      <c r="Y155" s="0" t="inlineStr">
        <is>
          <t>N/A</t>
        </is>
      </c>
      <c r="Z155" s="0" t="inlineStr">
        <is>
          <t>N/A</t>
        </is>
      </c>
      <c r="AA155" s="0" t="inlineStr">
        <is>
          <t>N/A</t>
        </is>
      </c>
    </row>
    <row r="156" ht="15.75" customHeight="1" s="51">
      <c r="A156" s="20" t="inlineStr">
        <is>
          <t>AUR-015-04</t>
        </is>
      </c>
      <c r="B156" s="20" t="inlineStr">
        <is>
          <t>Aura</t>
        </is>
      </c>
      <c r="C156" s="20" t="inlineStr">
        <is>
          <t>Headphones &amp; Earbuds</t>
        </is>
      </c>
      <c r="D156" s="20" t="inlineStr">
        <is>
          <t>Earbuds</t>
        </is>
      </c>
      <c r="E156" s="21" t="inlineStr">
        <is>
          <t>Aura Drift Open-Ear Earbuds</t>
        </is>
      </c>
      <c r="F156" s="23" t="n">
        <v>135.99</v>
      </c>
      <c r="G156" s="20" t="inlineStr">
        <is>
          <t>the Drift; Aura Drift; Arua Drift; Drift earbuds</t>
        </is>
      </c>
      <c r="H156" s="20" t="inlineStr">
        <is>
          <t>1 year limited</t>
        </is>
      </c>
      <c r="I156" s="20" t="inlineStr">
        <is>
          <t>FCC, CE, Bluetooth SIG Qualified, IPX4</t>
        </is>
      </c>
      <c r="J156" s="20" t="inlineStr">
        <is>
          <t>N/A</t>
        </is>
      </c>
      <c r="K156" s="20" t="inlineStr">
        <is>
          <t>N/A</t>
        </is>
      </c>
      <c r="L156" s="20" t="inlineStr">
        <is>
          <t>N/A</t>
        </is>
      </c>
      <c r="M156" s="20" t="inlineStr">
        <is>
          <t>N/A</t>
        </is>
      </c>
      <c r="N156" s="20" t="inlineStr">
        <is>
          <t>USB-C charging case</t>
        </is>
      </c>
      <c r="O156" s="20" t="inlineStr">
        <is>
          <t>N/A</t>
        </is>
      </c>
      <c r="P156" s="20" t="n">
        <v>7</v>
      </c>
      <c r="Q156" s="24" t="n">
        <v>12</v>
      </c>
      <c r="R156" s="20" t="inlineStr">
        <is>
          <t>Lower price than Menoetius Strata Open-Ear Earbuds [MEN-008-03] ($135.99 vs $175.99); Longer battery than Hedone Apex Lite Open-Ear Earbuds [HED-010-06] (7 vs 6 hrs)</t>
        </is>
      </c>
      <c r="S156" s="20" t="inlineStr">
        <is>
          <t>running, outdoor, office</t>
        </is>
      </c>
      <c r="T156" s="0" t="inlineStr">
        <is>
          <t>in_stock</t>
        </is>
      </c>
      <c r="U156" s="0" t="n">
        <v>60</v>
      </c>
      <c r="V156" s="52" t="n">
        <v>144.99</v>
      </c>
      <c r="W156" s="0" t="inlineStr">
        <is>
          <t>2026-09-06</t>
        </is>
      </c>
      <c r="X156" s="0" t="inlineStr">
        <is>
          <t>N/A</t>
        </is>
      </c>
      <c r="Y156" s="0" t="inlineStr">
        <is>
          <t>N/A</t>
        </is>
      </c>
      <c r="Z156" s="0" t="inlineStr">
        <is>
          <t>N/A</t>
        </is>
      </c>
      <c r="AA156" s="0" t="inlineStr">
        <is>
          <t>N/A</t>
        </is>
      </c>
    </row>
    <row r="157" ht="15.75" customHeight="1" s="51">
      <c r="A157" s="20" t="inlineStr">
        <is>
          <t>AUR-015-05</t>
        </is>
      </c>
      <c r="B157" s="20" t="inlineStr">
        <is>
          <t>Aura</t>
        </is>
      </c>
      <c r="C157" s="20" t="inlineStr">
        <is>
          <t>Headphones &amp; Earbuds</t>
        </is>
      </c>
      <c r="D157" s="20" t="inlineStr">
        <is>
          <t>Headphones</t>
        </is>
      </c>
      <c r="E157" s="21" t="inlineStr">
        <is>
          <t>Aura Core Plus Bone Conduction Headphones</t>
        </is>
      </c>
      <c r="F157" s="23" t="n">
        <v>167.99</v>
      </c>
      <c r="G157" s="20" t="inlineStr">
        <is>
          <t>the Core Plus; Aura Core Plus; Aurra Core Plus; Core Plus headphones</t>
        </is>
      </c>
      <c r="H157" s="20" t="inlineStr">
        <is>
          <t>1 year limited</t>
        </is>
      </c>
      <c r="I157" s="20" t="inlineStr">
        <is>
          <t>FCC, CE, Bluetooth SIG Qualified, IP67</t>
        </is>
      </c>
      <c r="J157" s="20" t="inlineStr">
        <is>
          <t>N/A</t>
        </is>
      </c>
      <c r="K157" s="20" t="inlineStr">
        <is>
          <t>N/A</t>
        </is>
      </c>
      <c r="L157" s="20" t="inlineStr">
        <is>
          <t>N/A</t>
        </is>
      </c>
      <c r="M157" s="20" t="inlineStr">
        <is>
          <t>N/A</t>
        </is>
      </c>
      <c r="N157" s="20" t="inlineStr">
        <is>
          <t>Magnetic USB charging</t>
        </is>
      </c>
      <c r="O157" s="20" t="inlineStr">
        <is>
          <t>N/A</t>
        </is>
      </c>
      <c r="P157" s="20" t="n">
        <v>10</v>
      </c>
      <c r="Q157" s="24" t="n">
        <v>32</v>
      </c>
      <c r="R157" s="20" t="inlineStr">
        <is>
          <t>Longer battery than Hedone Aria Bone Conduction Headphones [HED-010-05] (10 vs 9 hrs); Lighter than Glaucus Aria Air Bone Conduction Headphones [GLA-012-03] (32 g vs 34 g)</t>
        </is>
      </c>
      <c r="S157" s="20" t="inlineStr">
        <is>
          <t>running, cycling, outdoor</t>
        </is>
      </c>
      <c r="T157" s="0" t="inlineStr">
        <is>
          <t>in_stock</t>
        </is>
      </c>
      <c r="U157" s="0" t="n">
        <v>60</v>
      </c>
      <c r="V157" s="52" t="n">
        <v>179.99</v>
      </c>
      <c r="W157" s="0" t="inlineStr">
        <is>
          <t>2026-09-03</t>
        </is>
      </c>
      <c r="X157" s="0" t="inlineStr">
        <is>
          <t>N/A</t>
        </is>
      </c>
      <c r="Y157" s="0" t="inlineStr">
        <is>
          <t>N/A</t>
        </is>
      </c>
      <c r="Z157" s="0" t="inlineStr">
        <is>
          <t>N/A</t>
        </is>
      </c>
      <c r="AA157" s="0" t="inlineStr">
        <is>
          <t>N/A</t>
        </is>
      </c>
    </row>
    <row r="158" ht="15.75" customHeight="1" s="51">
      <c r="A158" s="20" t="inlineStr">
        <is>
          <t>AUR-015-06</t>
        </is>
      </c>
      <c r="B158" s="20" t="inlineStr">
        <is>
          <t>Aura</t>
        </is>
      </c>
      <c r="C158" s="20" t="inlineStr">
        <is>
          <t>Headphones &amp; Earbuds</t>
        </is>
      </c>
      <c r="D158" s="20" t="inlineStr">
        <is>
          <t>Headphones</t>
        </is>
      </c>
      <c r="E158" s="21" t="inlineStr">
        <is>
          <t>Aura Flux X On-Ear Headphones</t>
        </is>
      </c>
      <c r="F158" s="23" t="n">
        <v>229.99</v>
      </c>
      <c r="G158" s="20" t="inlineStr">
        <is>
          <t>the Flux X; Aura Flux X; Auraa Flux X; Flux X headphones</t>
        </is>
      </c>
      <c r="H158" s="20" t="inlineStr">
        <is>
          <t>1 year limited</t>
        </is>
      </c>
      <c r="I158" s="20" t="inlineStr">
        <is>
          <t>FCC, CE, Bluetooth SIG Qualified</t>
        </is>
      </c>
      <c r="J158" s="20" t="inlineStr">
        <is>
          <t>N/A</t>
        </is>
      </c>
      <c r="K158" s="20" t="inlineStr">
        <is>
          <t>N/A</t>
        </is>
      </c>
      <c r="L158" s="20" t="inlineStr">
        <is>
          <t>N/A</t>
        </is>
      </c>
      <c r="M158" s="20" t="inlineStr">
        <is>
          <t>N/A</t>
        </is>
      </c>
      <c r="N158" s="20" t="inlineStr">
        <is>
          <t>USB-C charging, 3.5mm</t>
        </is>
      </c>
      <c r="O158" s="20" t="inlineStr">
        <is>
          <t>N/A</t>
        </is>
      </c>
      <c r="P158" s="20" t="n">
        <v>42</v>
      </c>
      <c r="Q158" s="24" t="n">
        <v>164</v>
      </c>
      <c r="R158" s="20" t="inlineStr">
        <is>
          <t>Lighter than Zeus Echo Pro On-Ear Headphones [ZEU-013-04] (164 g vs 188 g); Longer battery than Poseidon Arc Lite On-Ear Headphones [POS-021-08] (42 vs 38 hrs)</t>
        </is>
      </c>
      <c r="S158" s="20" t="inlineStr">
        <is>
          <t>everyday, commute, school</t>
        </is>
      </c>
      <c r="T158" s="0" t="inlineStr">
        <is>
          <t>in_stock</t>
        </is>
      </c>
      <c r="U158" s="0" t="n">
        <v>60</v>
      </c>
      <c r="V158" s="52" t="n">
        <v>253.99</v>
      </c>
      <c r="W158" s="0" t="inlineStr">
        <is>
          <t>2026-09-04</t>
        </is>
      </c>
      <c r="X158" s="0" t="inlineStr">
        <is>
          <t>N/A</t>
        </is>
      </c>
      <c r="Y158" s="0" t="inlineStr">
        <is>
          <t>N/A</t>
        </is>
      </c>
      <c r="Z158" s="0" t="inlineStr">
        <is>
          <t>N/A</t>
        </is>
      </c>
      <c r="AA158" s="0" t="inlineStr">
        <is>
          <t>N/A</t>
        </is>
      </c>
    </row>
    <row r="159" ht="15.75" customHeight="1" s="51">
      <c r="A159" s="20" t="inlineStr">
        <is>
          <t>AUR-015-07</t>
        </is>
      </c>
      <c r="B159" s="20" t="inlineStr">
        <is>
          <t>Aura</t>
        </is>
      </c>
      <c r="C159" s="20" t="inlineStr">
        <is>
          <t>Headphones &amp; Earbuds</t>
        </is>
      </c>
      <c r="D159" s="20" t="inlineStr">
        <is>
          <t>Headphones</t>
        </is>
      </c>
      <c r="E159" s="21" t="inlineStr">
        <is>
          <t>Aura Vibe Ultra ANC Over-Ear Headphones</t>
        </is>
      </c>
      <c r="F159" s="23" t="n">
        <v>270.99</v>
      </c>
      <c r="G159" s="20" t="inlineStr">
        <is>
          <t>the Vibe Ultra; Aura Vibe Ultra; Auura Vibe Ultra; Vibe Ultra headphones</t>
        </is>
      </c>
      <c r="H159" s="20" t="inlineStr">
        <is>
          <t>1 year limited</t>
        </is>
      </c>
      <c r="I159" s="20" t="inlineStr">
        <is>
          <t>FCC, CE, Bluetooth SIG Qualified</t>
        </is>
      </c>
      <c r="J159" s="20" t="inlineStr">
        <is>
          <t>N/A</t>
        </is>
      </c>
      <c r="K159" s="20" t="inlineStr">
        <is>
          <t>N/A</t>
        </is>
      </c>
      <c r="L159" s="20" t="inlineStr">
        <is>
          <t>N/A</t>
        </is>
      </c>
      <c r="M159" s="20" t="inlineStr">
        <is>
          <t>N/A</t>
        </is>
      </c>
      <c r="N159" s="20" t="inlineStr">
        <is>
          <t>USB-C charging and audio, 3.5mm</t>
        </is>
      </c>
      <c r="O159" s="20" t="inlineStr">
        <is>
          <t>N/A</t>
        </is>
      </c>
      <c r="P159" s="20" t="n">
        <v>53</v>
      </c>
      <c r="Q159" s="24" t="n">
        <v>260</v>
      </c>
      <c r="R159" s="20" t="inlineStr">
        <is>
          <t>Lower price than Menoetius Strata Pro ANC Over-Ear Headphones [MEN-008-09] ($270.99 vs $490.99); Longer battery than Doris Pulse SE ANC Over-Ear Headphones [DOR-004-08] (53 vs 49 hrs)</t>
        </is>
      </c>
      <c r="S159" s="20" t="inlineStr">
        <is>
          <t>travel, commute, office</t>
        </is>
      </c>
      <c r="T159" s="0" t="inlineStr">
        <is>
          <t>in_stock</t>
        </is>
      </c>
      <c r="U159" s="0" t="n">
        <v>60</v>
      </c>
      <c r="V159" s="52" t="n">
        <v>302.99</v>
      </c>
      <c r="W159" s="0" t="inlineStr">
        <is>
          <t>2026-09-24</t>
        </is>
      </c>
      <c r="X159" s="0" t="inlineStr">
        <is>
          <t>N/A</t>
        </is>
      </c>
      <c r="Y159" s="0" t="inlineStr">
        <is>
          <t>N/A</t>
        </is>
      </c>
      <c r="Z159" s="0" t="inlineStr">
        <is>
          <t>N/A</t>
        </is>
      </c>
      <c r="AA159" s="0" t="inlineStr">
        <is>
          <t>N/A</t>
        </is>
      </c>
    </row>
    <row r="160" ht="15.75" customHeight="1" s="51">
      <c r="A160" s="20" t="inlineStr">
        <is>
          <t>AUR-015-08</t>
        </is>
      </c>
      <c r="B160" s="20" t="inlineStr">
        <is>
          <t>Aura</t>
        </is>
      </c>
      <c r="C160" s="20" t="inlineStr">
        <is>
          <t>Headphones &amp; Earbuds</t>
        </is>
      </c>
      <c r="D160" s="20" t="inlineStr">
        <is>
          <t>Earbuds</t>
        </is>
      </c>
      <c r="E160" s="21" t="inlineStr">
        <is>
          <t>Aura Halo Ultra True Wireless Earbuds</t>
        </is>
      </c>
      <c r="F160" s="23" t="n">
        <v>290.99</v>
      </c>
      <c r="G160" s="20" t="inlineStr">
        <is>
          <t>the Halo Ultra; Aura Halo Ultra; Auura Halo Ultra; Halo Ultra earbuds</t>
        </is>
      </c>
      <c r="H160" s="20" t="inlineStr">
        <is>
          <t>1 year limited</t>
        </is>
      </c>
      <c r="I160" s="20" t="inlineStr">
        <is>
          <t>FCC, CE, Bluetooth SIG Qualified, IPX4</t>
        </is>
      </c>
      <c r="J160" s="20" t="inlineStr">
        <is>
          <t>N/A</t>
        </is>
      </c>
      <c r="K160" s="20" t="inlineStr">
        <is>
          <t>N/A</t>
        </is>
      </c>
      <c r="L160" s="20" t="inlineStr">
        <is>
          <t>N/A</t>
        </is>
      </c>
      <c r="M160" s="20" t="inlineStr">
        <is>
          <t>N/A</t>
        </is>
      </c>
      <c r="N160" s="20" t="inlineStr">
        <is>
          <t>USB-C charging case</t>
        </is>
      </c>
      <c r="O160" s="20" t="inlineStr">
        <is>
          <t>N/A</t>
        </is>
      </c>
      <c r="P160" s="20" t="n">
        <v>7</v>
      </c>
      <c r="Q160" s="24" t="n">
        <v>5</v>
      </c>
      <c r="R160" s="20" t="inlineStr">
        <is>
          <t>Lighter than Zeus Volt Max True Wireless Earbuds [ZEU-013-09] (5 g vs 7 g); Longer battery than Euphrosyne Prism True Wireless Earbuds [EUP-019-02] (7 vs 6 hrs)</t>
        </is>
      </c>
      <c r="S160" s="20" t="inlineStr">
        <is>
          <t>commute, everyday, travel</t>
        </is>
      </c>
      <c r="T160" s="0" t="inlineStr">
        <is>
          <t>in_stock</t>
        </is>
      </c>
      <c r="U160" s="0" t="n">
        <v>60</v>
      </c>
      <c r="V160" s="52" t="n">
        <v>316.99</v>
      </c>
      <c r="W160" s="0" t="inlineStr">
        <is>
          <t>2026-09-01</t>
        </is>
      </c>
      <c r="X160" s="0" t="inlineStr">
        <is>
          <t>N/A</t>
        </is>
      </c>
      <c r="Y160" s="0" t="inlineStr">
        <is>
          <t>N/A</t>
        </is>
      </c>
      <c r="Z160" s="0" t="inlineStr">
        <is>
          <t>N/A</t>
        </is>
      </c>
      <c r="AA160" s="0" t="inlineStr">
        <is>
          <t>N/A</t>
        </is>
      </c>
    </row>
    <row r="161" ht="15.75" customHeight="1" s="51">
      <c r="A161" s="20" t="inlineStr">
        <is>
          <t>AUR-015-09</t>
        </is>
      </c>
      <c r="B161" s="20" t="inlineStr">
        <is>
          <t>Aura</t>
        </is>
      </c>
      <c r="C161" s="20" t="inlineStr">
        <is>
          <t>Headphones &amp; Earbuds</t>
        </is>
      </c>
      <c r="D161" s="20" t="inlineStr">
        <is>
          <t>Headphones</t>
        </is>
      </c>
      <c r="E161" s="21" t="inlineStr">
        <is>
          <t>Aura Arc Pro Audiophile Planar Headphones</t>
        </is>
      </c>
      <c r="F161" s="23" t="n">
        <v>361.99</v>
      </c>
      <c r="G161" s="20" t="inlineStr">
        <is>
          <t>the Arc Pro; Aura Arc Pro; Aurra Arc Pro; Arc Pro headphones</t>
        </is>
      </c>
      <c r="H161" s="20" t="inlineStr">
        <is>
          <t>1 year limited</t>
        </is>
      </c>
      <c r="I161" s="20" t="inlineStr">
        <is>
          <t>CE, RoHS, Hi-Res Audio</t>
        </is>
      </c>
      <c r="J161" s="20" t="inlineStr">
        <is>
          <t>N/A</t>
        </is>
      </c>
      <c r="K161" s="20" t="inlineStr">
        <is>
          <t>N/A</t>
        </is>
      </c>
      <c r="L161" s="20" t="inlineStr">
        <is>
          <t>N/A</t>
        </is>
      </c>
      <c r="M161" s="20" t="inlineStr">
        <is>
          <t>N/A</t>
        </is>
      </c>
      <c r="N161" s="20" t="inlineStr">
        <is>
          <t>Detachable cable: 3.5mm, 6.35mm and 4.4mm balanced</t>
        </is>
      </c>
      <c r="O161" s="20" t="inlineStr">
        <is>
          <t>N/A</t>
        </is>
      </c>
      <c r="P161" s="20" t="inlineStr">
        <is>
          <t>N/A</t>
        </is>
      </c>
      <c r="Q161" s="24" t="n">
        <v>521</v>
      </c>
      <c r="R161" s="20" t="inlineStr">
        <is>
          <t>Lower price than Tartarus Pulse Ultra Audiophile Planar Headphones [TAR-017-10] ($361.99 vs $986.99); Lighter than Achelous Axis Ultra Audiophile Planar Headphones [ACH-018-10] (521 g vs 550 g)</t>
        </is>
      </c>
      <c r="S161" s="20" t="inlineStr">
        <is>
          <t>audiophile, home listening, studio</t>
        </is>
      </c>
      <c r="T161" s="0" t="inlineStr">
        <is>
          <t>in_stock</t>
        </is>
      </c>
      <c r="U161" s="0" t="n">
        <v>60</v>
      </c>
      <c r="V161" s="52" t="n">
        <v>399.99</v>
      </c>
      <c r="W161" s="0" t="inlineStr">
        <is>
          <t>2026-09-22</t>
        </is>
      </c>
      <c r="X161" s="0" t="inlineStr">
        <is>
          <t>N/A</t>
        </is>
      </c>
      <c r="Y161" s="0" t="inlineStr">
        <is>
          <t>N/A</t>
        </is>
      </c>
      <c r="Z161" s="0" t="inlineStr">
        <is>
          <t>N/A</t>
        </is>
      </c>
      <c r="AA161" s="0" t="inlineStr">
        <is>
          <t>N/A</t>
        </is>
      </c>
    </row>
    <row r="162" ht="15.75" customHeight="1" s="51">
      <c r="A162" s="20" t="inlineStr">
        <is>
          <t>AUR-015-10</t>
        </is>
      </c>
      <c r="B162" s="20" t="inlineStr">
        <is>
          <t>Aura</t>
        </is>
      </c>
      <c r="C162" s="20" t="inlineStr">
        <is>
          <t>Headphones &amp; Earbuds</t>
        </is>
      </c>
      <c r="D162" s="20" t="inlineStr">
        <is>
          <t>Headphones</t>
        </is>
      </c>
      <c r="E162" s="21" t="inlineStr">
        <is>
          <t>Aura Drift Studio Monitor Headphones</t>
        </is>
      </c>
      <c r="F162" s="23" t="n">
        <v>497.99</v>
      </c>
      <c r="G162" s="20" t="inlineStr">
        <is>
          <t>the Drift; Aura Drift; Arua Drift; Drift headphones</t>
        </is>
      </c>
      <c r="H162" s="20" t="inlineStr">
        <is>
          <t>1 year limited</t>
        </is>
      </c>
      <c r="I162" s="20" t="inlineStr">
        <is>
          <t>CE, RoHS, Hi-Res Audio</t>
        </is>
      </c>
      <c r="J162" s="20" t="inlineStr">
        <is>
          <t>N/A</t>
        </is>
      </c>
      <c r="K162" s="20" t="inlineStr">
        <is>
          <t>N/A</t>
        </is>
      </c>
      <c r="L162" s="20" t="inlineStr">
        <is>
          <t>N/A</t>
        </is>
      </c>
      <c r="M162" s="20" t="inlineStr">
        <is>
          <t>N/A</t>
        </is>
      </c>
      <c r="N162" s="20" t="inlineStr">
        <is>
          <t>Detachable cable: 3.5mm with 6.35mm adapter</t>
        </is>
      </c>
      <c r="O162" s="20" t="inlineStr">
        <is>
          <t>N/A</t>
        </is>
      </c>
      <c r="P162" s="20" t="inlineStr">
        <is>
          <t>N/A</t>
        </is>
      </c>
      <c r="Q162" s="24" t="n">
        <v>277</v>
      </c>
      <c r="R162" s="20" t="inlineStr">
        <is>
          <t>Lighter than Poseidon Titan Studio Monitor Headphones [POS-021-07] (277 g vs 329 g)</t>
        </is>
      </c>
      <c r="S162" s="20" t="inlineStr">
        <is>
          <t>music production, studio, podcasting</t>
        </is>
      </c>
      <c r="T162" s="0" t="inlineStr">
        <is>
          <t>in_stock</t>
        </is>
      </c>
      <c r="U162" s="0" t="n">
        <v>60</v>
      </c>
      <c r="V162" s="52" t="n">
        <v>564.99</v>
      </c>
      <c r="W162" s="0" t="inlineStr">
        <is>
          <t>2026-09-17</t>
        </is>
      </c>
      <c r="X162" s="0" t="inlineStr">
        <is>
          <t>N/A</t>
        </is>
      </c>
      <c r="Y162" s="0" t="inlineStr">
        <is>
          <t>N/A</t>
        </is>
      </c>
      <c r="Z162" s="0" t="inlineStr">
        <is>
          <t>N/A</t>
        </is>
      </c>
      <c r="AA162" s="0" t="inlineStr">
        <is>
          <t>N/A</t>
        </is>
      </c>
    </row>
    <row r="163" ht="15.75" customHeight="1" s="51">
      <c r="A163" s="20" t="inlineStr">
        <is>
          <t>CHA-016-01</t>
        </is>
      </c>
      <c r="B163" s="20" t="inlineStr">
        <is>
          <t>Chaos</t>
        </is>
      </c>
      <c r="C163" s="20" t="inlineStr">
        <is>
          <t>Headphones &amp; Earbuds</t>
        </is>
      </c>
      <c r="D163" s="20" t="inlineStr">
        <is>
          <t>Headphones</t>
        </is>
      </c>
      <c r="E163" s="21" t="inlineStr">
        <is>
          <t>Chaos Volt Air Kids Headphones</t>
        </is>
      </c>
      <c r="F163" s="23" t="n">
        <v>20.99</v>
      </c>
      <c r="G163" s="20" t="inlineStr">
        <is>
          <t>the Volt Air; Chaos Volt Air; Chaoss Volt Air; Volt Air headphones</t>
        </is>
      </c>
      <c r="H163" s="20" t="inlineStr">
        <is>
          <t>1 year limited</t>
        </is>
      </c>
      <c r="I163" s="20" t="inlineStr">
        <is>
          <t>FCC, CE, Bluetooth SIG Qualified, EN 71 Toy Safety</t>
        </is>
      </c>
      <c r="J163" s="20" t="inlineStr">
        <is>
          <t>N/A</t>
        </is>
      </c>
      <c r="K163" s="20" t="inlineStr">
        <is>
          <t>N/A</t>
        </is>
      </c>
      <c r="L163" s="20" t="inlineStr">
        <is>
          <t>N/A</t>
        </is>
      </c>
      <c r="M163" s="20" t="inlineStr">
        <is>
          <t>N/A</t>
        </is>
      </c>
      <c r="N163" s="20" t="inlineStr">
        <is>
          <t>USB-C charging, 3.5mm (85 dB limited)</t>
        </is>
      </c>
      <c r="O163" s="20" t="inlineStr">
        <is>
          <t>N/A</t>
        </is>
      </c>
      <c r="P163" s="20" t="n">
        <v>26</v>
      </c>
      <c r="Q163" s="24" t="n">
        <v>113</v>
      </c>
      <c r="R163" s="20" t="inlineStr">
        <is>
          <t>Lower price than Nereus Drift Kids Headphones [NER-020-01] ($20.99 vs $54.99); Lighter than Poseidon Nova Pro Kids Headphones [POS-021-01] (113 g vs 140 g)</t>
        </is>
      </c>
      <c r="S163" s="20" t="inlineStr">
        <is>
          <t>kids, school, travel</t>
        </is>
      </c>
      <c r="T163" s="0" t="inlineStr">
        <is>
          <t>in_stock</t>
        </is>
      </c>
      <c r="U163" s="0" t="n">
        <v>30</v>
      </c>
      <c r="V163" s="52" t="n">
        <v>23.99</v>
      </c>
      <c r="W163" s="0" t="inlineStr">
        <is>
          <t>2026-08-15</t>
        </is>
      </c>
      <c r="X163" s="0" t="inlineStr">
        <is>
          <t>N/A</t>
        </is>
      </c>
      <c r="Y163" s="0" t="inlineStr">
        <is>
          <t>N/A</t>
        </is>
      </c>
      <c r="Z163" s="0" t="inlineStr">
        <is>
          <t>N/A</t>
        </is>
      </c>
      <c r="AA163" s="0" t="inlineStr">
        <is>
          <t>N/A</t>
        </is>
      </c>
    </row>
    <row r="164" ht="15.75" customHeight="1" s="51">
      <c r="A164" s="20" t="inlineStr">
        <is>
          <t>CHA-016-02</t>
        </is>
      </c>
      <c r="B164" s="20" t="inlineStr">
        <is>
          <t>Chaos</t>
        </is>
      </c>
      <c r="C164" s="20" t="inlineStr">
        <is>
          <t>Headphones &amp; Earbuds</t>
        </is>
      </c>
      <c r="D164" s="20" t="inlineStr">
        <is>
          <t>Earbuds</t>
        </is>
      </c>
      <c r="E164" s="21" t="inlineStr">
        <is>
          <t>Chaos Axis Max Wired In-Ear Monitors</t>
        </is>
      </c>
      <c r="F164" s="23" t="n">
        <v>66.98999999999999</v>
      </c>
      <c r="G164" s="20" t="inlineStr">
        <is>
          <t>the Axis Max; Chaos Axis Max; Cahos Axis Max; Axis Max earbuds</t>
        </is>
      </c>
      <c r="H164" s="20" t="inlineStr">
        <is>
          <t>1 year limited</t>
        </is>
      </c>
      <c r="I164" s="20" t="inlineStr">
        <is>
          <t>CE, RoHS, Hi-Res Audio</t>
        </is>
      </c>
      <c r="J164" s="20" t="inlineStr">
        <is>
          <t>N/A</t>
        </is>
      </c>
      <c r="K164" s="20" t="inlineStr">
        <is>
          <t>N/A</t>
        </is>
      </c>
      <c r="L164" s="20" t="inlineStr">
        <is>
          <t>N/A</t>
        </is>
      </c>
      <c r="M164" s="20" t="inlineStr">
        <is>
          <t>N/A</t>
        </is>
      </c>
      <c r="N164" s="20" t="inlineStr">
        <is>
          <t>Detachable 2-pin cable: 3.5mm</t>
        </is>
      </c>
      <c r="O164" s="20" t="inlineStr">
        <is>
          <t>N/A</t>
        </is>
      </c>
      <c r="P164" s="20" t="inlineStr">
        <is>
          <t>N/A</t>
        </is>
      </c>
      <c r="Q164" s="24" t="n">
        <v>20</v>
      </c>
      <c r="R164" s="20" t="inlineStr">
        <is>
          <t>Lighter than Nereus Aria Wired In-Ear Monitors [NER-020-03] (20 g vs 21 g); Lower price than Deimos Rift Wired In-Ear Monitors [DEI-005-09] ($66.99 vs $398.99)</t>
        </is>
      </c>
      <c r="S164" s="20" t="inlineStr">
        <is>
          <t>audiophile, stage monitoring, music</t>
        </is>
      </c>
      <c r="T164" s="0" t="inlineStr">
        <is>
          <t>in_stock</t>
        </is>
      </c>
      <c r="U164" s="0" t="n">
        <v>30</v>
      </c>
      <c r="V164" s="52" t="n">
        <v>74.98999999999999</v>
      </c>
      <c r="W164" s="0" t="inlineStr">
        <is>
          <t>2026-09-02</t>
        </is>
      </c>
      <c r="X164" s="0" t="inlineStr">
        <is>
          <t>N/A</t>
        </is>
      </c>
      <c r="Y164" s="0" t="inlineStr">
        <is>
          <t>N/A</t>
        </is>
      </c>
      <c r="Z164" s="0" t="inlineStr">
        <is>
          <t>N/A</t>
        </is>
      </c>
      <c r="AA164" s="0" t="inlineStr">
        <is>
          <t>N/A</t>
        </is>
      </c>
    </row>
    <row r="165" ht="15.75" customHeight="1" s="51">
      <c r="A165" s="20" t="inlineStr">
        <is>
          <t>CHA-016-03</t>
        </is>
      </c>
      <c r="B165" s="20" t="inlineStr">
        <is>
          <t>Chaos</t>
        </is>
      </c>
      <c r="C165" s="20" t="inlineStr">
        <is>
          <t>Headphones &amp; Earbuds</t>
        </is>
      </c>
      <c r="D165" s="20" t="inlineStr">
        <is>
          <t>Headphones</t>
        </is>
      </c>
      <c r="E165" s="21" t="inlineStr">
        <is>
          <t>Chaos Orbit Plus On-Ear Headphones</t>
        </is>
      </c>
      <c r="F165" s="23" t="n">
        <v>75.98999999999999</v>
      </c>
      <c r="G165" s="20" t="inlineStr">
        <is>
          <t>the Orbit Plus; Chaos Orbit Plus; Chhaos Orbit Plus; Orbit Plus headphones</t>
        </is>
      </c>
      <c r="H165" s="20" t="inlineStr">
        <is>
          <t>1 year limited</t>
        </is>
      </c>
      <c r="I165" s="20" t="inlineStr">
        <is>
          <t>FCC, CE, Bluetooth SIG Qualified</t>
        </is>
      </c>
      <c r="J165" s="20" t="inlineStr">
        <is>
          <t>N/A</t>
        </is>
      </c>
      <c r="K165" s="20" t="inlineStr">
        <is>
          <t>N/A</t>
        </is>
      </c>
      <c r="L165" s="20" t="inlineStr">
        <is>
          <t>N/A</t>
        </is>
      </c>
      <c r="M165" s="20" t="inlineStr">
        <is>
          <t>N/A</t>
        </is>
      </c>
      <c r="N165" s="20" t="inlineStr">
        <is>
          <t>USB-C charging, 3.5mm</t>
        </is>
      </c>
      <c r="O165" s="20" t="inlineStr">
        <is>
          <t>N/A</t>
        </is>
      </c>
      <c r="P165" s="20" t="n">
        <v>52</v>
      </c>
      <c r="Q165" s="24" t="n">
        <v>174</v>
      </c>
      <c r="R165" s="20" t="inlineStr">
        <is>
          <t>Lighter than Soteria Rift SE On-Ear Headphones [SOT-014-02] (174 g vs 177 g); Longer battery than Asteria Apex Air On-Ear Headphones [AST-006-01] (52 vs 49 hrs)</t>
        </is>
      </c>
      <c r="S165" s="20" t="inlineStr">
        <is>
          <t>everyday, commute, school</t>
        </is>
      </c>
      <c r="T165" s="0" t="inlineStr">
        <is>
          <t>in_stock</t>
        </is>
      </c>
      <c r="U165" s="0" t="n">
        <v>30</v>
      </c>
      <c r="V165" s="52" t="n">
        <v>79.98999999999999</v>
      </c>
      <c r="W165" s="0" t="inlineStr">
        <is>
          <t>2026-09-06</t>
        </is>
      </c>
      <c r="X165" s="0" t="inlineStr">
        <is>
          <t>N/A</t>
        </is>
      </c>
      <c r="Y165" s="0" t="inlineStr">
        <is>
          <t>N/A</t>
        </is>
      </c>
      <c r="Z165" s="0" t="inlineStr">
        <is>
          <t>N/A</t>
        </is>
      </c>
      <c r="AA165" s="0" t="inlineStr">
        <is>
          <t>N/A</t>
        </is>
      </c>
    </row>
    <row r="166" ht="15.75" customHeight="1" s="51">
      <c r="A166" s="20" t="inlineStr">
        <is>
          <t>CHA-016-04</t>
        </is>
      </c>
      <c r="B166" s="20" t="inlineStr">
        <is>
          <t>Chaos</t>
        </is>
      </c>
      <c r="C166" s="20" t="inlineStr">
        <is>
          <t>Headphones &amp; Earbuds</t>
        </is>
      </c>
      <c r="D166" s="20" t="inlineStr">
        <is>
          <t>Earbuds</t>
        </is>
      </c>
      <c r="E166" s="21" t="inlineStr">
        <is>
          <t>Chaos Strata SE Open-Ear Earbuds</t>
        </is>
      </c>
      <c r="F166" s="23" t="n">
        <v>81.98999999999999</v>
      </c>
      <c r="G166" s="20" t="inlineStr">
        <is>
          <t>the Strata SE; Chaos Strata SE; Khaos Strata SE; Strata SE earbuds</t>
        </is>
      </c>
      <c r="H166" s="20" t="inlineStr">
        <is>
          <t>1 year limited</t>
        </is>
      </c>
      <c r="I166" s="20" t="inlineStr">
        <is>
          <t>FCC, CE, Bluetooth SIG Qualified, IP55</t>
        </is>
      </c>
      <c r="J166" s="20" t="inlineStr">
        <is>
          <t>N/A</t>
        </is>
      </c>
      <c r="K166" s="20" t="inlineStr">
        <is>
          <t>N/A</t>
        </is>
      </c>
      <c r="L166" s="20" t="inlineStr">
        <is>
          <t>N/A</t>
        </is>
      </c>
      <c r="M166" s="20" t="inlineStr">
        <is>
          <t>N/A</t>
        </is>
      </c>
      <c r="N166" s="20" t="inlineStr">
        <is>
          <t>USB-C charging case</t>
        </is>
      </c>
      <c r="O166" s="20" t="inlineStr">
        <is>
          <t>N/A</t>
        </is>
      </c>
      <c r="P166" s="20" t="n">
        <v>9</v>
      </c>
      <c r="Q166" s="24" t="n">
        <v>12</v>
      </c>
      <c r="R166" s="20" t="inlineStr">
        <is>
          <t>Lower price than Carpo Lumen Pro Open-Ear Earbuds [CAR-002-04] ($81.99 vs $136.99); Longer battery than Zeus Strata X Open-Ear Earbuds [ZEU-013-02] (9 vs 8 hrs)</t>
        </is>
      </c>
      <c r="S166" s="20" t="inlineStr">
        <is>
          <t>running, outdoor, office</t>
        </is>
      </c>
      <c r="T166" s="0" t="inlineStr">
        <is>
          <t>in_stock</t>
        </is>
      </c>
      <c r="U166" s="0" t="n">
        <v>30</v>
      </c>
      <c r="V166" s="52" t="n">
        <v>87.98999999999999</v>
      </c>
      <c r="W166" s="0" t="inlineStr">
        <is>
          <t>2026-09-11</t>
        </is>
      </c>
      <c r="X166" s="0" t="inlineStr">
        <is>
          <t>N/A</t>
        </is>
      </c>
      <c r="Y166" s="0" t="inlineStr">
        <is>
          <t>N/A</t>
        </is>
      </c>
      <c r="Z166" s="0" t="inlineStr">
        <is>
          <t>N/A</t>
        </is>
      </c>
      <c r="AA166" s="0" t="inlineStr">
        <is>
          <t>N/A</t>
        </is>
      </c>
    </row>
    <row r="167" ht="15.75" customHeight="1" s="51">
      <c r="A167" s="20" t="inlineStr">
        <is>
          <t>CHA-016-05</t>
        </is>
      </c>
      <c r="B167" s="20" t="inlineStr">
        <is>
          <t>Chaos</t>
        </is>
      </c>
      <c r="C167" s="20" t="inlineStr">
        <is>
          <t>Headphones &amp; Earbuds</t>
        </is>
      </c>
      <c r="D167" s="20" t="inlineStr">
        <is>
          <t>Earbuds</t>
        </is>
      </c>
      <c r="E167" s="21" t="inlineStr">
        <is>
          <t>Chaos Flux SE Sport Earbuds</t>
        </is>
      </c>
      <c r="F167" s="23" t="n">
        <v>163.99</v>
      </c>
      <c r="G167" s="20" t="inlineStr">
        <is>
          <t>the Flux SE; Chaos Flux SE; Chaoos Flux SE; Flux SE earbuds</t>
        </is>
      </c>
      <c r="H167" s="20" t="inlineStr">
        <is>
          <t>1 year limited</t>
        </is>
      </c>
      <c r="I167" s="20" t="inlineStr">
        <is>
          <t>FCC, CE, Bluetooth SIG Qualified, IPX5</t>
        </is>
      </c>
      <c r="J167" s="20" t="inlineStr">
        <is>
          <t>N/A</t>
        </is>
      </c>
      <c r="K167" s="20" t="inlineStr">
        <is>
          <t>N/A</t>
        </is>
      </c>
      <c r="L167" s="20" t="inlineStr">
        <is>
          <t>N/A</t>
        </is>
      </c>
      <c r="M167" s="20" t="inlineStr">
        <is>
          <t>N/A</t>
        </is>
      </c>
      <c r="N167" s="20" t="inlineStr">
        <is>
          <t>USB-C charging case</t>
        </is>
      </c>
      <c r="O167" s="20" t="inlineStr">
        <is>
          <t>N/A</t>
        </is>
      </c>
      <c r="P167" s="20" t="n">
        <v>8</v>
      </c>
      <c r="Q167" s="24" t="n">
        <v>5</v>
      </c>
      <c r="R167" s="20" t="inlineStr">
        <is>
          <t>Lighter than Asclepius Aria Sport Earbuds [ASC-024-02] (5 g vs 6 g); Longer battery than Carpo Flux Pro Sport Earbuds [CAR-002-05] (8 vs 7 hrs)</t>
        </is>
      </c>
      <c r="S167" s="20" t="inlineStr">
        <is>
          <t>gym, running, sport</t>
        </is>
      </c>
      <c r="T167" s="0" t="inlineStr">
        <is>
          <t>out_of_stock</t>
        </is>
      </c>
      <c r="U167" s="0" t="n">
        <v>30</v>
      </c>
      <c r="V167" s="52" t="n">
        <v>173.99</v>
      </c>
      <c r="W167" s="0" t="inlineStr">
        <is>
          <t>2026-09-01</t>
        </is>
      </c>
      <c r="X167" s="0" t="inlineStr">
        <is>
          <t>N/A</t>
        </is>
      </c>
      <c r="Y167" s="0" t="inlineStr">
        <is>
          <t>N/A</t>
        </is>
      </c>
      <c r="Z167" s="0" t="inlineStr">
        <is>
          <t>N/A</t>
        </is>
      </c>
      <c r="AA167" s="0" t="inlineStr">
        <is>
          <t>N/A</t>
        </is>
      </c>
    </row>
    <row r="168" ht="15.75" customHeight="1" s="51">
      <c r="A168" s="20" t="inlineStr">
        <is>
          <t>CHA-016-06</t>
        </is>
      </c>
      <c r="B168" s="20" t="inlineStr">
        <is>
          <t>Chaos</t>
        </is>
      </c>
      <c r="C168" s="20" t="inlineStr">
        <is>
          <t>Headphones &amp; Earbuds</t>
        </is>
      </c>
      <c r="D168" s="20" t="inlineStr">
        <is>
          <t>Headphones</t>
        </is>
      </c>
      <c r="E168" s="21" t="inlineStr">
        <is>
          <t>Chaos Nova X Studio Monitor Headphones</t>
        </is>
      </c>
      <c r="F168" s="23" t="n">
        <v>199.99</v>
      </c>
      <c r="G168" s="20" t="inlineStr">
        <is>
          <t>the Nova X; Chaos Nova X; Chaoss Nova X; Nova X headphones</t>
        </is>
      </c>
      <c r="H168" s="20" t="inlineStr">
        <is>
          <t>1 year limited</t>
        </is>
      </c>
      <c r="I168" s="20" t="inlineStr">
        <is>
          <t>CE, RoHS, Hi-Res Audio</t>
        </is>
      </c>
      <c r="J168" s="20" t="inlineStr">
        <is>
          <t>N/A</t>
        </is>
      </c>
      <c r="K168" s="20" t="inlineStr">
        <is>
          <t>N/A</t>
        </is>
      </c>
      <c r="L168" s="20" t="inlineStr">
        <is>
          <t>N/A</t>
        </is>
      </c>
      <c r="M168" s="20" t="inlineStr">
        <is>
          <t>N/A</t>
        </is>
      </c>
      <c r="N168" s="20" t="inlineStr">
        <is>
          <t>Detachable cable: 3.5mm with 6.35mm adapter</t>
        </is>
      </c>
      <c r="O168" s="20" t="inlineStr">
        <is>
          <t>N/A</t>
        </is>
      </c>
      <c r="P168" s="20" t="inlineStr">
        <is>
          <t>N/A</t>
        </is>
      </c>
      <c r="Q168" s="24" t="n">
        <v>323</v>
      </c>
      <c r="R168" s="20" t="inlineStr">
        <is>
          <t>Lower price than Glaucus Strata Ultra Studio Monitor Headphones [GLA-012-09] ($199.99 vs $478.99); Lighter than Zeus Arc SE Studio Monitor Headphones [ZEU-013-05] (323 g vs 358 g)</t>
        </is>
      </c>
      <c r="S168" s="20" t="inlineStr">
        <is>
          <t>music production, studio, podcasting</t>
        </is>
      </c>
      <c r="T168" s="0" t="inlineStr">
        <is>
          <t>in_stock</t>
        </is>
      </c>
      <c r="U168" s="0" t="n">
        <v>30</v>
      </c>
      <c r="V168" s="52" t="n">
        <v>228.99</v>
      </c>
      <c r="W168" s="0" t="inlineStr">
        <is>
          <t>2026-09-15</t>
        </is>
      </c>
      <c r="X168" s="0" t="inlineStr">
        <is>
          <t>N/A</t>
        </is>
      </c>
      <c r="Y168" s="0" t="inlineStr">
        <is>
          <t>N/A</t>
        </is>
      </c>
      <c r="Z168" s="0" t="inlineStr">
        <is>
          <t>N/A</t>
        </is>
      </c>
      <c r="AA168" s="0" t="inlineStr">
        <is>
          <t>N/A</t>
        </is>
      </c>
    </row>
    <row r="169" ht="15.75" customHeight="1" s="51">
      <c r="A169" s="20" t="inlineStr">
        <is>
          <t>CHA-016-07</t>
        </is>
      </c>
      <c r="B169" s="20" t="inlineStr">
        <is>
          <t>Chaos</t>
        </is>
      </c>
      <c r="C169" s="20" t="inlineStr">
        <is>
          <t>Headphones &amp; Earbuds</t>
        </is>
      </c>
      <c r="D169" s="20" t="inlineStr">
        <is>
          <t>Earbuds</t>
        </is>
      </c>
      <c r="E169" s="21" t="inlineStr">
        <is>
          <t>Chaos Apex X True Wireless Earbuds</t>
        </is>
      </c>
      <c r="F169" s="23" t="n">
        <v>265.99</v>
      </c>
      <c r="G169" s="20" t="inlineStr">
        <is>
          <t>the Apex X; Chaos Apex X; Chhaos Apex X; Apex X earbuds</t>
        </is>
      </c>
      <c r="H169" s="20" t="inlineStr">
        <is>
          <t>1 year limited</t>
        </is>
      </c>
      <c r="I169" s="20" t="inlineStr">
        <is>
          <t>FCC, CE, Bluetooth SIG Qualified, IPX4</t>
        </is>
      </c>
      <c r="J169" s="20" t="inlineStr">
        <is>
          <t>N/A</t>
        </is>
      </c>
      <c r="K169" s="20" t="inlineStr">
        <is>
          <t>N/A</t>
        </is>
      </c>
      <c r="L169" s="20" t="inlineStr">
        <is>
          <t>N/A</t>
        </is>
      </c>
      <c r="M169" s="20" t="inlineStr">
        <is>
          <t>N/A</t>
        </is>
      </c>
      <c r="N169" s="20" t="inlineStr">
        <is>
          <t>USB-C charging case</t>
        </is>
      </c>
      <c r="O169" s="20" t="inlineStr">
        <is>
          <t>N/A</t>
        </is>
      </c>
      <c r="P169" s="20" t="n">
        <v>10</v>
      </c>
      <c r="Q169" s="24" t="n">
        <v>5</v>
      </c>
      <c r="R169" s="20" t="inlineStr">
        <is>
          <t>Lighter than Hesperus Halo Pro True Wireless Earbuds [HES-025-07] (5 g vs 6 g); Longer battery than Asclepius Titan True Wireless Earbuds [ASC-024-03] (10 vs 9 hrs)</t>
        </is>
      </c>
      <c r="S169" s="20" t="inlineStr">
        <is>
          <t>commute, everyday, travel</t>
        </is>
      </c>
      <c r="T169" s="0" t="inlineStr">
        <is>
          <t>in_stock</t>
        </is>
      </c>
      <c r="U169" s="0" t="n">
        <v>30</v>
      </c>
      <c r="V169" s="52" t="n">
        <v>275.99</v>
      </c>
      <c r="W169" s="0" t="inlineStr">
        <is>
          <t>2026-08-22</t>
        </is>
      </c>
      <c r="X169" s="0" t="inlineStr">
        <is>
          <t>N/A</t>
        </is>
      </c>
      <c r="Y169" s="0" t="inlineStr">
        <is>
          <t>N/A</t>
        </is>
      </c>
      <c r="Z169" s="0" t="inlineStr">
        <is>
          <t>N/A</t>
        </is>
      </c>
      <c r="AA169" s="0" t="inlineStr">
        <is>
          <t>N/A</t>
        </is>
      </c>
    </row>
    <row r="170" ht="15.75" customHeight="1" s="51">
      <c r="A170" s="20" t="inlineStr">
        <is>
          <t>CHA-016-08</t>
        </is>
      </c>
      <c r="B170" s="20" t="inlineStr">
        <is>
          <t>Chaos</t>
        </is>
      </c>
      <c r="C170" s="20" t="inlineStr">
        <is>
          <t>Headphones &amp; Earbuds</t>
        </is>
      </c>
      <c r="D170" s="20" t="inlineStr">
        <is>
          <t>Headset</t>
        </is>
      </c>
      <c r="E170" s="21" t="inlineStr">
        <is>
          <t>Chaos Apex Plus Gaming Headset</t>
        </is>
      </c>
      <c r="F170" s="23" t="n">
        <v>267.99</v>
      </c>
      <c r="G170" s="20" t="inlineStr">
        <is>
          <t>the Apex Plus; Chaos Apex Plus; Chaoos Apex Plus; Apex Plus headset</t>
        </is>
      </c>
      <c r="H170" s="20" t="inlineStr">
        <is>
          <t>1 year limited</t>
        </is>
      </c>
      <c r="I170" s="20" t="inlineStr">
        <is>
          <t>FCC, CE, Bluetooth SIG Qualified</t>
        </is>
      </c>
      <c r="J170" s="20" t="inlineStr">
        <is>
          <t>N/A</t>
        </is>
      </c>
      <c r="K170" s="20" t="inlineStr">
        <is>
          <t>N/A</t>
        </is>
      </c>
      <c r="L170" s="20" t="inlineStr">
        <is>
          <t>N/A</t>
        </is>
      </c>
      <c r="M170" s="20" t="inlineStr">
        <is>
          <t>N/A</t>
        </is>
      </c>
      <c r="N170" s="20" t="inlineStr">
        <is>
          <t>USB-C, 3.5mm, 2.4GHz USB dongle</t>
        </is>
      </c>
      <c r="O170" s="20" t="inlineStr">
        <is>
          <t>N/A</t>
        </is>
      </c>
      <c r="P170" s="20" t="n">
        <v>54</v>
      </c>
      <c r="Q170" s="24" t="n">
        <v>310</v>
      </c>
      <c r="R170" s="20" t="inlineStr">
        <is>
          <t>Longer battery than Tartarus Onyx Ultra Gaming Headset [TAR-017-08] (54 vs 35 hrs); Lighter than Hesperus Aeon Plus Gaming Headset [HES-025-06] (310 g vs 351 g)</t>
        </is>
      </c>
      <c r="S170" s="20" t="inlineStr">
        <is>
          <t>gaming, streaming, voice chat</t>
        </is>
      </c>
      <c r="T170" s="0" t="inlineStr">
        <is>
          <t>low_stock</t>
        </is>
      </c>
      <c r="U170" s="0" t="n">
        <v>30</v>
      </c>
      <c r="V170" s="52" t="n">
        <v>282.99</v>
      </c>
      <c r="W170" s="0" t="inlineStr">
        <is>
          <t>2026-09-18</t>
        </is>
      </c>
      <c r="X170" s="0" t="inlineStr">
        <is>
          <t>N/A</t>
        </is>
      </c>
      <c r="Y170" s="0" t="inlineStr">
        <is>
          <t>N/A</t>
        </is>
      </c>
      <c r="Z170" s="0" t="inlineStr">
        <is>
          <t>N/A</t>
        </is>
      </c>
      <c r="AA170" s="0" t="inlineStr">
        <is>
          <t>N/A</t>
        </is>
      </c>
    </row>
    <row r="171" ht="15.75" customHeight="1" s="51">
      <c r="A171" s="20" t="inlineStr">
        <is>
          <t>CHA-016-09</t>
        </is>
      </c>
      <c r="B171" s="20" t="inlineStr">
        <is>
          <t>Chaos</t>
        </is>
      </c>
      <c r="C171" s="20" t="inlineStr">
        <is>
          <t>Headphones &amp; Earbuds</t>
        </is>
      </c>
      <c r="D171" s="20" t="inlineStr">
        <is>
          <t>Headphones</t>
        </is>
      </c>
      <c r="E171" s="21" t="inlineStr">
        <is>
          <t>Chaos Aria Pro ANC Over-Ear Headphones</t>
        </is>
      </c>
      <c r="F171" s="23" t="n">
        <v>501.99</v>
      </c>
      <c r="G171" s="20" t="inlineStr">
        <is>
          <t>the Aria Pro; Chaos Aria Pro; Khaos Aria Pro; Aria Pro headphones</t>
        </is>
      </c>
      <c r="H171" s="20" t="inlineStr">
        <is>
          <t>1 year limited</t>
        </is>
      </c>
      <c r="I171" s="20" t="inlineStr">
        <is>
          <t>FCC, CE, Bluetooth SIG Qualified, Hi-Res Audio Wireless</t>
        </is>
      </c>
      <c r="J171" s="20" t="inlineStr">
        <is>
          <t>N/A</t>
        </is>
      </c>
      <c r="K171" s="20" t="inlineStr">
        <is>
          <t>N/A</t>
        </is>
      </c>
      <c r="L171" s="20" t="inlineStr">
        <is>
          <t>N/A</t>
        </is>
      </c>
      <c r="M171" s="20" t="inlineStr">
        <is>
          <t>N/A</t>
        </is>
      </c>
      <c r="N171" s="20" t="inlineStr">
        <is>
          <t>USB-C charging and audio, 3.5mm</t>
        </is>
      </c>
      <c r="O171" s="20" t="inlineStr">
        <is>
          <t>N/A</t>
        </is>
      </c>
      <c r="P171" s="20" t="n">
        <v>20</v>
      </c>
      <c r="Q171" s="24" t="n">
        <v>272</v>
      </c>
      <c r="R171" s="20" t="inlineStr">
        <is>
          <t>Lighter than Asclepius Rift Max ANC Over-Ear Headphones [ASC-024-10] (272 g vs 306 g); Lower price than Euphrosyne Orbit X ANC Over-Ear Headphones [EUP-019-10] ($501.99 vs $537.99)</t>
        </is>
      </c>
      <c r="S171" s="20" t="inlineStr">
        <is>
          <t>travel, commute, office</t>
        </is>
      </c>
      <c r="T171" s="0" t="inlineStr">
        <is>
          <t>in_stock</t>
        </is>
      </c>
      <c r="U171" s="0" t="n">
        <v>30</v>
      </c>
      <c r="V171" s="52" t="n">
        <v>523.99</v>
      </c>
      <c r="W171" s="0" t="inlineStr">
        <is>
          <t>2026-09-07</t>
        </is>
      </c>
      <c r="X171" s="0" t="inlineStr">
        <is>
          <t>N/A</t>
        </is>
      </c>
      <c r="Y171" s="0" t="inlineStr">
        <is>
          <t>N/A</t>
        </is>
      </c>
      <c r="Z171" s="0" t="inlineStr">
        <is>
          <t>N/A</t>
        </is>
      </c>
      <c r="AA171" s="0" t="inlineStr">
        <is>
          <t>N/A</t>
        </is>
      </c>
    </row>
    <row r="172" ht="15.75" customHeight="1" s="51">
      <c r="A172" s="20" t="inlineStr">
        <is>
          <t>CHA-016-10</t>
        </is>
      </c>
      <c r="B172" s="20" t="inlineStr">
        <is>
          <t>Chaos</t>
        </is>
      </c>
      <c r="C172" s="20" t="inlineStr">
        <is>
          <t>Headphones &amp; Earbuds</t>
        </is>
      </c>
      <c r="D172" s="20" t="inlineStr">
        <is>
          <t>Headphones</t>
        </is>
      </c>
      <c r="E172" s="21" t="inlineStr">
        <is>
          <t>Chaos Sable X Audiophile Planar Headphones</t>
        </is>
      </c>
      <c r="F172" s="23" t="n">
        <v>545.99</v>
      </c>
      <c r="G172" s="20" t="inlineStr">
        <is>
          <t>the Sable X; Chaos Sable X; Chaoos Sable X; Sable X headphones</t>
        </is>
      </c>
      <c r="H172" s="20" t="inlineStr">
        <is>
          <t>1 year limited</t>
        </is>
      </c>
      <c r="I172" s="20" t="inlineStr">
        <is>
          <t>CE, RoHS, Hi-Res Audio</t>
        </is>
      </c>
      <c r="J172" s="20" t="inlineStr">
        <is>
          <t>N/A</t>
        </is>
      </c>
      <c r="K172" s="20" t="inlineStr">
        <is>
          <t>N/A</t>
        </is>
      </c>
      <c r="L172" s="20" t="inlineStr">
        <is>
          <t>N/A</t>
        </is>
      </c>
      <c r="M172" s="20" t="inlineStr">
        <is>
          <t>N/A</t>
        </is>
      </c>
      <c r="N172" s="20" t="inlineStr">
        <is>
          <t>Detachable cable: 3.5mm, 6.35mm and 4.4mm balanced</t>
        </is>
      </c>
      <c r="O172" s="20" t="inlineStr">
        <is>
          <t>N/A</t>
        </is>
      </c>
      <c r="P172" s="20" t="inlineStr">
        <is>
          <t>N/A</t>
        </is>
      </c>
      <c r="Q172" s="24" t="n">
        <v>539</v>
      </c>
      <c r="R172" s="20" t="inlineStr">
        <is>
          <t>Lower price than Hesperus Aria Audiophile Planar Headphones [HES-025-10] ($545.99 vs $845.99); Lighter than Zeus Titan Ultra Audiophile Planar Headphones [ZEU-013-10] (539 g vs 545 g)</t>
        </is>
      </c>
      <c r="S172" s="20" t="inlineStr">
        <is>
          <t>audiophile, home listening, studio</t>
        </is>
      </c>
      <c r="T172" s="0" t="inlineStr">
        <is>
          <t>in_stock</t>
        </is>
      </c>
      <c r="U172" s="0" t="n">
        <v>30</v>
      </c>
      <c r="V172" s="52" t="n">
        <v>597.99</v>
      </c>
      <c r="W172" s="0" t="inlineStr">
        <is>
          <t>2026-08-06</t>
        </is>
      </c>
      <c r="X172" s="0" t="inlineStr">
        <is>
          <t>N/A</t>
        </is>
      </c>
      <c r="Y172" s="0" t="inlineStr">
        <is>
          <t>N/A</t>
        </is>
      </c>
      <c r="Z172" s="0" t="inlineStr">
        <is>
          <t>N/A</t>
        </is>
      </c>
      <c r="AA172" s="0" t="inlineStr">
        <is>
          <t>N/A</t>
        </is>
      </c>
    </row>
    <row r="173" ht="15.75" customHeight="1" s="51">
      <c r="A173" s="20" t="inlineStr">
        <is>
          <t>TAR-017-01</t>
        </is>
      </c>
      <c r="B173" s="20" t="inlineStr">
        <is>
          <t>Tartarus</t>
        </is>
      </c>
      <c r="C173" s="20" t="inlineStr">
        <is>
          <t>Headphones &amp; Earbuds</t>
        </is>
      </c>
      <c r="D173" s="20" t="inlineStr">
        <is>
          <t>Headphones</t>
        </is>
      </c>
      <c r="E173" s="21" t="inlineStr">
        <is>
          <t>Tartarus Zen Pro Kids Headphones</t>
        </is>
      </c>
      <c r="F173" s="23" t="n">
        <v>35.99</v>
      </c>
      <c r="G173" s="20" t="inlineStr">
        <is>
          <t>the Zen Pro; Tartarus Zen Pro; Tartaros Zen Pro; Zen Pro headphones</t>
        </is>
      </c>
      <c r="H173" s="20" t="inlineStr">
        <is>
          <t>1 year limited</t>
        </is>
      </c>
      <c r="I173" s="20" t="inlineStr">
        <is>
          <t>FCC, CE, Bluetooth SIG Qualified, EN 71 Toy Safety</t>
        </is>
      </c>
      <c r="J173" s="20" t="inlineStr">
        <is>
          <t>N/A</t>
        </is>
      </c>
      <c r="K173" s="20" t="inlineStr">
        <is>
          <t>N/A</t>
        </is>
      </c>
      <c r="L173" s="20" t="inlineStr">
        <is>
          <t>N/A</t>
        </is>
      </c>
      <c r="M173" s="20" t="inlineStr">
        <is>
          <t>N/A</t>
        </is>
      </c>
      <c r="N173" s="20" t="inlineStr">
        <is>
          <t>USB-C charging, 3.5mm (85 dB limited)</t>
        </is>
      </c>
      <c r="O173" s="20" t="inlineStr">
        <is>
          <t>N/A</t>
        </is>
      </c>
      <c r="P173" s="20" t="n">
        <v>37</v>
      </c>
      <c r="Q173" s="24" t="n">
        <v>122</v>
      </c>
      <c r="R173" s="20" t="inlineStr">
        <is>
          <t>Lower price than Nereus Drift Kids Headphones [NER-020-01] ($35.99 vs $54.99); Longer battery than Tethys Pulse Kids Headphones [TET-007-01] (37 vs 20 hrs)</t>
        </is>
      </c>
      <c r="S173" s="20" t="inlineStr">
        <is>
          <t>kids, school, travel</t>
        </is>
      </c>
      <c r="T173" s="0" t="inlineStr">
        <is>
          <t>low_stock</t>
        </is>
      </c>
      <c r="U173" s="0" t="n">
        <v>60</v>
      </c>
      <c r="V173" s="52" t="n">
        <v>38.99</v>
      </c>
      <c r="W173" s="0" t="inlineStr">
        <is>
          <t>2026-09-04</t>
        </is>
      </c>
      <c r="X173" s="0" t="inlineStr">
        <is>
          <t>N/A</t>
        </is>
      </c>
      <c r="Y173" s="0" t="inlineStr">
        <is>
          <t>N/A</t>
        </is>
      </c>
      <c r="Z173" s="0" t="inlineStr">
        <is>
          <t>N/A</t>
        </is>
      </c>
      <c r="AA173" s="0" t="inlineStr">
        <is>
          <t>N/A</t>
        </is>
      </c>
    </row>
    <row r="174" ht="15.75" customHeight="1" s="51">
      <c r="A174" s="20" t="inlineStr">
        <is>
          <t>TAR-017-02</t>
        </is>
      </c>
      <c r="B174" s="20" t="inlineStr">
        <is>
          <t>Tartarus</t>
        </is>
      </c>
      <c r="C174" s="20" t="inlineStr">
        <is>
          <t>Headphones &amp; Earbuds</t>
        </is>
      </c>
      <c r="D174" s="20" t="inlineStr">
        <is>
          <t>Earbuds</t>
        </is>
      </c>
      <c r="E174" s="21" t="inlineStr">
        <is>
          <t>Tartarus Core Ultra Sport Earbuds</t>
        </is>
      </c>
      <c r="F174" s="23" t="n">
        <v>60.99</v>
      </c>
      <c r="G174" s="20" t="inlineStr">
        <is>
          <t>the Core Ultra; Tartarus Core Ultra; Taratrus Core Ultra; Core Ultra earbuds</t>
        </is>
      </c>
      <c r="H174" s="20" t="inlineStr">
        <is>
          <t>1 year limited</t>
        </is>
      </c>
      <c r="I174" s="20" t="inlineStr">
        <is>
          <t>FCC, CE, Bluetooth SIG Qualified, IPX5</t>
        </is>
      </c>
      <c r="J174" s="20" t="inlineStr">
        <is>
          <t>N/A</t>
        </is>
      </c>
      <c r="K174" s="20" t="inlineStr">
        <is>
          <t>N/A</t>
        </is>
      </c>
      <c r="L174" s="20" t="inlineStr">
        <is>
          <t>N/A</t>
        </is>
      </c>
      <c r="M174" s="20" t="inlineStr">
        <is>
          <t>N/A</t>
        </is>
      </c>
      <c r="N174" s="20" t="inlineStr">
        <is>
          <t>USB-C charging case</t>
        </is>
      </c>
      <c r="O174" s="20" t="inlineStr">
        <is>
          <t>N/A</t>
        </is>
      </c>
      <c r="P174" s="20" t="n">
        <v>7</v>
      </c>
      <c r="Q174" s="24" t="n">
        <v>8</v>
      </c>
      <c r="R174" s="20" t="inlineStr">
        <is>
          <t>Lower price than Morpheus Spark Sport Earbuds [MOR-001-03] ($60.99 vs $120.99); Lighter than Hesperus Lumen Ultra Sport Earbuds [HES-025-05] (8 g vs 9 g)</t>
        </is>
      </c>
      <c r="S174" s="20" t="inlineStr">
        <is>
          <t>gym, running, sport</t>
        </is>
      </c>
      <c r="T174" s="0" t="inlineStr">
        <is>
          <t>in_stock</t>
        </is>
      </c>
      <c r="U174" s="0" t="n">
        <v>60</v>
      </c>
      <c r="V174" s="52" t="n">
        <v>64.98999999999999</v>
      </c>
      <c r="W174" s="0" t="inlineStr">
        <is>
          <t>2026-09-18</t>
        </is>
      </c>
      <c r="X174" s="0" t="inlineStr">
        <is>
          <t>N/A</t>
        </is>
      </c>
      <c r="Y174" s="0" t="inlineStr">
        <is>
          <t>N/A</t>
        </is>
      </c>
      <c r="Z174" s="0" t="inlineStr">
        <is>
          <t>N/A</t>
        </is>
      </c>
      <c r="AA174" s="0" t="inlineStr">
        <is>
          <t>N/A</t>
        </is>
      </c>
    </row>
    <row r="175" ht="15.75" customHeight="1" s="51">
      <c r="A175" s="20" t="inlineStr">
        <is>
          <t>TAR-017-03</t>
        </is>
      </c>
      <c r="B175" s="20" t="inlineStr">
        <is>
          <t>Tartarus</t>
        </is>
      </c>
      <c r="C175" s="20" t="inlineStr">
        <is>
          <t>Headphones &amp; Earbuds</t>
        </is>
      </c>
      <c r="D175" s="20" t="inlineStr">
        <is>
          <t>Headphones</t>
        </is>
      </c>
      <c r="E175" s="21" t="inlineStr">
        <is>
          <t>Tartarus Volt Max Bone Conduction Headphones</t>
        </is>
      </c>
      <c r="F175" s="23" t="n">
        <v>105.99</v>
      </c>
      <c r="G175" s="20" t="inlineStr">
        <is>
          <t>the Volt Max; Tartarus Volt Max; Tratarus Volt Max; Volt Max headphones</t>
        </is>
      </c>
      <c r="H175" s="20" t="inlineStr">
        <is>
          <t>1 year limited</t>
        </is>
      </c>
      <c r="I175" s="20" t="inlineStr">
        <is>
          <t>FCC, CE, Bluetooth SIG Qualified, IP67</t>
        </is>
      </c>
      <c r="J175" s="20" t="inlineStr">
        <is>
          <t>N/A</t>
        </is>
      </c>
      <c r="K175" s="20" t="inlineStr">
        <is>
          <t>N/A</t>
        </is>
      </c>
      <c r="L175" s="20" t="inlineStr">
        <is>
          <t>N/A</t>
        </is>
      </c>
      <c r="M175" s="20" t="inlineStr">
        <is>
          <t>N/A</t>
        </is>
      </c>
      <c r="N175" s="20" t="inlineStr">
        <is>
          <t>Magnetic USB charging</t>
        </is>
      </c>
      <c r="O175" s="20" t="inlineStr">
        <is>
          <t>N/A</t>
        </is>
      </c>
      <c r="P175" s="20" t="n">
        <v>7</v>
      </c>
      <c r="Q175" s="24" t="n">
        <v>35</v>
      </c>
      <c r="R175" s="20" t="inlineStr">
        <is>
          <t>Lower price than Menoetius Sable Pro Bone Conduction Headphones [MEN-008-04] ($105.99 vs $183.99); Longer battery than Deimos Crest Bone Conduction Headphones [DEI-005-03] (7 vs 6 hrs)</t>
        </is>
      </c>
      <c r="S175" s="20" t="inlineStr">
        <is>
          <t>running, cycling, outdoor</t>
        </is>
      </c>
      <c r="T175" s="0" t="inlineStr">
        <is>
          <t>in_stock</t>
        </is>
      </c>
      <c r="U175" s="0" t="n">
        <v>60</v>
      </c>
      <c r="V175" s="52" t="n">
        <v>110.99</v>
      </c>
      <c r="W175" s="0" t="inlineStr">
        <is>
          <t>2026-09-06</t>
        </is>
      </c>
      <c r="X175" s="0" t="inlineStr">
        <is>
          <t>N/A</t>
        </is>
      </c>
      <c r="Y175" s="0" t="inlineStr">
        <is>
          <t>N/A</t>
        </is>
      </c>
      <c r="Z175" s="0" t="inlineStr">
        <is>
          <t>N/A</t>
        </is>
      </c>
      <c r="AA175" s="0" t="inlineStr">
        <is>
          <t>N/A</t>
        </is>
      </c>
    </row>
    <row r="176" ht="15.75" customHeight="1" s="51">
      <c r="A176" s="20" t="inlineStr">
        <is>
          <t>TAR-017-04</t>
        </is>
      </c>
      <c r="B176" s="20" t="inlineStr">
        <is>
          <t>Tartarus</t>
        </is>
      </c>
      <c r="C176" s="20" t="inlineStr">
        <is>
          <t>Headphones &amp; Earbuds</t>
        </is>
      </c>
      <c r="D176" s="20" t="inlineStr">
        <is>
          <t>Earbuds</t>
        </is>
      </c>
      <c r="E176" s="21" t="inlineStr">
        <is>
          <t>Tartarus Onyx Ultra Open-Ear Earbuds</t>
        </is>
      </c>
      <c r="F176" s="23" t="n">
        <v>140.99</v>
      </c>
      <c r="G176" s="20" t="inlineStr">
        <is>
          <t>the Onyx Ultra; Tartarus Onyx Ultra; Taratrus Onyx Ultra; Onyx Ultra earbuds</t>
        </is>
      </c>
      <c r="H176" s="20" t="inlineStr">
        <is>
          <t>1 year limited</t>
        </is>
      </c>
      <c r="I176" s="20" t="inlineStr">
        <is>
          <t>FCC, CE, Bluetooth SIG Qualified, IP55</t>
        </is>
      </c>
      <c r="J176" s="20" t="inlineStr">
        <is>
          <t>N/A</t>
        </is>
      </c>
      <c r="K176" s="20" t="inlineStr">
        <is>
          <t>N/A</t>
        </is>
      </c>
      <c r="L176" s="20" t="inlineStr">
        <is>
          <t>N/A</t>
        </is>
      </c>
      <c r="M176" s="20" t="inlineStr">
        <is>
          <t>N/A</t>
        </is>
      </c>
      <c r="N176" s="20" t="inlineStr">
        <is>
          <t>USB-C charging case</t>
        </is>
      </c>
      <c r="O176" s="20" t="inlineStr">
        <is>
          <t>N/A</t>
        </is>
      </c>
      <c r="P176" s="20" t="n">
        <v>7</v>
      </c>
      <c r="Q176" s="24" t="n">
        <v>10</v>
      </c>
      <c r="R176" s="20" t="inlineStr">
        <is>
          <t>Lighter than Chaos Strata SE Open-Ear Earbuds [CHA-016-04] (10 g vs 12 g); Lower price than Morpheus Arc Open-Ear Earbuds [MOR-001-04] ($140.99 vs $156.99)</t>
        </is>
      </c>
      <c r="S176" s="20" t="inlineStr">
        <is>
          <t>running, outdoor, office</t>
        </is>
      </c>
      <c r="T176" s="0" t="inlineStr">
        <is>
          <t>in_stock</t>
        </is>
      </c>
      <c r="U176" s="0" t="n">
        <v>60</v>
      </c>
      <c r="V176" s="52" t="n">
        <v>159.99</v>
      </c>
      <c r="W176" s="0" t="inlineStr">
        <is>
          <t>2026-08-09</t>
        </is>
      </c>
      <c r="X176" s="0" t="inlineStr">
        <is>
          <t>N/A</t>
        </is>
      </c>
      <c r="Y176" s="0" t="inlineStr">
        <is>
          <t>N/A</t>
        </is>
      </c>
      <c r="Z176" s="0" t="inlineStr">
        <is>
          <t>N/A</t>
        </is>
      </c>
      <c r="AA176" s="0" t="inlineStr">
        <is>
          <t>N/A</t>
        </is>
      </c>
    </row>
    <row r="177" ht="15.75" customHeight="1" s="51">
      <c r="A177" s="20" t="inlineStr">
        <is>
          <t>TAR-017-05</t>
        </is>
      </c>
      <c r="B177" s="20" t="inlineStr">
        <is>
          <t>Tartarus</t>
        </is>
      </c>
      <c r="C177" s="20" t="inlineStr">
        <is>
          <t>Headphones &amp; Earbuds</t>
        </is>
      </c>
      <c r="D177" s="20" t="inlineStr">
        <is>
          <t>Headphones</t>
        </is>
      </c>
      <c r="E177" s="21" t="inlineStr">
        <is>
          <t>Tartarus Core X On-Ear Headphones</t>
        </is>
      </c>
      <c r="F177" s="23" t="n">
        <v>145.99</v>
      </c>
      <c r="G177" s="20" t="inlineStr">
        <is>
          <t>the Core X; Tartarus Core X; Tartraus Core X; Core X headphones</t>
        </is>
      </c>
      <c r="H177" s="20" t="inlineStr">
        <is>
          <t>1 year limited</t>
        </is>
      </c>
      <c r="I177" s="20" t="inlineStr">
        <is>
          <t>FCC, CE, Bluetooth SIG Qualified</t>
        </is>
      </c>
      <c r="J177" s="20" t="inlineStr">
        <is>
          <t>N/A</t>
        </is>
      </c>
      <c r="K177" s="20" t="inlineStr">
        <is>
          <t>N/A</t>
        </is>
      </c>
      <c r="L177" s="20" t="inlineStr">
        <is>
          <t>N/A</t>
        </is>
      </c>
      <c r="M177" s="20" t="inlineStr">
        <is>
          <t>N/A</t>
        </is>
      </c>
      <c r="N177" s="20" t="inlineStr">
        <is>
          <t>USB-C charging, 3.5mm</t>
        </is>
      </c>
      <c r="O177" s="20" t="inlineStr">
        <is>
          <t>N/A</t>
        </is>
      </c>
      <c r="P177" s="20" t="n">
        <v>30</v>
      </c>
      <c r="Q177" s="24" t="n">
        <v>208</v>
      </c>
      <c r="R177" s="20" t="inlineStr">
        <is>
          <t>Lower price than Himeros Sable SE On-Ear Headphones [HIM-003-06] ($145.99 vs $179.99); Lighter than Ananke Flux SE On-Ear Headphones [ANA-023-04] (208 g vs 216 g)</t>
        </is>
      </c>
      <c r="S177" s="20" t="inlineStr">
        <is>
          <t>everyday, commute, school</t>
        </is>
      </c>
      <c r="T177" s="0" t="inlineStr">
        <is>
          <t>low_stock</t>
        </is>
      </c>
      <c r="U177" s="0" t="n">
        <v>60</v>
      </c>
      <c r="V177" s="52" t="n">
        <v>158.99</v>
      </c>
      <c r="W177" s="0" t="inlineStr">
        <is>
          <t>2026-08-01</t>
        </is>
      </c>
      <c r="X177" s="0" t="inlineStr">
        <is>
          <t>N/A</t>
        </is>
      </c>
      <c r="Y177" s="0" t="inlineStr">
        <is>
          <t>N/A</t>
        </is>
      </c>
      <c r="Z177" s="0" t="inlineStr">
        <is>
          <t>N/A</t>
        </is>
      </c>
      <c r="AA177" s="0" t="inlineStr">
        <is>
          <t>N/A</t>
        </is>
      </c>
    </row>
    <row r="178" ht="15.75" customHeight="1" s="51">
      <c r="A178" s="20" t="inlineStr">
        <is>
          <t>TAR-017-06</t>
        </is>
      </c>
      <c r="B178" s="20" t="inlineStr">
        <is>
          <t>Tartarus</t>
        </is>
      </c>
      <c r="C178" s="20" t="inlineStr">
        <is>
          <t>Headphones &amp; Earbuds</t>
        </is>
      </c>
      <c r="D178" s="20" t="inlineStr">
        <is>
          <t>Earbuds</t>
        </is>
      </c>
      <c r="E178" s="21" t="inlineStr">
        <is>
          <t>Tartarus Vertex X Sleep Earbuds</t>
        </is>
      </c>
      <c r="F178" s="23" t="n">
        <v>217.99</v>
      </c>
      <c r="G178" s="20" t="inlineStr">
        <is>
          <t>the Vertex X; Tartarus Vertex X; Tarttarus Vertex X; Vertex X earbuds</t>
        </is>
      </c>
      <c r="H178" s="20" t="inlineStr">
        <is>
          <t>1 year limited</t>
        </is>
      </c>
      <c r="I178" s="20" t="inlineStr">
        <is>
          <t>FCC, CE, Bluetooth SIG Qualified</t>
        </is>
      </c>
      <c r="J178" s="20" t="inlineStr">
        <is>
          <t>N/A</t>
        </is>
      </c>
      <c r="K178" s="20" t="inlineStr">
        <is>
          <t>N/A</t>
        </is>
      </c>
      <c r="L178" s="20" t="inlineStr">
        <is>
          <t>N/A</t>
        </is>
      </c>
      <c r="M178" s="20" t="inlineStr">
        <is>
          <t>N/A</t>
        </is>
      </c>
      <c r="N178" s="20" t="inlineStr">
        <is>
          <t>USB-C charging case</t>
        </is>
      </c>
      <c r="O178" s="20" t="inlineStr">
        <is>
          <t>N/A</t>
        </is>
      </c>
      <c r="P178" s="20" t="n">
        <v>10</v>
      </c>
      <c r="Q178" s="24" t="n">
        <v>4</v>
      </c>
      <c r="R178" s="20" t="inlineStr">
        <is>
          <t>Longer battery than Menoetius Pulse Lite Sleep Earbuds [MEN-008-06] (10 vs 9 hrs); Lower price than Ananke Strata Air Sleep Earbuds [ANA-023-08] ($217.99 vs $266.99)</t>
        </is>
      </c>
      <c r="S178" s="20" t="inlineStr">
        <is>
          <t>sleep, travel, relaxation</t>
        </is>
      </c>
      <c r="T178" s="0" t="inlineStr">
        <is>
          <t>low_stock</t>
        </is>
      </c>
      <c r="U178" s="0" t="n">
        <v>60</v>
      </c>
      <c r="V178" s="52" t="n">
        <v>231.99</v>
      </c>
      <c r="W178" s="0" t="inlineStr">
        <is>
          <t>2026-09-11</t>
        </is>
      </c>
      <c r="X178" s="0" t="inlineStr">
        <is>
          <t>N/A</t>
        </is>
      </c>
      <c r="Y178" s="0" t="inlineStr">
        <is>
          <t>N/A</t>
        </is>
      </c>
      <c r="Z178" s="0" t="inlineStr">
        <is>
          <t>N/A</t>
        </is>
      </c>
      <c r="AA178" s="0" t="inlineStr">
        <is>
          <t>N/A</t>
        </is>
      </c>
    </row>
    <row r="179" ht="15.75" customHeight="1" s="51">
      <c r="A179" s="20" t="inlineStr">
        <is>
          <t>TAR-017-07</t>
        </is>
      </c>
      <c r="B179" s="20" t="inlineStr">
        <is>
          <t>Tartarus</t>
        </is>
      </c>
      <c r="C179" s="20" t="inlineStr">
        <is>
          <t>Headphones &amp; Earbuds</t>
        </is>
      </c>
      <c r="D179" s="20" t="inlineStr">
        <is>
          <t>Headphones</t>
        </is>
      </c>
      <c r="E179" s="21" t="inlineStr">
        <is>
          <t>Tartarus Wave Ultra Studio Monitor Headphones</t>
        </is>
      </c>
      <c r="F179" s="23" t="n">
        <v>264.99</v>
      </c>
      <c r="G179" s="20" t="inlineStr">
        <is>
          <t>the Wave Ultra; Tartarus Wave Ultra; Taratrus Wave Ultra; Wave Ultra headphones</t>
        </is>
      </c>
      <c r="H179" s="20" t="inlineStr">
        <is>
          <t>1 year limited</t>
        </is>
      </c>
      <c r="I179" s="20" t="inlineStr">
        <is>
          <t>CE, RoHS, Hi-Res Audio</t>
        </is>
      </c>
      <c r="J179" s="20" t="inlineStr">
        <is>
          <t>N/A</t>
        </is>
      </c>
      <c r="K179" s="20" t="inlineStr">
        <is>
          <t>N/A</t>
        </is>
      </c>
      <c r="L179" s="20" t="inlineStr">
        <is>
          <t>N/A</t>
        </is>
      </c>
      <c r="M179" s="20" t="inlineStr">
        <is>
          <t>N/A</t>
        </is>
      </c>
      <c r="N179" s="20" t="inlineStr">
        <is>
          <t>Detachable cable: 3.5mm with 6.35mm adapter</t>
        </is>
      </c>
      <c r="O179" s="20" t="inlineStr">
        <is>
          <t>N/A</t>
        </is>
      </c>
      <c r="P179" s="20" t="inlineStr">
        <is>
          <t>N/A</t>
        </is>
      </c>
      <c r="Q179" s="24" t="n">
        <v>255</v>
      </c>
      <c r="R179" s="20" t="inlineStr">
        <is>
          <t>Lighter than Asteria Rift Studio Monitor Headphones [AST-006-08] (255 g vs 282 g); Lower price than Soteria Zen Pro Studio Monitor Headphones [SOT-014-09] ($264.99 vs $292.99)</t>
        </is>
      </c>
      <c r="S179" s="20" t="inlineStr">
        <is>
          <t>music production, studio, podcasting</t>
        </is>
      </c>
      <c r="T179" s="0" t="inlineStr">
        <is>
          <t>in_stock</t>
        </is>
      </c>
      <c r="U179" s="0" t="n">
        <v>60</v>
      </c>
      <c r="V179" s="52" t="n">
        <v>303.99</v>
      </c>
      <c r="W179" s="0" t="inlineStr">
        <is>
          <t>2026-08-25</t>
        </is>
      </c>
      <c r="X179" s="0" t="inlineStr">
        <is>
          <t>N/A</t>
        </is>
      </c>
      <c r="Y179" s="0" t="inlineStr">
        <is>
          <t>N/A</t>
        </is>
      </c>
      <c r="Z179" s="0" t="inlineStr">
        <is>
          <t>N/A</t>
        </is>
      </c>
      <c r="AA179" s="0" t="inlineStr">
        <is>
          <t>N/A</t>
        </is>
      </c>
    </row>
    <row r="180" ht="15.75" customHeight="1" s="51">
      <c r="A180" s="20" t="inlineStr">
        <is>
          <t>TAR-017-08</t>
        </is>
      </c>
      <c r="B180" s="20" t="inlineStr">
        <is>
          <t>Tartarus</t>
        </is>
      </c>
      <c r="C180" s="20" t="inlineStr">
        <is>
          <t>Headphones &amp; Earbuds</t>
        </is>
      </c>
      <c r="D180" s="20" t="inlineStr">
        <is>
          <t>Headset</t>
        </is>
      </c>
      <c r="E180" s="21" t="inlineStr">
        <is>
          <t>Tartarus Onyx Ultra Gaming Headset</t>
        </is>
      </c>
      <c r="F180" s="23" t="n">
        <v>323.99</v>
      </c>
      <c r="G180" s="20" t="inlineStr">
        <is>
          <t>the Onyx Ultra; Tartarus Onyx Ultra; Tartaros Onyx Ultra; Onyx Ultra headset</t>
        </is>
      </c>
      <c r="H180" s="20" t="inlineStr">
        <is>
          <t>1 year limited</t>
        </is>
      </c>
      <c r="I180" s="20" t="inlineStr">
        <is>
          <t>FCC, CE, Bluetooth SIG Qualified</t>
        </is>
      </c>
      <c r="J180" s="20" t="inlineStr">
        <is>
          <t>N/A</t>
        </is>
      </c>
      <c r="K180" s="20" t="inlineStr">
        <is>
          <t>N/A</t>
        </is>
      </c>
      <c r="L180" s="20" t="inlineStr">
        <is>
          <t>N/A</t>
        </is>
      </c>
      <c r="M180" s="20" t="inlineStr">
        <is>
          <t>N/A</t>
        </is>
      </c>
      <c r="N180" s="20" t="inlineStr">
        <is>
          <t>USB-C, 3.5mm, 2.4GHz USB dongle</t>
        </is>
      </c>
      <c r="O180" s="20" t="inlineStr">
        <is>
          <t>N/A</t>
        </is>
      </c>
      <c r="P180" s="20" t="n">
        <v>35</v>
      </c>
      <c r="Q180" s="24" t="n">
        <v>380</v>
      </c>
      <c r="R180" s="20" t="inlineStr">
        <is>
          <t>Longer battery than Glaucus Drift Pro Gaming Headset [GLA-012-07] (35 vs 23 hrs); Lower price than Doris Echo Plus Gaming Headset [DOR-004-07] ($323.99 vs $325.99)</t>
        </is>
      </c>
      <c r="S180" s="20" t="inlineStr">
        <is>
          <t>gaming, streaming, voice chat</t>
        </is>
      </c>
      <c r="T180" s="0" t="inlineStr">
        <is>
          <t>in_stock</t>
        </is>
      </c>
      <c r="U180" s="0" t="n">
        <v>60</v>
      </c>
      <c r="V180" s="52" t="n">
        <v>349.99</v>
      </c>
      <c r="W180" s="0" t="inlineStr">
        <is>
          <t>2026-08-19</t>
        </is>
      </c>
      <c r="X180" s="0" t="inlineStr">
        <is>
          <t>N/A</t>
        </is>
      </c>
      <c r="Y180" s="0" t="inlineStr">
        <is>
          <t>N/A</t>
        </is>
      </c>
      <c r="Z180" s="0" t="inlineStr">
        <is>
          <t>N/A</t>
        </is>
      </c>
      <c r="AA180" s="0" t="inlineStr">
        <is>
          <t>N/A</t>
        </is>
      </c>
    </row>
    <row r="181" ht="15.75" customHeight="1" s="51">
      <c r="A181" s="20" t="inlineStr">
        <is>
          <t>TAR-017-09</t>
        </is>
      </c>
      <c r="B181" s="20" t="inlineStr">
        <is>
          <t>Tartarus</t>
        </is>
      </c>
      <c r="C181" s="20" t="inlineStr">
        <is>
          <t>Headphones &amp; Earbuds</t>
        </is>
      </c>
      <c r="D181" s="20" t="inlineStr">
        <is>
          <t>Headphones</t>
        </is>
      </c>
      <c r="E181" s="21" t="inlineStr">
        <is>
          <t>Tartarus Crest SE ANC Over-Ear Headphones</t>
        </is>
      </c>
      <c r="F181" s="23" t="n">
        <v>439.99</v>
      </c>
      <c r="G181" s="20" t="inlineStr">
        <is>
          <t>the Crest SE; Tartarus Crest SE; Tarttarus Crest SE; Crest SE headphones</t>
        </is>
      </c>
      <c r="H181" s="20" t="inlineStr">
        <is>
          <t>1 year limited</t>
        </is>
      </c>
      <c r="I181" s="20" t="inlineStr">
        <is>
          <t>FCC, CE, Bluetooth SIG Qualified, Hi-Res Audio Wireless</t>
        </is>
      </c>
      <c r="J181" s="20" t="inlineStr">
        <is>
          <t>N/A</t>
        </is>
      </c>
      <c r="K181" s="20" t="inlineStr">
        <is>
          <t>N/A</t>
        </is>
      </c>
      <c r="L181" s="20" t="inlineStr">
        <is>
          <t>N/A</t>
        </is>
      </c>
      <c r="M181" s="20" t="inlineStr">
        <is>
          <t>N/A</t>
        </is>
      </c>
      <c r="N181" s="20" t="inlineStr">
        <is>
          <t>USB-C charging and audio, 3.5mm</t>
        </is>
      </c>
      <c r="O181" s="20" t="inlineStr">
        <is>
          <t>N/A</t>
        </is>
      </c>
      <c r="P181" s="20" t="n">
        <v>54</v>
      </c>
      <c r="Q181" s="24" t="n">
        <v>221</v>
      </c>
      <c r="R181" s="20" t="inlineStr">
        <is>
          <t>Longer battery than Achelous Spark Air ANC Over-Ear Headphones [ACH-018-08] (54 vs 26 hrs); Lighter than Carpo Nova ANC Over-Ear Headphones [CAR-002-08] (221 g vs 276 g)</t>
        </is>
      </c>
      <c r="S181" s="20" t="inlineStr">
        <is>
          <t>travel, commute, office</t>
        </is>
      </c>
      <c r="T181" s="0" t="inlineStr">
        <is>
          <t>in_stock</t>
        </is>
      </c>
      <c r="U181" s="0" t="n">
        <v>60</v>
      </c>
      <c r="V181" s="52" t="n">
        <v>472.99</v>
      </c>
      <c r="W181" s="0" t="inlineStr">
        <is>
          <t>2026-09-17</t>
        </is>
      </c>
      <c r="X181" s="0" t="inlineStr">
        <is>
          <t>N/A</t>
        </is>
      </c>
      <c r="Y181" s="0" t="inlineStr">
        <is>
          <t>N/A</t>
        </is>
      </c>
      <c r="Z181" s="0" t="inlineStr">
        <is>
          <t>N/A</t>
        </is>
      </c>
      <c r="AA181" s="0" t="inlineStr">
        <is>
          <t>N/A</t>
        </is>
      </c>
    </row>
    <row r="182" ht="15.75" customHeight="1" s="51">
      <c r="A182" s="20" t="inlineStr">
        <is>
          <t>TAR-017-10</t>
        </is>
      </c>
      <c r="B182" s="20" t="inlineStr">
        <is>
          <t>Tartarus</t>
        </is>
      </c>
      <c r="C182" s="20" t="inlineStr">
        <is>
          <t>Headphones &amp; Earbuds</t>
        </is>
      </c>
      <c r="D182" s="20" t="inlineStr">
        <is>
          <t>Headphones</t>
        </is>
      </c>
      <c r="E182" s="21" t="inlineStr">
        <is>
          <t>Tartarus Pulse Ultra Audiophile Planar Headphones</t>
        </is>
      </c>
      <c r="F182" s="23" t="n">
        <v>986.99</v>
      </c>
      <c r="G182" s="20" t="inlineStr">
        <is>
          <t>the Pulse Ultra; Tartarus Pulse Ultra; Tartraus Pulse Ultra; Pulse Ultra headphones</t>
        </is>
      </c>
      <c r="H182" s="20" t="inlineStr">
        <is>
          <t>1 year limited</t>
        </is>
      </c>
      <c r="I182" s="20" t="inlineStr">
        <is>
          <t>CE, RoHS, Hi-Res Audio</t>
        </is>
      </c>
      <c r="J182" s="20" t="inlineStr">
        <is>
          <t>N/A</t>
        </is>
      </c>
      <c r="K182" s="20" t="inlineStr">
        <is>
          <t>N/A</t>
        </is>
      </c>
      <c r="L182" s="20" t="inlineStr">
        <is>
          <t>N/A</t>
        </is>
      </c>
      <c r="M182" s="20" t="inlineStr">
        <is>
          <t>N/A</t>
        </is>
      </c>
      <c r="N182" s="20" t="inlineStr">
        <is>
          <t>Detachable cable: 3.5mm, 6.35mm and 4.4mm balanced</t>
        </is>
      </c>
      <c r="O182" s="20" t="inlineStr">
        <is>
          <t>N/A</t>
        </is>
      </c>
      <c r="P182" s="20" t="inlineStr">
        <is>
          <t>N/A</t>
        </is>
      </c>
      <c r="Q182" s="24" t="n">
        <v>497</v>
      </c>
      <c r="R182" s="20" t="inlineStr">
        <is>
          <t>Lower price than Deimos Orbit Plus Audiophile Planar Headphones [DEI-005-10] ($986.99 vs $1,455.99); Lighter than Tethys Prism Plus Audiophile Planar Headphones [TET-007-10] (497 g vs 519 g)</t>
        </is>
      </c>
      <c r="S182" s="20" t="inlineStr">
        <is>
          <t>audiophile, home listening, studio</t>
        </is>
      </c>
      <c r="T182" s="0" t="inlineStr">
        <is>
          <t>in_stock</t>
        </is>
      </c>
      <c r="U182" s="0" t="n">
        <v>60</v>
      </c>
      <c r="V182" s="52" t="n">
        <v>1102.99</v>
      </c>
      <c r="W182" s="0" t="inlineStr">
        <is>
          <t>2026-08-13</t>
        </is>
      </c>
      <c r="X182" s="0" t="inlineStr">
        <is>
          <t>N/A</t>
        </is>
      </c>
      <c r="Y182" s="0" t="inlineStr">
        <is>
          <t>N/A</t>
        </is>
      </c>
      <c r="Z182" s="0" t="inlineStr">
        <is>
          <t>N/A</t>
        </is>
      </c>
      <c r="AA182" s="0" t="inlineStr">
        <is>
          <t>N/A</t>
        </is>
      </c>
    </row>
    <row r="183" ht="15.75" customHeight="1" s="51">
      <c r="A183" s="20" t="inlineStr">
        <is>
          <t>ACH-018-01</t>
        </is>
      </c>
      <c r="B183" s="20" t="inlineStr">
        <is>
          <t>Achelous</t>
        </is>
      </c>
      <c r="C183" s="20" t="inlineStr">
        <is>
          <t>Headphones &amp; Earbuds</t>
        </is>
      </c>
      <c r="D183" s="20" t="inlineStr">
        <is>
          <t>Headphones</t>
        </is>
      </c>
      <c r="E183" s="21" t="inlineStr">
        <is>
          <t>Achelous Volt SE Kids Headphones</t>
        </is>
      </c>
      <c r="F183" s="23" t="n">
        <v>51.99</v>
      </c>
      <c r="G183" s="20" t="inlineStr">
        <is>
          <t>the Volt SE; Achelous Volt SE; Acehlous Volt SE; Volt SE headphones</t>
        </is>
      </c>
      <c r="H183" s="20" t="inlineStr">
        <is>
          <t>1 year limited</t>
        </is>
      </c>
      <c r="I183" s="20" t="inlineStr">
        <is>
          <t>FCC, CE, Bluetooth SIG Qualified, EN 71 Toy Safety</t>
        </is>
      </c>
      <c r="J183" s="20" t="inlineStr">
        <is>
          <t>N/A</t>
        </is>
      </c>
      <c r="K183" s="20" t="inlineStr">
        <is>
          <t>N/A</t>
        </is>
      </c>
      <c r="L183" s="20" t="inlineStr">
        <is>
          <t>N/A</t>
        </is>
      </c>
      <c r="M183" s="20" t="inlineStr">
        <is>
          <t>N/A</t>
        </is>
      </c>
      <c r="N183" s="20" t="inlineStr">
        <is>
          <t>USB-C charging, 3.5mm (85 dB limited)</t>
        </is>
      </c>
      <c r="O183" s="20" t="inlineStr">
        <is>
          <t>N/A</t>
        </is>
      </c>
      <c r="P183" s="20" t="n">
        <v>25</v>
      </c>
      <c r="Q183" s="24" t="n">
        <v>148</v>
      </c>
      <c r="R183" s="20" t="inlineStr">
        <is>
          <t>Lower price than Ananke Echo Ultra Kids Headphones [ANA-023-01] ($51.99 vs $53.99); Longer battery than Tethys Pulse Kids Headphones [TET-007-01] (25 vs 20 hrs)</t>
        </is>
      </c>
      <c r="S183" s="20" t="inlineStr">
        <is>
          <t>kids, school, travel</t>
        </is>
      </c>
      <c r="T183" s="0" t="inlineStr">
        <is>
          <t>in_stock</t>
        </is>
      </c>
      <c r="U183" s="0" t="n">
        <v>30</v>
      </c>
      <c r="V183" s="52" t="n">
        <v>58.99</v>
      </c>
      <c r="W183" s="0" t="inlineStr">
        <is>
          <t>2026-09-06</t>
        </is>
      </c>
      <c r="X183" s="0" t="inlineStr">
        <is>
          <t>N/A</t>
        </is>
      </c>
      <c r="Y183" s="0" t="inlineStr">
        <is>
          <t>N/A</t>
        </is>
      </c>
      <c r="Z183" s="0" t="inlineStr">
        <is>
          <t>N/A</t>
        </is>
      </c>
      <c r="AA183" s="0" t="inlineStr">
        <is>
          <t>N/A</t>
        </is>
      </c>
    </row>
    <row r="184" ht="15.75" customHeight="1" s="51">
      <c r="A184" s="20" t="inlineStr">
        <is>
          <t>ACH-018-02</t>
        </is>
      </c>
      <c r="B184" s="20" t="inlineStr">
        <is>
          <t>Achelous</t>
        </is>
      </c>
      <c r="C184" s="20" t="inlineStr">
        <is>
          <t>Headphones &amp; Earbuds</t>
        </is>
      </c>
      <c r="D184" s="20" t="inlineStr">
        <is>
          <t>Earbuds</t>
        </is>
      </c>
      <c r="E184" s="21" t="inlineStr">
        <is>
          <t>Achelous Prism Pro True Wireless Earbuds</t>
        </is>
      </c>
      <c r="F184" s="23" t="n">
        <v>71.98999999999999</v>
      </c>
      <c r="G184" s="20" t="inlineStr">
        <is>
          <t>the Prism Pro; Achelous Prism Pro; Acchelous Prism Pro; Prism Pro earbuds</t>
        </is>
      </c>
      <c r="H184" s="20" t="inlineStr">
        <is>
          <t>1 year limited</t>
        </is>
      </c>
      <c r="I184" s="20" t="inlineStr">
        <is>
          <t>FCC, CE, Bluetooth SIG Qualified, IPX4</t>
        </is>
      </c>
      <c r="J184" s="20" t="inlineStr">
        <is>
          <t>N/A</t>
        </is>
      </c>
      <c r="K184" s="20" t="inlineStr">
        <is>
          <t>N/A</t>
        </is>
      </c>
      <c r="L184" s="20" t="inlineStr">
        <is>
          <t>N/A</t>
        </is>
      </c>
      <c r="M184" s="20" t="inlineStr">
        <is>
          <t>N/A</t>
        </is>
      </c>
      <c r="N184" s="20" t="inlineStr">
        <is>
          <t>USB-C charging case</t>
        </is>
      </c>
      <c r="O184" s="20" t="inlineStr">
        <is>
          <t>N/A</t>
        </is>
      </c>
      <c r="P184" s="20" t="n">
        <v>5</v>
      </c>
      <c r="Q184" s="24" t="n">
        <v>6</v>
      </c>
      <c r="R184" s="20" t="inlineStr">
        <is>
          <t>Lower price than Doris Rift Ultra True Wireless Earbuds [DOR-004-03] ($71.99 vs $115.99); Lighter than Hebe Drift True Wireless Earbuds [HEB-011-03] (6 g vs 7 g)</t>
        </is>
      </c>
      <c r="S184" s="20" t="inlineStr">
        <is>
          <t>commute, everyday, travel</t>
        </is>
      </c>
      <c r="T184" s="0" t="inlineStr">
        <is>
          <t>in_stock</t>
        </is>
      </c>
      <c r="U184" s="0" t="n">
        <v>30</v>
      </c>
      <c r="V184" s="52" t="n">
        <v>75.98999999999999</v>
      </c>
      <c r="W184" s="0" t="inlineStr">
        <is>
          <t>2026-09-24</t>
        </is>
      </c>
      <c r="X184" s="0" t="inlineStr">
        <is>
          <t>N/A</t>
        </is>
      </c>
      <c r="Y184" s="0" t="inlineStr">
        <is>
          <t>N/A</t>
        </is>
      </c>
      <c r="Z184" s="0" t="inlineStr">
        <is>
          <t>N/A</t>
        </is>
      </c>
      <c r="AA184" s="0" t="inlineStr">
        <is>
          <t>N/A</t>
        </is>
      </c>
    </row>
    <row r="185" ht="15.75" customHeight="1" s="51">
      <c r="A185" s="20" t="inlineStr">
        <is>
          <t>ACH-018-03</t>
        </is>
      </c>
      <c r="B185" s="20" t="inlineStr">
        <is>
          <t>Achelous</t>
        </is>
      </c>
      <c r="C185" s="20" t="inlineStr">
        <is>
          <t>Headphones &amp; Earbuds</t>
        </is>
      </c>
      <c r="D185" s="20" t="inlineStr">
        <is>
          <t>Headphones</t>
        </is>
      </c>
      <c r="E185" s="21" t="inlineStr">
        <is>
          <t>Achelous Sable Bone Conduction Headphones</t>
        </is>
      </c>
      <c r="F185" s="23" t="n">
        <v>135.99</v>
      </c>
      <c r="G185" s="20" t="inlineStr">
        <is>
          <t>the Sable; Achelous Sable; Acheolus Sable; Sable headphones</t>
        </is>
      </c>
      <c r="H185" s="20" t="inlineStr">
        <is>
          <t>1 year limited</t>
        </is>
      </c>
      <c r="I185" s="20" t="inlineStr">
        <is>
          <t>FCC, CE, Bluetooth SIG Qualified, IP67</t>
        </is>
      </c>
      <c r="J185" s="20" t="inlineStr">
        <is>
          <t>N/A</t>
        </is>
      </c>
      <c r="K185" s="20" t="inlineStr">
        <is>
          <t>N/A</t>
        </is>
      </c>
      <c r="L185" s="20" t="inlineStr">
        <is>
          <t>N/A</t>
        </is>
      </c>
      <c r="M185" s="20" t="inlineStr">
        <is>
          <t>N/A</t>
        </is>
      </c>
      <c r="N185" s="20" t="inlineStr">
        <is>
          <t>Magnetic USB charging</t>
        </is>
      </c>
      <c r="O185" s="20" t="inlineStr">
        <is>
          <t>N/A</t>
        </is>
      </c>
      <c r="P185" s="20" t="n">
        <v>10</v>
      </c>
      <c r="Q185" s="24" t="n">
        <v>30</v>
      </c>
      <c r="R185" s="20" t="inlineStr">
        <is>
          <t>Longer battery than Nereus Nova Pro Bone Conduction Headphones [NER-020-05] (10 vs 6 hrs); Lighter than Deimos Crest Bone Conduction Headphones [DEI-005-03] (30 g vs 35 g)</t>
        </is>
      </c>
      <c r="S185" s="20" t="inlineStr">
        <is>
          <t>running, cycling, outdoor</t>
        </is>
      </c>
      <c r="T185" s="0" t="inlineStr">
        <is>
          <t>in_stock</t>
        </is>
      </c>
      <c r="U185" s="0" t="n">
        <v>30</v>
      </c>
      <c r="V185" s="52" t="n">
        <v>154.99</v>
      </c>
      <c r="W185" s="0" t="inlineStr">
        <is>
          <t>2026-08-15</t>
        </is>
      </c>
      <c r="X185" s="0" t="inlineStr">
        <is>
          <t>N/A</t>
        </is>
      </c>
      <c r="Y185" s="0" t="inlineStr">
        <is>
          <t>N/A</t>
        </is>
      </c>
      <c r="Z185" s="0" t="inlineStr">
        <is>
          <t>N/A</t>
        </is>
      </c>
      <c r="AA185" s="0" t="inlineStr">
        <is>
          <t>N/A</t>
        </is>
      </c>
    </row>
    <row r="186" ht="15.75" customHeight="1" s="51">
      <c r="A186" s="20" t="inlineStr">
        <is>
          <t>ACH-018-04</t>
        </is>
      </c>
      <c r="B186" s="20" t="inlineStr">
        <is>
          <t>Achelous</t>
        </is>
      </c>
      <c r="C186" s="20" t="inlineStr">
        <is>
          <t>Headphones &amp; Earbuds</t>
        </is>
      </c>
      <c r="D186" s="20" t="inlineStr">
        <is>
          <t>Earbuds</t>
        </is>
      </c>
      <c r="E186" s="21" t="inlineStr">
        <is>
          <t>Achelous Core Max Sport Earbuds</t>
        </is>
      </c>
      <c r="F186" s="23" t="n">
        <v>154.99</v>
      </c>
      <c r="G186" s="20" t="inlineStr">
        <is>
          <t>the Core Max; Achelous Core Max; Ahcelous Core Max; Core Max earbuds</t>
        </is>
      </c>
      <c r="H186" s="20" t="inlineStr">
        <is>
          <t>1 year limited</t>
        </is>
      </c>
      <c r="I186" s="20" t="inlineStr">
        <is>
          <t>FCC, CE, Bluetooth SIG Qualified, IPX4</t>
        </is>
      </c>
      <c r="J186" s="20" t="inlineStr">
        <is>
          <t>N/A</t>
        </is>
      </c>
      <c r="K186" s="20" t="inlineStr">
        <is>
          <t>N/A</t>
        </is>
      </c>
      <c r="L186" s="20" t="inlineStr">
        <is>
          <t>N/A</t>
        </is>
      </c>
      <c r="M186" s="20" t="inlineStr">
        <is>
          <t>N/A</t>
        </is>
      </c>
      <c r="N186" s="20" t="inlineStr">
        <is>
          <t>USB-C charging case</t>
        </is>
      </c>
      <c r="O186" s="20" t="inlineStr">
        <is>
          <t>N/A</t>
        </is>
      </c>
      <c r="P186" s="20" t="n">
        <v>6</v>
      </c>
      <c r="Q186" s="24" t="n">
        <v>8</v>
      </c>
      <c r="R186" s="20" t="inlineStr">
        <is>
          <t>Lower price than Hesperus Lumen Ultra Sport Earbuds [HES-025-05] ($154.99 vs $188.99); Lighter than Asteria Core Sport Earbuds [AST-006-02] (8 g vs 9 g)</t>
        </is>
      </c>
      <c r="S186" s="20" t="inlineStr">
        <is>
          <t>gym, running, sport</t>
        </is>
      </c>
      <c r="T186" s="0" t="inlineStr">
        <is>
          <t>in_stock</t>
        </is>
      </c>
      <c r="U186" s="0" t="n">
        <v>30</v>
      </c>
      <c r="V186" s="52" t="n">
        <v>171.99</v>
      </c>
      <c r="W186" s="0" t="inlineStr">
        <is>
          <t>2026-09-08</t>
        </is>
      </c>
      <c r="X186" s="0" t="inlineStr">
        <is>
          <t>N/A</t>
        </is>
      </c>
      <c r="Y186" s="0" t="inlineStr">
        <is>
          <t>N/A</t>
        </is>
      </c>
      <c r="Z186" s="0" t="inlineStr">
        <is>
          <t>N/A</t>
        </is>
      </c>
      <c r="AA186" s="0" t="inlineStr">
        <is>
          <t>N/A</t>
        </is>
      </c>
    </row>
    <row r="187" ht="15.75" customHeight="1" s="51">
      <c r="A187" s="20" t="inlineStr">
        <is>
          <t>ACH-018-05</t>
        </is>
      </c>
      <c r="B187" s="20" t="inlineStr">
        <is>
          <t>Achelous</t>
        </is>
      </c>
      <c r="C187" s="20" t="inlineStr">
        <is>
          <t>Headphones &amp; Earbuds</t>
        </is>
      </c>
      <c r="D187" s="20" t="inlineStr">
        <is>
          <t>Headphones</t>
        </is>
      </c>
      <c r="E187" s="21" t="inlineStr">
        <is>
          <t>Achelous Axis Pro On-Ear Headphones</t>
        </is>
      </c>
      <c r="F187" s="23" t="n">
        <v>161.99</v>
      </c>
      <c r="G187" s="20" t="inlineStr">
        <is>
          <t>the Axis Pro; Achelous Axis Pro; Achelouss Axis Pro; Axis Pro headphones</t>
        </is>
      </c>
      <c r="H187" s="20" t="inlineStr">
        <is>
          <t>1 year limited</t>
        </is>
      </c>
      <c r="I187" s="20" t="inlineStr">
        <is>
          <t>FCC, CE, Bluetooth SIG Qualified</t>
        </is>
      </c>
      <c r="J187" s="20" t="inlineStr">
        <is>
          <t>N/A</t>
        </is>
      </c>
      <c r="K187" s="20" t="inlineStr">
        <is>
          <t>N/A</t>
        </is>
      </c>
      <c r="L187" s="20" t="inlineStr">
        <is>
          <t>N/A</t>
        </is>
      </c>
      <c r="M187" s="20" t="inlineStr">
        <is>
          <t>N/A</t>
        </is>
      </c>
      <c r="N187" s="20" t="inlineStr">
        <is>
          <t>USB-C charging, 3.5mm</t>
        </is>
      </c>
      <c r="O187" s="20" t="inlineStr">
        <is>
          <t>N/A</t>
        </is>
      </c>
      <c r="P187" s="20" t="n">
        <v>44</v>
      </c>
      <c r="Q187" s="24" t="n">
        <v>168</v>
      </c>
      <c r="R187" s="20" t="inlineStr">
        <is>
          <t>Lower price than Poseidon Arc Lite On-Ear Headphones [POS-021-08] ($161.99 vs $197.99); Lighter than Chaos Orbit Plus On-Ear Headphones [CHA-016-03] (168 g vs 174 g)</t>
        </is>
      </c>
      <c r="S187" s="20" t="inlineStr">
        <is>
          <t>everyday, commute, school</t>
        </is>
      </c>
      <c r="T187" s="0" t="inlineStr">
        <is>
          <t>out_of_stock</t>
        </is>
      </c>
      <c r="U187" s="0" t="n">
        <v>30</v>
      </c>
      <c r="V187" s="52" t="n">
        <v>185.99</v>
      </c>
      <c r="W187" s="0" t="inlineStr">
        <is>
          <t>2026-08-08</t>
        </is>
      </c>
      <c r="X187" s="0" t="inlineStr">
        <is>
          <t>N/A</t>
        </is>
      </c>
      <c r="Y187" s="0" t="inlineStr">
        <is>
          <t>N/A</t>
        </is>
      </c>
      <c r="Z187" s="0" t="inlineStr">
        <is>
          <t>N/A</t>
        </is>
      </c>
      <c r="AA187" s="0" t="inlineStr">
        <is>
          <t>N/A</t>
        </is>
      </c>
    </row>
    <row r="188" ht="15.75" customHeight="1" s="51">
      <c r="A188" s="20" t="inlineStr">
        <is>
          <t>ACH-018-06</t>
        </is>
      </c>
      <c r="B188" s="20" t="inlineStr">
        <is>
          <t>Achelous</t>
        </is>
      </c>
      <c r="C188" s="20" t="inlineStr">
        <is>
          <t>Headphones &amp; Earbuds</t>
        </is>
      </c>
      <c r="D188" s="20" t="inlineStr">
        <is>
          <t>Earbuds</t>
        </is>
      </c>
      <c r="E188" s="21" t="inlineStr">
        <is>
          <t>Achelous Apex X Wired In-Ear Monitors</t>
        </is>
      </c>
      <c r="F188" s="23" t="n">
        <v>170.99</v>
      </c>
      <c r="G188" s="20" t="inlineStr">
        <is>
          <t>the Apex X; Achelous Apex X; Achelouss Apex X; Apex X earbuds</t>
        </is>
      </c>
      <c r="H188" s="20" t="inlineStr">
        <is>
          <t>1 year limited</t>
        </is>
      </c>
      <c r="I188" s="20" t="inlineStr">
        <is>
          <t>CE, RoHS, Hi-Res Audio</t>
        </is>
      </c>
      <c r="J188" s="20" t="inlineStr">
        <is>
          <t>N/A</t>
        </is>
      </c>
      <c r="K188" s="20" t="inlineStr">
        <is>
          <t>N/A</t>
        </is>
      </c>
      <c r="L188" s="20" t="inlineStr">
        <is>
          <t>N/A</t>
        </is>
      </c>
      <c r="M188" s="20" t="inlineStr">
        <is>
          <t>N/A</t>
        </is>
      </c>
      <c r="N188" s="20" t="inlineStr">
        <is>
          <t>Detachable 2-pin cable: 3.5mm</t>
        </is>
      </c>
      <c r="O188" s="20" t="inlineStr">
        <is>
          <t>N/A</t>
        </is>
      </c>
      <c r="P188" s="20" t="inlineStr">
        <is>
          <t>N/A</t>
        </is>
      </c>
      <c r="Q188" s="24" t="n">
        <v>32</v>
      </c>
      <c r="R188" s="20" t="inlineStr">
        <is>
          <t>Lower price than Clio Aeon Max Wired In-Ear Monitors [CLI-022-09] ($170.99 vs $347.99); Lighter than Morpheus Nova Ultra Wired In-Ear Monitors [MOR-001-02] (32 g vs 36 g)</t>
        </is>
      </c>
      <c r="S188" s="20" t="inlineStr">
        <is>
          <t>audiophile, stage monitoring, music</t>
        </is>
      </c>
      <c r="T188" s="0" t="inlineStr">
        <is>
          <t>in_stock</t>
        </is>
      </c>
      <c r="U188" s="0" t="n">
        <v>30</v>
      </c>
      <c r="V188" s="52" t="n">
        <v>177.99</v>
      </c>
      <c r="W188" s="0" t="inlineStr">
        <is>
          <t>2026-09-12</t>
        </is>
      </c>
      <c r="X188" s="0" t="inlineStr">
        <is>
          <t>N/A</t>
        </is>
      </c>
      <c r="Y188" s="0" t="inlineStr">
        <is>
          <t>N/A</t>
        </is>
      </c>
      <c r="Z188" s="0" t="inlineStr">
        <is>
          <t>N/A</t>
        </is>
      </c>
      <c r="AA188" s="0" t="inlineStr">
        <is>
          <t>N/A</t>
        </is>
      </c>
    </row>
    <row r="189" ht="15.75" customHeight="1" s="51">
      <c r="A189" s="20" t="inlineStr">
        <is>
          <t>ACH-018-07</t>
        </is>
      </c>
      <c r="B189" s="20" t="inlineStr">
        <is>
          <t>Achelous</t>
        </is>
      </c>
      <c r="C189" s="20" t="inlineStr">
        <is>
          <t>Headphones &amp; Earbuds</t>
        </is>
      </c>
      <c r="D189" s="20" t="inlineStr">
        <is>
          <t>Earbuds</t>
        </is>
      </c>
      <c r="E189" s="21" t="inlineStr">
        <is>
          <t>Achelous Zen Plus Sleep Earbuds</t>
        </is>
      </c>
      <c r="F189" s="23" t="n">
        <v>238.99</v>
      </c>
      <c r="G189" s="20" t="inlineStr">
        <is>
          <t>the Zen Plus; Achelous Zen Plus; Ahcelous Zen Plus; Zen Plus earbuds</t>
        </is>
      </c>
      <c r="H189" s="20" t="inlineStr">
        <is>
          <t>1 year limited</t>
        </is>
      </c>
      <c r="I189" s="20" t="inlineStr">
        <is>
          <t>FCC, CE, Bluetooth SIG Qualified</t>
        </is>
      </c>
      <c r="J189" s="20" t="inlineStr">
        <is>
          <t>N/A</t>
        </is>
      </c>
      <c r="K189" s="20" t="inlineStr">
        <is>
          <t>N/A</t>
        </is>
      </c>
      <c r="L189" s="20" t="inlineStr">
        <is>
          <t>N/A</t>
        </is>
      </c>
      <c r="M189" s="20" t="inlineStr">
        <is>
          <t>N/A</t>
        </is>
      </c>
      <c r="N189" s="20" t="inlineStr">
        <is>
          <t>USB-C charging case</t>
        </is>
      </c>
      <c r="O189" s="20" t="inlineStr">
        <is>
          <t>N/A</t>
        </is>
      </c>
      <c r="P189" s="20" t="n">
        <v>11</v>
      </c>
      <c r="Q189" s="24" t="n">
        <v>3</v>
      </c>
      <c r="R189" s="20" t="inlineStr">
        <is>
          <t>Longer battery than Soteria Echo Max Sleep Earbuds [SOT-014-06] (11 vs 8 hrs); Lower price than Carpo Halo Max Sleep Earbuds [CAR-002-09] ($238.99 vs $274.99)</t>
        </is>
      </c>
      <c r="S189" s="20" t="inlineStr">
        <is>
          <t>sleep, travel, relaxation</t>
        </is>
      </c>
      <c r="T189" s="0" t="inlineStr">
        <is>
          <t>in_stock</t>
        </is>
      </c>
      <c r="U189" s="0" t="n">
        <v>30</v>
      </c>
      <c r="V189" s="52" t="n">
        <v>261.99</v>
      </c>
      <c r="W189" s="0" t="inlineStr">
        <is>
          <t>2026-08-01</t>
        </is>
      </c>
      <c r="X189" s="0" t="inlineStr">
        <is>
          <t>N/A</t>
        </is>
      </c>
      <c r="Y189" s="0" t="inlineStr">
        <is>
          <t>N/A</t>
        </is>
      </c>
      <c r="Z189" s="0" t="inlineStr">
        <is>
          <t>N/A</t>
        </is>
      </c>
      <c r="AA189" s="0" t="inlineStr">
        <is>
          <t>N/A</t>
        </is>
      </c>
    </row>
    <row r="190" ht="15.75" customHeight="1" s="51">
      <c r="A190" s="20" t="inlineStr">
        <is>
          <t>ACH-018-08</t>
        </is>
      </c>
      <c r="B190" s="20" t="inlineStr">
        <is>
          <t>Achelous</t>
        </is>
      </c>
      <c r="C190" s="20" t="inlineStr">
        <is>
          <t>Headphones &amp; Earbuds</t>
        </is>
      </c>
      <c r="D190" s="20" t="inlineStr">
        <is>
          <t>Headphones</t>
        </is>
      </c>
      <c r="E190" s="21" t="inlineStr">
        <is>
          <t>Achelous Spark Air ANC Over-Ear Headphones</t>
        </is>
      </c>
      <c r="F190" s="23" t="n">
        <v>336.99</v>
      </c>
      <c r="G190" s="20" t="inlineStr">
        <is>
          <t>the Spark Air; Achelous Spark Air; Achellous Spark Air; Spark Air headphones</t>
        </is>
      </c>
      <c r="H190" s="20" t="inlineStr">
        <is>
          <t>1 year limited</t>
        </is>
      </c>
      <c r="I190" s="20" t="inlineStr">
        <is>
          <t>FCC, CE, Bluetooth SIG Qualified</t>
        </is>
      </c>
      <c r="J190" s="20" t="inlineStr">
        <is>
          <t>N/A</t>
        </is>
      </c>
      <c r="K190" s="20" t="inlineStr">
        <is>
          <t>N/A</t>
        </is>
      </c>
      <c r="L190" s="20" t="inlineStr">
        <is>
          <t>N/A</t>
        </is>
      </c>
      <c r="M190" s="20" t="inlineStr">
        <is>
          <t>N/A</t>
        </is>
      </c>
      <c r="N190" s="20" t="inlineStr">
        <is>
          <t>USB-C charging and audio, 3.5mm</t>
        </is>
      </c>
      <c r="O190" s="20" t="inlineStr">
        <is>
          <t>N/A</t>
        </is>
      </c>
      <c r="P190" s="20" t="n">
        <v>26</v>
      </c>
      <c r="Q190" s="24" t="n">
        <v>298</v>
      </c>
      <c r="R190" s="20" t="inlineStr">
        <is>
          <t>Lower price than Euphrosyne Orbit X ANC Over-Ear Headphones [EUP-019-10] ($336.99 vs $537.99); Lighter than Clio Spark Ultra ANC Over-Ear Headphones [CLI-022-10] (298 g vs 299 g)</t>
        </is>
      </c>
      <c r="S190" s="20" t="inlineStr">
        <is>
          <t>travel, commute, office</t>
        </is>
      </c>
      <c r="T190" s="0" t="inlineStr">
        <is>
          <t>in_stock</t>
        </is>
      </c>
      <c r="U190" s="0" t="n">
        <v>30</v>
      </c>
      <c r="V190" s="52" t="n">
        <v>357.99</v>
      </c>
      <c r="W190" s="0" t="inlineStr">
        <is>
          <t>2026-09-03</t>
        </is>
      </c>
      <c r="X190" s="0" t="inlineStr">
        <is>
          <t>N/A</t>
        </is>
      </c>
      <c r="Y190" s="0" t="inlineStr">
        <is>
          <t>N/A</t>
        </is>
      </c>
      <c r="Z190" s="0" t="inlineStr">
        <is>
          <t>N/A</t>
        </is>
      </c>
      <c r="AA190" s="0" t="inlineStr">
        <is>
          <t>N/A</t>
        </is>
      </c>
    </row>
    <row r="191" ht="15.75" customHeight="1" s="51">
      <c r="A191" s="20" t="inlineStr">
        <is>
          <t>ACH-018-09</t>
        </is>
      </c>
      <c r="B191" s="20" t="inlineStr">
        <is>
          <t>Achelous</t>
        </is>
      </c>
      <c r="C191" s="20" t="inlineStr">
        <is>
          <t>Headphones &amp; Earbuds</t>
        </is>
      </c>
      <c r="D191" s="20" t="inlineStr">
        <is>
          <t>Headphones</t>
        </is>
      </c>
      <c r="E191" s="21" t="inlineStr">
        <is>
          <t>Achelous Axis Ultra Studio Monitor Headphones</t>
        </is>
      </c>
      <c r="F191" s="23" t="n">
        <v>428.99</v>
      </c>
      <c r="G191" s="20" t="inlineStr">
        <is>
          <t>the Axis Ultra; Achelous Axis Ultra; Ahcelous Axis Ultra; Axis Ultra headphones</t>
        </is>
      </c>
      <c r="H191" s="20" t="inlineStr">
        <is>
          <t>1 year limited</t>
        </is>
      </c>
      <c r="I191" s="20" t="inlineStr">
        <is>
          <t>CE, RoHS, Hi-Res Audio</t>
        </is>
      </c>
      <c r="J191" s="20" t="inlineStr">
        <is>
          <t>N/A</t>
        </is>
      </c>
      <c r="K191" s="20" t="inlineStr">
        <is>
          <t>N/A</t>
        </is>
      </c>
      <c r="L191" s="20" t="inlineStr">
        <is>
          <t>N/A</t>
        </is>
      </c>
      <c r="M191" s="20" t="inlineStr">
        <is>
          <t>N/A</t>
        </is>
      </c>
      <c r="N191" s="20" t="inlineStr">
        <is>
          <t>Detachable cable: 3.5mm with 6.35mm adapter</t>
        </is>
      </c>
      <c r="O191" s="20" t="inlineStr">
        <is>
          <t>N/A</t>
        </is>
      </c>
      <c r="P191" s="20" t="inlineStr">
        <is>
          <t>N/A</t>
        </is>
      </c>
      <c r="Q191" s="24" t="n">
        <v>325</v>
      </c>
      <c r="R191" s="20" t="inlineStr">
        <is>
          <t>Lower price than Aura Drift Studio Monitor Headphones [AUR-015-10] ($428.99 vs $497.99); Lighter than Tethys Blaze Ultra Studio Monitor Headphones [TET-007-08] (325 g vs 355 g)</t>
        </is>
      </c>
      <c r="S191" s="20" t="inlineStr">
        <is>
          <t>music production, studio, podcasting</t>
        </is>
      </c>
      <c r="T191" s="0" t="inlineStr">
        <is>
          <t>out_of_stock</t>
        </is>
      </c>
      <c r="U191" s="0" t="n">
        <v>30</v>
      </c>
      <c r="V191" s="52" t="n">
        <v>462.99</v>
      </c>
      <c r="W191" s="0" t="inlineStr">
        <is>
          <t>2026-08-26</t>
        </is>
      </c>
      <c r="X191" s="0" t="inlineStr">
        <is>
          <t>N/A</t>
        </is>
      </c>
      <c r="Y191" s="0" t="inlineStr">
        <is>
          <t>N/A</t>
        </is>
      </c>
      <c r="Z191" s="0" t="inlineStr">
        <is>
          <t>N/A</t>
        </is>
      </c>
      <c r="AA191" s="0" t="inlineStr">
        <is>
          <t>N/A</t>
        </is>
      </c>
    </row>
    <row r="192" ht="15.75" customHeight="1" s="51">
      <c r="A192" s="20" t="inlineStr">
        <is>
          <t>ACH-018-10</t>
        </is>
      </c>
      <c r="B192" s="20" t="inlineStr">
        <is>
          <t>Achelous</t>
        </is>
      </c>
      <c r="C192" s="20" t="inlineStr">
        <is>
          <t>Headphones &amp; Earbuds</t>
        </is>
      </c>
      <c r="D192" s="20" t="inlineStr">
        <is>
          <t>Headphones</t>
        </is>
      </c>
      <c r="E192" s="21" t="inlineStr">
        <is>
          <t>Achelous Axis Ultra Audiophile Planar Headphones</t>
        </is>
      </c>
      <c r="F192" s="23" t="n">
        <v>790.99</v>
      </c>
      <c r="G192" s="20" t="inlineStr">
        <is>
          <t>the Axis Ultra; Achelous Axis Ultra; Achleous Axis Ultra; Axis Ultra headphones</t>
        </is>
      </c>
      <c r="H192" s="20" t="inlineStr">
        <is>
          <t>1 year limited</t>
        </is>
      </c>
      <c r="I192" s="20" t="inlineStr">
        <is>
          <t>CE, RoHS, Hi-Res Audio</t>
        </is>
      </c>
      <c r="J192" s="20" t="inlineStr">
        <is>
          <t>N/A</t>
        </is>
      </c>
      <c r="K192" s="20" t="inlineStr">
        <is>
          <t>N/A</t>
        </is>
      </c>
      <c r="L192" s="20" t="inlineStr">
        <is>
          <t>N/A</t>
        </is>
      </c>
      <c r="M192" s="20" t="inlineStr">
        <is>
          <t>N/A</t>
        </is>
      </c>
      <c r="N192" s="20" t="inlineStr">
        <is>
          <t>Detachable cable: 3.5mm, 6.35mm and 4.4mm balanced</t>
        </is>
      </c>
      <c r="O192" s="20" t="inlineStr">
        <is>
          <t>N/A</t>
        </is>
      </c>
      <c r="P192" s="20" t="inlineStr">
        <is>
          <t>N/A</t>
        </is>
      </c>
      <c r="Q192" s="24" t="n">
        <v>550</v>
      </c>
      <c r="R192" s="20" t="inlineStr">
        <is>
          <t>Lower price than Tartarus Pulse Ultra Audiophile Planar Headphones [TAR-017-10] ($790.99 vs $986.99)</t>
        </is>
      </c>
      <c r="S192" s="20" t="inlineStr">
        <is>
          <t>audiophile, home listening, studio</t>
        </is>
      </c>
      <c r="T192" s="0" t="inlineStr">
        <is>
          <t>out_of_stock</t>
        </is>
      </c>
      <c r="U192" s="0" t="n">
        <v>30</v>
      </c>
      <c r="V192" s="52" t="n">
        <v>828.99</v>
      </c>
      <c r="W192" s="0" t="inlineStr">
        <is>
          <t>2026-08-17</t>
        </is>
      </c>
      <c r="X192" s="0" t="inlineStr">
        <is>
          <t>N/A</t>
        </is>
      </c>
      <c r="Y192" s="0" t="inlineStr">
        <is>
          <t>N/A</t>
        </is>
      </c>
      <c r="Z192" s="0" t="inlineStr">
        <is>
          <t>N/A</t>
        </is>
      </c>
      <c r="AA192" s="0" t="inlineStr">
        <is>
          <t>N/A</t>
        </is>
      </c>
    </row>
    <row r="193" ht="15.75" customHeight="1" s="51">
      <c r="A193" s="20" t="inlineStr">
        <is>
          <t>EUP-019-01</t>
        </is>
      </c>
      <c r="B193" s="20" t="inlineStr">
        <is>
          <t>Euphrosyne</t>
        </is>
      </c>
      <c r="C193" s="20" t="inlineStr">
        <is>
          <t>Headphones &amp; Earbuds</t>
        </is>
      </c>
      <c r="D193" s="20" t="inlineStr">
        <is>
          <t>Headphones</t>
        </is>
      </c>
      <c r="E193" s="21" t="inlineStr">
        <is>
          <t>Euphrosyne Vibe Max Kids Headphones</t>
        </is>
      </c>
      <c r="F193" s="23" t="n">
        <v>52.99</v>
      </c>
      <c r="G193" s="20" t="inlineStr">
        <is>
          <t>the Vibe Max; Euphrosyne Vibe Max; Euprhosyne Vibe Max; Vibe Max headphones</t>
        </is>
      </c>
      <c r="H193" s="20" t="inlineStr">
        <is>
          <t>1 year limited</t>
        </is>
      </c>
      <c r="I193" s="20" t="inlineStr">
        <is>
          <t>FCC, CE, Bluetooth SIG Qualified, EN 71 Toy Safety</t>
        </is>
      </c>
      <c r="J193" s="20" t="inlineStr">
        <is>
          <t>N/A</t>
        </is>
      </c>
      <c r="K193" s="20" t="inlineStr">
        <is>
          <t>N/A</t>
        </is>
      </c>
      <c r="L193" s="20" t="inlineStr">
        <is>
          <t>N/A</t>
        </is>
      </c>
      <c r="M193" s="20" t="inlineStr">
        <is>
          <t>N/A</t>
        </is>
      </c>
      <c r="N193" s="20" t="inlineStr">
        <is>
          <t>USB-C charging, 3.5mm (85 dB limited)</t>
        </is>
      </c>
      <c r="O193" s="20" t="inlineStr">
        <is>
          <t>N/A</t>
        </is>
      </c>
      <c r="P193" s="20" t="n">
        <v>27</v>
      </c>
      <c r="Q193" s="24" t="n">
        <v>134</v>
      </c>
      <c r="R193" s="20" t="inlineStr">
        <is>
          <t>Lighter than Hebe Apex X Kids Headphones [HEB-011-02] (134 g vs 152 g); Lower price than Soteria Lumen Kids Headphones [SOT-014-01] ($52.99 vs $55.99)</t>
        </is>
      </c>
      <c r="S193" s="20" t="inlineStr">
        <is>
          <t>kids, school, travel</t>
        </is>
      </c>
      <c r="T193" s="0" t="inlineStr">
        <is>
          <t>in_stock</t>
        </is>
      </c>
      <c r="U193" s="0" t="n">
        <v>14</v>
      </c>
      <c r="V193" s="52" t="n">
        <v>60.99</v>
      </c>
      <c r="W193" s="0" t="inlineStr">
        <is>
          <t>2026-08-21</t>
        </is>
      </c>
      <c r="X193" s="0" t="inlineStr">
        <is>
          <t>N/A</t>
        </is>
      </c>
      <c r="Y193" s="0" t="inlineStr">
        <is>
          <t>N/A</t>
        </is>
      </c>
      <c r="Z193" s="0" t="inlineStr">
        <is>
          <t>N/A</t>
        </is>
      </c>
      <c r="AA193" s="0" t="inlineStr">
        <is>
          <t>N/A</t>
        </is>
      </c>
    </row>
    <row r="194" ht="15.75" customHeight="1" s="51">
      <c r="A194" s="20" t="inlineStr">
        <is>
          <t>EUP-019-02</t>
        </is>
      </c>
      <c r="B194" s="20" t="inlineStr">
        <is>
          <t>Euphrosyne</t>
        </is>
      </c>
      <c r="C194" s="20" t="inlineStr">
        <is>
          <t>Headphones &amp; Earbuds</t>
        </is>
      </c>
      <c r="D194" s="20" t="inlineStr">
        <is>
          <t>Earbuds</t>
        </is>
      </c>
      <c r="E194" s="21" t="inlineStr">
        <is>
          <t>Euphrosyne Prism True Wireless Earbuds</t>
        </is>
      </c>
      <c r="F194" s="23" t="n">
        <v>93.98999999999999</v>
      </c>
      <c r="G194" s="20" t="inlineStr">
        <is>
          <t>the Prism; Euphrosyne Prism; Euphrrosyne Prism; Prism earbuds</t>
        </is>
      </c>
      <c r="H194" s="20" t="inlineStr">
        <is>
          <t>1 year limited</t>
        </is>
      </c>
      <c r="I194" s="20" t="inlineStr">
        <is>
          <t>FCC, CE, Bluetooth SIG Qualified, IPX4</t>
        </is>
      </c>
      <c r="J194" s="20" t="inlineStr">
        <is>
          <t>N/A</t>
        </is>
      </c>
      <c r="K194" s="20" t="inlineStr">
        <is>
          <t>N/A</t>
        </is>
      </c>
      <c r="L194" s="20" t="inlineStr">
        <is>
          <t>N/A</t>
        </is>
      </c>
      <c r="M194" s="20" t="inlineStr">
        <is>
          <t>N/A</t>
        </is>
      </c>
      <c r="N194" s="20" t="inlineStr">
        <is>
          <t>USB-C charging case</t>
        </is>
      </c>
      <c r="O194" s="20" t="inlineStr">
        <is>
          <t>N/A</t>
        </is>
      </c>
      <c r="P194" s="20" t="n">
        <v>6</v>
      </c>
      <c r="Q194" s="24" t="n">
        <v>6</v>
      </c>
      <c r="R194" s="20" t="inlineStr">
        <is>
          <t>Lower price than Hesperus Halo Pro True Wireless Earbuds [HES-025-07] ($93.99 vs $270.99); Lighter than Zeus Volt Max True Wireless Earbuds [ZEU-013-09] (6 g vs 7 g)</t>
        </is>
      </c>
      <c r="S194" s="20" t="inlineStr">
        <is>
          <t>commute, everyday, travel</t>
        </is>
      </c>
      <c r="T194" s="0" t="inlineStr">
        <is>
          <t>in_stock</t>
        </is>
      </c>
      <c r="U194" s="0" t="n">
        <v>14</v>
      </c>
      <c r="V194" s="52" t="n">
        <v>103.99</v>
      </c>
      <c r="W194" s="0" t="inlineStr">
        <is>
          <t>2026-09-12</t>
        </is>
      </c>
      <c r="X194" s="0" t="inlineStr">
        <is>
          <t>N/A</t>
        </is>
      </c>
      <c r="Y194" s="0" t="inlineStr">
        <is>
          <t>N/A</t>
        </is>
      </c>
      <c r="Z194" s="0" t="inlineStr">
        <is>
          <t>N/A</t>
        </is>
      </c>
      <c r="AA194" s="0" t="inlineStr">
        <is>
          <t>N/A</t>
        </is>
      </c>
    </row>
    <row r="195" ht="15.75" customHeight="1" s="51">
      <c r="A195" s="20" t="inlineStr">
        <is>
          <t>EUP-019-03</t>
        </is>
      </c>
      <c r="B195" s="20" t="inlineStr">
        <is>
          <t>Euphrosyne</t>
        </is>
      </c>
      <c r="C195" s="20" t="inlineStr">
        <is>
          <t>Headphones &amp; Earbuds</t>
        </is>
      </c>
      <c r="D195" s="20" t="inlineStr">
        <is>
          <t>Headphones</t>
        </is>
      </c>
      <c r="E195" s="21" t="inlineStr">
        <is>
          <t>Euphrosyne Blaze X On-Ear Headphones</t>
        </is>
      </c>
      <c r="F195" s="23" t="n">
        <v>128.99</v>
      </c>
      <c r="G195" s="20" t="inlineStr">
        <is>
          <t>the Blaze X; Euphrosyne Blaze X; Uphrosyne Blaze X; Blaze X headphones</t>
        </is>
      </c>
      <c r="H195" s="20" t="inlineStr">
        <is>
          <t>1 year limited</t>
        </is>
      </c>
      <c r="I195" s="20" t="inlineStr">
        <is>
          <t>FCC, CE, Bluetooth SIG Qualified</t>
        </is>
      </c>
      <c r="J195" s="20" t="inlineStr">
        <is>
          <t>N/A</t>
        </is>
      </c>
      <c r="K195" s="20" t="inlineStr">
        <is>
          <t>N/A</t>
        </is>
      </c>
      <c r="L195" s="20" t="inlineStr">
        <is>
          <t>N/A</t>
        </is>
      </c>
      <c r="M195" s="20" t="inlineStr">
        <is>
          <t>N/A</t>
        </is>
      </c>
      <c r="N195" s="20" t="inlineStr">
        <is>
          <t>USB-C charging, 3.5mm</t>
        </is>
      </c>
      <c r="O195" s="20" t="inlineStr">
        <is>
          <t>N/A</t>
        </is>
      </c>
      <c r="P195" s="20" t="n">
        <v>35</v>
      </c>
      <c r="Q195" s="24" t="n">
        <v>225</v>
      </c>
      <c r="R195" s="20" t="inlineStr">
        <is>
          <t>Lower price than Achelous Axis Pro On-Ear Headphones [ACH-018-05] ($128.99 vs $161.99); Longer battery than Hedone Nimbus Max On-Ear Headphones [HED-010-04] (35 vs 30 hrs)</t>
        </is>
      </c>
      <c r="S195" s="20" t="inlineStr">
        <is>
          <t>everyday, commute, school</t>
        </is>
      </c>
      <c r="T195" s="0" t="inlineStr">
        <is>
          <t>low_stock</t>
        </is>
      </c>
      <c r="U195" s="0" t="n">
        <v>14</v>
      </c>
      <c r="V195" s="52" t="n">
        <v>144.99</v>
      </c>
      <c r="W195" s="0" t="inlineStr">
        <is>
          <t>2026-09-21</t>
        </is>
      </c>
      <c r="X195" s="0" t="inlineStr">
        <is>
          <t>N/A</t>
        </is>
      </c>
      <c r="Y195" s="0" t="inlineStr">
        <is>
          <t>N/A</t>
        </is>
      </c>
      <c r="Z195" s="0" t="inlineStr">
        <is>
          <t>N/A</t>
        </is>
      </c>
      <c r="AA195" s="0" t="inlineStr">
        <is>
          <t>N/A</t>
        </is>
      </c>
    </row>
    <row r="196" ht="15.75" customHeight="1" s="51">
      <c r="A196" s="20" t="inlineStr">
        <is>
          <t>EUP-019-04</t>
        </is>
      </c>
      <c r="B196" s="20" t="inlineStr">
        <is>
          <t>Euphrosyne</t>
        </is>
      </c>
      <c r="C196" s="20" t="inlineStr">
        <is>
          <t>Headphones &amp; Earbuds</t>
        </is>
      </c>
      <c r="D196" s="20" t="inlineStr">
        <is>
          <t>Earbuds</t>
        </is>
      </c>
      <c r="E196" s="21" t="inlineStr">
        <is>
          <t>Euphrosyne Axis Lite Wired In-Ear Monitors</t>
        </is>
      </c>
      <c r="F196" s="23" t="n">
        <v>163.99</v>
      </c>
      <c r="G196" s="20" t="inlineStr">
        <is>
          <t>the Axis Lite; Euphrosyne Axis Lite; Euuphrosyne Axis Lite; Axis Lite earbuds</t>
        </is>
      </c>
      <c r="H196" s="20" t="inlineStr">
        <is>
          <t>1 year limited</t>
        </is>
      </c>
      <c r="I196" s="20" t="inlineStr">
        <is>
          <t>CE, RoHS, Hi-Res Audio</t>
        </is>
      </c>
      <c r="J196" s="20" t="inlineStr">
        <is>
          <t>N/A</t>
        </is>
      </c>
      <c r="K196" s="20" t="inlineStr">
        <is>
          <t>N/A</t>
        </is>
      </c>
      <c r="L196" s="20" t="inlineStr">
        <is>
          <t>N/A</t>
        </is>
      </c>
      <c r="M196" s="20" t="inlineStr">
        <is>
          <t>N/A</t>
        </is>
      </c>
      <c r="N196" s="20" t="inlineStr">
        <is>
          <t>Detachable 2-pin cable: 3.5mm</t>
        </is>
      </c>
      <c r="O196" s="20" t="inlineStr">
        <is>
          <t>N/A</t>
        </is>
      </c>
      <c r="P196" s="20" t="inlineStr">
        <is>
          <t>N/A</t>
        </is>
      </c>
      <c r="Q196" s="24" t="n">
        <v>27</v>
      </c>
      <c r="R196" s="20" t="inlineStr">
        <is>
          <t>Lighter than Doris Halo Wired In-Ear Monitors [DOR-004-04] (27 g vs 40 g); Lower price than Carpo Nova Air Wired In-Ear Monitors [CAR-002-06] ($163.99 vs $183.99)</t>
        </is>
      </c>
      <c r="S196" s="20" t="inlineStr">
        <is>
          <t>audiophile, stage monitoring, music</t>
        </is>
      </c>
      <c r="T196" s="0" t="inlineStr">
        <is>
          <t>in_stock</t>
        </is>
      </c>
      <c r="U196" s="0" t="n">
        <v>14</v>
      </c>
      <c r="V196" s="52" t="n">
        <v>187.99</v>
      </c>
      <c r="W196" s="0" t="inlineStr">
        <is>
          <t>2026-08-25</t>
        </is>
      </c>
      <c r="X196" s="0" t="inlineStr">
        <is>
          <t>N/A</t>
        </is>
      </c>
      <c r="Y196" s="0" t="inlineStr">
        <is>
          <t>N/A</t>
        </is>
      </c>
      <c r="Z196" s="0" t="inlineStr">
        <is>
          <t>N/A</t>
        </is>
      </c>
      <c r="AA196" s="0" t="inlineStr">
        <is>
          <t>N/A</t>
        </is>
      </c>
    </row>
    <row r="197" ht="15.75" customHeight="1" s="51">
      <c r="A197" s="20" t="inlineStr">
        <is>
          <t>EUP-019-05</t>
        </is>
      </c>
      <c r="B197" s="20" t="inlineStr">
        <is>
          <t>Euphrosyne</t>
        </is>
      </c>
      <c r="C197" s="20" t="inlineStr">
        <is>
          <t>Headphones &amp; Earbuds</t>
        </is>
      </c>
      <c r="D197" s="20" t="inlineStr">
        <is>
          <t>Earbuds</t>
        </is>
      </c>
      <c r="E197" s="21" t="inlineStr">
        <is>
          <t>Euphrosyne Flux Pro Sleep Earbuds</t>
        </is>
      </c>
      <c r="F197" s="23" t="n">
        <v>170.99</v>
      </c>
      <c r="G197" s="20" t="inlineStr">
        <is>
          <t>the Flux Pro; Euphrosyne Flux Pro; Uphrosyne Flux Pro; Flux Pro earbuds</t>
        </is>
      </c>
      <c r="H197" s="20" t="inlineStr">
        <is>
          <t>1 year limited</t>
        </is>
      </c>
      <c r="I197" s="20" t="inlineStr">
        <is>
          <t>FCC, CE, Bluetooth SIG Qualified</t>
        </is>
      </c>
      <c r="J197" s="20" t="inlineStr">
        <is>
          <t>N/A</t>
        </is>
      </c>
      <c r="K197" s="20" t="inlineStr">
        <is>
          <t>N/A</t>
        </is>
      </c>
      <c r="L197" s="20" t="inlineStr">
        <is>
          <t>N/A</t>
        </is>
      </c>
      <c r="M197" s="20" t="inlineStr">
        <is>
          <t>N/A</t>
        </is>
      </c>
      <c r="N197" s="20" t="inlineStr">
        <is>
          <t>USB-C charging case</t>
        </is>
      </c>
      <c r="O197" s="20" t="inlineStr">
        <is>
          <t>N/A</t>
        </is>
      </c>
      <c r="P197" s="20" t="n">
        <v>11</v>
      </c>
      <c r="Q197" s="24" t="n">
        <v>3</v>
      </c>
      <c r="R197" s="20" t="inlineStr">
        <is>
          <t>Lower price than Zeus Strata SE Sleep Earbuds [ZEU-013-07] ($170.99 vs $197.99); Longer battery than Hesperus Aeon Air Sleep Earbuds [HES-025-03] (11 vs 8 hrs)</t>
        </is>
      </c>
      <c r="S197" s="20" t="inlineStr">
        <is>
          <t>sleep, travel, relaxation</t>
        </is>
      </c>
      <c r="T197" s="0" t="inlineStr">
        <is>
          <t>in_stock</t>
        </is>
      </c>
      <c r="U197" s="0" t="n">
        <v>14</v>
      </c>
      <c r="V197" s="52" t="n">
        <v>182.99</v>
      </c>
      <c r="W197" s="0" t="inlineStr">
        <is>
          <t>2026-08-22</t>
        </is>
      </c>
      <c r="X197" s="0" t="inlineStr">
        <is>
          <t>N/A</t>
        </is>
      </c>
      <c r="Y197" s="0" t="inlineStr">
        <is>
          <t>N/A</t>
        </is>
      </c>
      <c r="Z197" s="0" t="inlineStr">
        <is>
          <t>N/A</t>
        </is>
      </c>
      <c r="AA197" s="0" t="inlineStr">
        <is>
          <t>N/A</t>
        </is>
      </c>
    </row>
    <row r="198" ht="15.75" customHeight="1" s="51">
      <c r="A198" s="20" t="inlineStr">
        <is>
          <t>EUP-019-06</t>
        </is>
      </c>
      <c r="B198" s="20" t="inlineStr">
        <is>
          <t>Euphrosyne</t>
        </is>
      </c>
      <c r="C198" s="20" t="inlineStr">
        <is>
          <t>Headphones &amp; Earbuds</t>
        </is>
      </c>
      <c r="D198" s="20" t="inlineStr">
        <is>
          <t>Headset</t>
        </is>
      </c>
      <c r="E198" s="21" t="inlineStr">
        <is>
          <t>Euphrosyne Arc Plus Gaming Headset</t>
        </is>
      </c>
      <c r="F198" s="23" t="n">
        <v>199.99</v>
      </c>
      <c r="G198" s="20" t="inlineStr">
        <is>
          <t>the Arc Plus; Euphrosyne Arc Plus; Euphroysne Arc Plus; Arc Plus headset</t>
        </is>
      </c>
      <c r="H198" s="20" t="inlineStr">
        <is>
          <t>1 year limited</t>
        </is>
      </c>
      <c r="I198" s="20" t="inlineStr">
        <is>
          <t>FCC, CE, Bluetooth SIG Qualified</t>
        </is>
      </c>
      <c r="J198" s="20" t="inlineStr">
        <is>
          <t>N/A</t>
        </is>
      </c>
      <c r="K198" s="20" t="inlineStr">
        <is>
          <t>N/A</t>
        </is>
      </c>
      <c r="L198" s="20" t="inlineStr">
        <is>
          <t>N/A</t>
        </is>
      </c>
      <c r="M198" s="20" t="inlineStr">
        <is>
          <t>N/A</t>
        </is>
      </c>
      <c r="N198" s="20" t="inlineStr">
        <is>
          <t>USB-C, 3.5mm, 2.4GHz USB dongle</t>
        </is>
      </c>
      <c r="O198" s="20" t="inlineStr">
        <is>
          <t>N/A</t>
        </is>
      </c>
      <c r="P198" s="20" t="n">
        <v>22</v>
      </c>
      <c r="Q198" s="24" t="n">
        <v>362</v>
      </c>
      <c r="R198" s="20" t="inlineStr">
        <is>
          <t>Lower price than Ananke Vertex Gaming Headset [ANA-023-09] ($199.99 vs $284.99); Lighter than Himeros Sable Gaming Headset [HIM-003-09] (362 g vs 376 g)</t>
        </is>
      </c>
      <c r="S198" s="20" t="inlineStr">
        <is>
          <t>gaming, streaming, voice chat</t>
        </is>
      </c>
      <c r="T198" s="0" t="inlineStr">
        <is>
          <t>in_stock</t>
        </is>
      </c>
      <c r="U198" s="0" t="n">
        <v>14</v>
      </c>
      <c r="V198" s="52" t="n">
        <v>226.99</v>
      </c>
      <c r="W198" s="0" t="inlineStr">
        <is>
          <t>2026-08-17</t>
        </is>
      </c>
      <c r="X198" s="0" t="inlineStr">
        <is>
          <t>N/A</t>
        </is>
      </c>
      <c r="Y198" s="0" t="inlineStr">
        <is>
          <t>N/A</t>
        </is>
      </c>
      <c r="Z198" s="0" t="inlineStr">
        <is>
          <t>N/A</t>
        </is>
      </c>
      <c r="AA198" s="0" t="inlineStr">
        <is>
          <t>N/A</t>
        </is>
      </c>
    </row>
    <row r="199" ht="15.75" customHeight="1" s="51">
      <c r="A199" s="20" t="inlineStr">
        <is>
          <t>EUP-019-07</t>
        </is>
      </c>
      <c r="B199" s="20" t="inlineStr">
        <is>
          <t>Euphrosyne</t>
        </is>
      </c>
      <c r="C199" s="20" t="inlineStr">
        <is>
          <t>Headphones &amp; Earbuds</t>
        </is>
      </c>
      <c r="D199" s="20" t="inlineStr">
        <is>
          <t>Earbuds</t>
        </is>
      </c>
      <c r="E199" s="21" t="inlineStr">
        <is>
          <t>Euphrosyne Flux Open-Ear Earbuds</t>
        </is>
      </c>
      <c r="F199" s="23" t="n">
        <v>203.99</v>
      </c>
      <c r="G199" s="20" t="inlineStr">
        <is>
          <t>the Flux; Euphrosyne Flux; Euphrosyyne Flux; Flux earbuds</t>
        </is>
      </c>
      <c r="H199" s="20" t="inlineStr">
        <is>
          <t>1 year limited</t>
        </is>
      </c>
      <c r="I199" s="20" t="inlineStr">
        <is>
          <t>FCC, CE, Bluetooth SIG Qualified, IPX5</t>
        </is>
      </c>
      <c r="J199" s="20" t="inlineStr">
        <is>
          <t>N/A</t>
        </is>
      </c>
      <c r="K199" s="20" t="inlineStr">
        <is>
          <t>N/A</t>
        </is>
      </c>
      <c r="L199" s="20" t="inlineStr">
        <is>
          <t>N/A</t>
        </is>
      </c>
      <c r="M199" s="20" t="inlineStr">
        <is>
          <t>N/A</t>
        </is>
      </c>
      <c r="N199" s="20" t="inlineStr">
        <is>
          <t>USB-C charging case</t>
        </is>
      </c>
      <c r="O199" s="20" t="inlineStr">
        <is>
          <t>N/A</t>
        </is>
      </c>
      <c r="P199" s="20" t="n">
        <v>10</v>
      </c>
      <c r="Q199" s="24" t="n">
        <v>12</v>
      </c>
      <c r="R199" s="20" t="inlineStr">
        <is>
          <t>Longer battery than Tartarus Onyx Ultra Open-Ear Earbuds [TAR-017-04] (10 vs 7 hrs); Lower price than Phosphorus Zen Open-Ear Earbuds [PHO-009-07] ($203.99 vs $215.99)</t>
        </is>
      </c>
      <c r="S199" s="20" t="inlineStr">
        <is>
          <t>running, outdoor, office</t>
        </is>
      </c>
      <c r="T199" s="0" t="inlineStr">
        <is>
          <t>in_stock</t>
        </is>
      </c>
      <c r="U199" s="0" t="n">
        <v>14</v>
      </c>
      <c r="V199" s="52" t="n">
        <v>228.99</v>
      </c>
      <c r="W199" s="0" t="inlineStr">
        <is>
          <t>2026-08-18</t>
        </is>
      </c>
      <c r="X199" s="0" t="inlineStr">
        <is>
          <t>N/A</t>
        </is>
      </c>
      <c r="Y199" s="0" t="inlineStr">
        <is>
          <t>N/A</t>
        </is>
      </c>
      <c r="Z199" s="0" t="inlineStr">
        <is>
          <t>N/A</t>
        </is>
      </c>
      <c r="AA199" s="0" t="inlineStr">
        <is>
          <t>N/A</t>
        </is>
      </c>
    </row>
    <row r="200" ht="15.75" customHeight="1" s="51">
      <c r="A200" s="20" t="inlineStr">
        <is>
          <t>EUP-019-08</t>
        </is>
      </c>
      <c r="B200" s="20" t="inlineStr">
        <is>
          <t>Euphrosyne</t>
        </is>
      </c>
      <c r="C200" s="20" t="inlineStr">
        <is>
          <t>Headphones &amp; Earbuds</t>
        </is>
      </c>
      <c r="D200" s="20" t="inlineStr">
        <is>
          <t>Headphones</t>
        </is>
      </c>
      <c r="E200" s="21" t="inlineStr">
        <is>
          <t>Euphrosyne Blaze Ultra Studio Monitor Headphones</t>
        </is>
      </c>
      <c r="F200" s="23" t="n">
        <v>208.99</v>
      </c>
      <c r="G200" s="20" t="inlineStr">
        <is>
          <t>the Blaze Ultra; Euphrosyne Blaze Ultra; Eupphrosyne Blaze Ultra; Blaze Ultra headphones</t>
        </is>
      </c>
      <c r="H200" s="20" t="inlineStr">
        <is>
          <t>1 year limited</t>
        </is>
      </c>
      <c r="I200" s="20" t="inlineStr">
        <is>
          <t>CE, RoHS, Hi-Res Audio</t>
        </is>
      </c>
      <c r="J200" s="20" t="inlineStr">
        <is>
          <t>N/A</t>
        </is>
      </c>
      <c r="K200" s="20" t="inlineStr">
        <is>
          <t>N/A</t>
        </is>
      </c>
      <c r="L200" s="20" t="inlineStr">
        <is>
          <t>N/A</t>
        </is>
      </c>
      <c r="M200" s="20" t="inlineStr">
        <is>
          <t>N/A</t>
        </is>
      </c>
      <c r="N200" s="20" t="inlineStr">
        <is>
          <t>Detachable cable: 3.5mm with 6.35mm adapter</t>
        </is>
      </c>
      <c r="O200" s="20" t="inlineStr">
        <is>
          <t>N/A</t>
        </is>
      </c>
      <c r="P200" s="20" t="inlineStr">
        <is>
          <t>N/A</t>
        </is>
      </c>
      <c r="Q200" s="24" t="n">
        <v>306</v>
      </c>
      <c r="R200" s="20" t="inlineStr">
        <is>
          <t>Lighter than Hebe Strata Studio Monitor Headphones [HEB-011-09] (306 g vs 315 g); Lower price than Doris Rift Air Studio Monitor Headphones [DOR-004-09] ($208.99 vs $355.99)</t>
        </is>
      </c>
      <c r="S200" s="20" t="inlineStr">
        <is>
          <t>music production, studio, podcasting</t>
        </is>
      </c>
      <c r="T200" s="0" t="inlineStr">
        <is>
          <t>in_stock</t>
        </is>
      </c>
      <c r="U200" s="0" t="n">
        <v>14</v>
      </c>
      <c r="V200" s="52" t="n">
        <v>229.99</v>
      </c>
      <c r="W200" s="0" t="inlineStr">
        <is>
          <t>2026-08-20</t>
        </is>
      </c>
      <c r="X200" s="0" t="inlineStr">
        <is>
          <t>N/A</t>
        </is>
      </c>
      <c r="Y200" s="0" t="inlineStr">
        <is>
          <t>N/A</t>
        </is>
      </c>
      <c r="Z200" s="0" t="inlineStr">
        <is>
          <t>N/A</t>
        </is>
      </c>
      <c r="AA200" s="0" t="inlineStr">
        <is>
          <t>N/A</t>
        </is>
      </c>
    </row>
    <row r="201" ht="15.75" customHeight="1" s="51">
      <c r="A201" s="20" t="inlineStr">
        <is>
          <t>EUP-019-09</t>
        </is>
      </c>
      <c r="B201" s="20" t="inlineStr">
        <is>
          <t>Euphrosyne</t>
        </is>
      </c>
      <c r="C201" s="20" t="inlineStr">
        <is>
          <t>Headphones &amp; Earbuds</t>
        </is>
      </c>
      <c r="D201" s="20" t="inlineStr">
        <is>
          <t>Headphones</t>
        </is>
      </c>
      <c r="E201" s="21" t="inlineStr">
        <is>
          <t>Euphrosyne Echo Air Audiophile Planar Headphones</t>
        </is>
      </c>
      <c r="F201" s="23" t="n">
        <v>391.99</v>
      </c>
      <c r="G201" s="20" t="inlineStr">
        <is>
          <t>the Echo Air; Euphrosyne Echo Air; Euprhosyne Echo Air; Echo Air headphones</t>
        </is>
      </c>
      <c r="H201" s="20" t="inlineStr">
        <is>
          <t>1 year limited</t>
        </is>
      </c>
      <c r="I201" s="20" t="inlineStr">
        <is>
          <t>CE, RoHS, Hi-Res Audio</t>
        </is>
      </c>
      <c r="J201" s="20" t="inlineStr">
        <is>
          <t>N/A</t>
        </is>
      </c>
      <c r="K201" s="20" t="inlineStr">
        <is>
          <t>N/A</t>
        </is>
      </c>
      <c r="L201" s="20" t="inlineStr">
        <is>
          <t>N/A</t>
        </is>
      </c>
      <c r="M201" s="20" t="inlineStr">
        <is>
          <t>N/A</t>
        </is>
      </c>
      <c r="N201" s="20" t="inlineStr">
        <is>
          <t>Detachable cable: 3.5mm, 6.35mm and 4.4mm balanced</t>
        </is>
      </c>
      <c r="O201" s="20" t="inlineStr">
        <is>
          <t>N/A</t>
        </is>
      </c>
      <c r="P201" s="20" t="inlineStr">
        <is>
          <t>N/A</t>
        </is>
      </c>
      <c r="Q201" s="24" t="n">
        <v>479</v>
      </c>
      <c r="R201" s="20" t="inlineStr">
        <is>
          <t>Lighter than Aura Arc Pro Audiophile Planar Headphones [AUR-015-09] (479 g vs 521 g); Lower price than Hedone Prism SE Audiophile Planar Headphones [HED-010-10] ($391.99 vs $1,336.99)</t>
        </is>
      </c>
      <c r="S201" s="20" t="inlineStr">
        <is>
          <t>audiophile, home listening, studio</t>
        </is>
      </c>
      <c r="T201" s="0" t="inlineStr">
        <is>
          <t>low_stock</t>
        </is>
      </c>
      <c r="U201" s="0" t="n">
        <v>14</v>
      </c>
      <c r="V201" s="52" t="n">
        <v>413.99</v>
      </c>
      <c r="W201" s="0" t="inlineStr">
        <is>
          <t>2026-08-24</t>
        </is>
      </c>
      <c r="X201" s="0" t="inlineStr">
        <is>
          <t>N/A</t>
        </is>
      </c>
      <c r="Y201" s="0" t="inlineStr">
        <is>
          <t>N/A</t>
        </is>
      </c>
      <c r="Z201" s="0" t="inlineStr">
        <is>
          <t>N/A</t>
        </is>
      </c>
      <c r="AA201" s="0" t="inlineStr">
        <is>
          <t>N/A</t>
        </is>
      </c>
    </row>
    <row r="202" ht="15.75" customHeight="1" s="51">
      <c r="A202" s="20" t="inlineStr">
        <is>
          <t>EUP-019-10</t>
        </is>
      </c>
      <c r="B202" s="20" t="inlineStr">
        <is>
          <t>Euphrosyne</t>
        </is>
      </c>
      <c r="C202" s="20" t="inlineStr">
        <is>
          <t>Headphones &amp; Earbuds</t>
        </is>
      </c>
      <c r="D202" s="20" t="inlineStr">
        <is>
          <t>Headphones</t>
        </is>
      </c>
      <c r="E202" s="21" t="inlineStr">
        <is>
          <t>Euphrosyne Orbit X ANC Over-Ear Headphones</t>
        </is>
      </c>
      <c r="F202" s="23" t="n">
        <v>537.99</v>
      </c>
      <c r="G202" s="20" t="inlineStr">
        <is>
          <t>the Orbit X; Euphrosyne Orbit X; Euphrosnye Orbit X; Orbit X headphones</t>
        </is>
      </c>
      <c r="H202" s="20" t="inlineStr">
        <is>
          <t>1 year limited</t>
        </is>
      </c>
      <c r="I202" s="20" t="inlineStr">
        <is>
          <t>FCC, CE, Bluetooth SIG Qualified, Hi-Res Audio Wireless</t>
        </is>
      </c>
      <c r="J202" s="20" t="inlineStr">
        <is>
          <t>N/A</t>
        </is>
      </c>
      <c r="K202" s="20" t="inlineStr">
        <is>
          <t>N/A</t>
        </is>
      </c>
      <c r="L202" s="20" t="inlineStr">
        <is>
          <t>N/A</t>
        </is>
      </c>
      <c r="M202" s="20" t="inlineStr">
        <is>
          <t>N/A</t>
        </is>
      </c>
      <c r="N202" s="20" t="inlineStr">
        <is>
          <t>USB-C charging and audio, 3.5mm</t>
        </is>
      </c>
      <c r="O202" s="20" t="inlineStr">
        <is>
          <t>N/A</t>
        </is>
      </c>
      <c r="P202" s="20" t="n">
        <v>44</v>
      </c>
      <c r="Q202" s="24" t="n">
        <v>265</v>
      </c>
      <c r="R202" s="20" t="inlineStr">
        <is>
          <t>Lighter than Doris Pulse SE ANC Over-Ear Headphones [DOR-004-08] (265 g vs 283 g); Longer battery than Deimos Apex X ANC Over-Ear Headphones [DEI-005-08] (44 vs 36 hrs)</t>
        </is>
      </c>
      <c r="S202" s="20" t="inlineStr">
        <is>
          <t>travel, commute, office</t>
        </is>
      </c>
      <c r="T202" s="0" t="inlineStr">
        <is>
          <t>in_stock</t>
        </is>
      </c>
      <c r="U202" s="0" t="n">
        <v>14</v>
      </c>
      <c r="V202" s="52" t="n">
        <v>558.99</v>
      </c>
      <c r="W202" s="0" t="inlineStr">
        <is>
          <t>2026-09-01</t>
        </is>
      </c>
      <c r="X202" s="0" t="inlineStr">
        <is>
          <t>N/A</t>
        </is>
      </c>
      <c r="Y202" s="0" t="inlineStr">
        <is>
          <t>N/A</t>
        </is>
      </c>
      <c r="Z202" s="0" t="inlineStr">
        <is>
          <t>N/A</t>
        </is>
      </c>
      <c r="AA202" s="0" t="inlineStr">
        <is>
          <t>N/A</t>
        </is>
      </c>
    </row>
    <row r="203" ht="15.75" customHeight="1" s="51">
      <c r="A203" s="20" t="inlineStr">
        <is>
          <t>NER-020-01</t>
        </is>
      </c>
      <c r="B203" s="20" t="inlineStr">
        <is>
          <t>Nereus</t>
        </is>
      </c>
      <c r="C203" s="20" t="inlineStr">
        <is>
          <t>Headphones &amp; Earbuds</t>
        </is>
      </c>
      <c r="D203" s="20" t="inlineStr">
        <is>
          <t>Headphones</t>
        </is>
      </c>
      <c r="E203" s="21" t="inlineStr">
        <is>
          <t>Nereus Drift Kids Headphones</t>
        </is>
      </c>
      <c r="F203" s="23" t="n">
        <v>54.99</v>
      </c>
      <c r="G203" s="20" t="inlineStr">
        <is>
          <t>the Drift; Nereus Drift; Nereeus Drift; Drift headphones</t>
        </is>
      </c>
      <c r="H203" s="20" t="inlineStr">
        <is>
          <t>1 year limited</t>
        </is>
      </c>
      <c r="I203" s="20" t="inlineStr">
        <is>
          <t>FCC, CE, Bluetooth SIG Qualified, EN 71 Toy Safety</t>
        </is>
      </c>
      <c r="J203" s="20" t="inlineStr">
        <is>
          <t>N/A</t>
        </is>
      </c>
      <c r="K203" s="20" t="inlineStr">
        <is>
          <t>N/A</t>
        </is>
      </c>
      <c r="L203" s="20" t="inlineStr">
        <is>
          <t>N/A</t>
        </is>
      </c>
      <c r="M203" s="20" t="inlineStr">
        <is>
          <t>N/A</t>
        </is>
      </c>
      <c r="N203" s="20" t="inlineStr">
        <is>
          <t>USB-C charging, 3.5mm (85 dB limited)</t>
        </is>
      </c>
      <c r="O203" s="20" t="inlineStr">
        <is>
          <t>N/A</t>
        </is>
      </c>
      <c r="P203" s="20" t="n">
        <v>25</v>
      </c>
      <c r="Q203" s="24" t="n">
        <v>141</v>
      </c>
      <c r="R203" s="20" t="inlineStr">
        <is>
          <t>Lighter than Ananke Echo Ultra Kids Headphones [ANA-023-01] (141 g vs 143 g); Lower price than Soteria Lumen Kids Headphones [SOT-014-01] ($54.99 vs $55.99)</t>
        </is>
      </c>
      <c r="S203" s="20" t="inlineStr">
        <is>
          <t>kids, school, travel</t>
        </is>
      </c>
      <c r="T203" s="0" t="inlineStr">
        <is>
          <t>in_stock</t>
        </is>
      </c>
      <c r="U203" s="0" t="n">
        <v>45</v>
      </c>
      <c r="V203" s="52" t="n">
        <v>58.99</v>
      </c>
      <c r="W203" s="0" t="inlineStr">
        <is>
          <t>2026-08-09</t>
        </is>
      </c>
      <c r="X203" s="0" t="inlineStr">
        <is>
          <t>N/A</t>
        </is>
      </c>
      <c r="Y203" s="0" t="inlineStr">
        <is>
          <t>N/A</t>
        </is>
      </c>
      <c r="Z203" s="0" t="inlineStr">
        <is>
          <t>N/A</t>
        </is>
      </c>
      <c r="AA203" s="0" t="inlineStr">
        <is>
          <t>N/A</t>
        </is>
      </c>
    </row>
    <row r="204" ht="15.75" customHeight="1" s="51">
      <c r="A204" s="20" t="inlineStr">
        <is>
          <t>NER-020-02</t>
        </is>
      </c>
      <c r="B204" s="20" t="inlineStr">
        <is>
          <t>Nereus</t>
        </is>
      </c>
      <c r="C204" s="20" t="inlineStr">
        <is>
          <t>Headphones &amp; Earbuds</t>
        </is>
      </c>
      <c r="D204" s="20" t="inlineStr">
        <is>
          <t>Earbuds</t>
        </is>
      </c>
      <c r="E204" s="21" t="inlineStr">
        <is>
          <t>Nereus Titan SE Sport Earbuds</t>
        </is>
      </c>
      <c r="F204" s="23" t="n">
        <v>68.98999999999999</v>
      </c>
      <c r="G204" s="20" t="inlineStr">
        <is>
          <t>the Titan SE; Nereus Titan SE; Neerus Titan SE; Titan SE earbuds</t>
        </is>
      </c>
      <c r="H204" s="20" t="inlineStr">
        <is>
          <t>1 year limited</t>
        </is>
      </c>
      <c r="I204" s="20" t="inlineStr">
        <is>
          <t>FCC, CE, Bluetooth SIG Qualified, IP55</t>
        </is>
      </c>
      <c r="J204" s="20" t="inlineStr">
        <is>
          <t>N/A</t>
        </is>
      </c>
      <c r="K204" s="20" t="inlineStr">
        <is>
          <t>N/A</t>
        </is>
      </c>
      <c r="L204" s="20" t="inlineStr">
        <is>
          <t>N/A</t>
        </is>
      </c>
      <c r="M204" s="20" t="inlineStr">
        <is>
          <t>N/A</t>
        </is>
      </c>
      <c r="N204" s="20" t="inlineStr">
        <is>
          <t>USB-C charging case</t>
        </is>
      </c>
      <c r="O204" s="20" t="inlineStr">
        <is>
          <t>N/A</t>
        </is>
      </c>
      <c r="P204" s="20" t="n">
        <v>10</v>
      </c>
      <c r="Q204" s="24" t="n">
        <v>6</v>
      </c>
      <c r="R204" s="20" t="inlineStr">
        <is>
          <t>Lower price than Morpheus Spark Sport Earbuds [MOR-001-03] ($68.99 vs $120.99); Longer battery than Glaucus Zen Ultra Sport Earbuds [GLA-012-05] (10 vs 6 hrs)</t>
        </is>
      </c>
      <c r="S204" s="20" t="inlineStr">
        <is>
          <t>gym, running, sport</t>
        </is>
      </c>
      <c r="T204" s="0" t="inlineStr">
        <is>
          <t>low_stock</t>
        </is>
      </c>
      <c r="U204" s="0" t="n">
        <v>45</v>
      </c>
      <c r="V204" s="52" t="n">
        <v>72.98999999999999</v>
      </c>
      <c r="W204" s="0" t="inlineStr">
        <is>
          <t>2026-08-03</t>
        </is>
      </c>
      <c r="X204" s="0" t="inlineStr">
        <is>
          <t>N/A</t>
        </is>
      </c>
      <c r="Y204" s="0" t="inlineStr">
        <is>
          <t>N/A</t>
        </is>
      </c>
      <c r="Z204" s="0" t="inlineStr">
        <is>
          <t>N/A</t>
        </is>
      </c>
      <c r="AA204" s="0" t="inlineStr">
        <is>
          <t>N/A</t>
        </is>
      </c>
    </row>
    <row r="205" ht="15.75" customHeight="1" s="51">
      <c r="A205" s="20" t="inlineStr">
        <is>
          <t>NER-020-03</t>
        </is>
      </c>
      <c r="B205" s="20" t="inlineStr">
        <is>
          <t>Nereus</t>
        </is>
      </c>
      <c r="C205" s="20" t="inlineStr">
        <is>
          <t>Headphones &amp; Earbuds</t>
        </is>
      </c>
      <c r="D205" s="20" t="inlineStr">
        <is>
          <t>Earbuds</t>
        </is>
      </c>
      <c r="E205" s="21" t="inlineStr">
        <is>
          <t>Nereus Aria Wired In-Ear Monitors</t>
        </is>
      </c>
      <c r="F205" s="23" t="n">
        <v>72.98999999999999</v>
      </c>
      <c r="G205" s="20" t="inlineStr">
        <is>
          <t>the Aria; Nereus Aria; Neerus Aria; Aria earbuds</t>
        </is>
      </c>
      <c r="H205" s="20" t="inlineStr">
        <is>
          <t>1 year limited</t>
        </is>
      </c>
      <c r="I205" s="20" t="inlineStr">
        <is>
          <t>CE, RoHS, Hi-Res Audio</t>
        </is>
      </c>
      <c r="J205" s="20" t="inlineStr">
        <is>
          <t>N/A</t>
        </is>
      </c>
      <c r="K205" s="20" t="inlineStr">
        <is>
          <t>N/A</t>
        </is>
      </c>
      <c r="L205" s="20" t="inlineStr">
        <is>
          <t>N/A</t>
        </is>
      </c>
      <c r="M205" s="20" t="inlineStr">
        <is>
          <t>N/A</t>
        </is>
      </c>
      <c r="N205" s="20" t="inlineStr">
        <is>
          <t>Detachable 2-pin cable: 3.5mm</t>
        </is>
      </c>
      <c r="O205" s="20" t="inlineStr">
        <is>
          <t>N/A</t>
        </is>
      </c>
      <c r="P205" s="20" t="inlineStr">
        <is>
          <t>N/A</t>
        </is>
      </c>
      <c r="Q205" s="24" t="n">
        <v>21</v>
      </c>
      <c r="R205" s="20" t="inlineStr">
        <is>
          <t>Lower price than Deimos Rift Wired In-Ear Monitors [DEI-005-09] ($72.99 vs $398.99); Lighter than Hedone Drift Plus Wired In-Ear Monitors [HED-010-09] (21 g vs 37 g)</t>
        </is>
      </c>
      <c r="S205" s="20" t="inlineStr">
        <is>
          <t>audiophile, stage monitoring, music</t>
        </is>
      </c>
      <c r="T205" s="0" t="inlineStr">
        <is>
          <t>in_stock</t>
        </is>
      </c>
      <c r="U205" s="0" t="n">
        <v>45</v>
      </c>
      <c r="V205" s="52" t="n">
        <v>79.98999999999999</v>
      </c>
      <c r="W205" s="0" t="inlineStr">
        <is>
          <t>2026-09-10</t>
        </is>
      </c>
      <c r="X205" s="0" t="inlineStr">
        <is>
          <t>N/A</t>
        </is>
      </c>
      <c r="Y205" s="0" t="inlineStr">
        <is>
          <t>N/A</t>
        </is>
      </c>
      <c r="Z205" s="0" t="inlineStr">
        <is>
          <t>N/A</t>
        </is>
      </c>
      <c r="AA205" s="0" t="inlineStr">
        <is>
          <t>N/A</t>
        </is>
      </c>
    </row>
    <row r="206" ht="15.75" customHeight="1" s="51">
      <c r="A206" s="20" t="inlineStr">
        <is>
          <t>NER-020-04</t>
        </is>
      </c>
      <c r="B206" s="20" t="inlineStr">
        <is>
          <t>Nereus</t>
        </is>
      </c>
      <c r="C206" s="20" t="inlineStr">
        <is>
          <t>Headphones &amp; Earbuds</t>
        </is>
      </c>
      <c r="D206" s="20" t="inlineStr">
        <is>
          <t>Earbuds</t>
        </is>
      </c>
      <c r="E206" s="21" t="inlineStr">
        <is>
          <t>Nereus Onyx Air True Wireless Earbuds</t>
        </is>
      </c>
      <c r="F206" s="23" t="n">
        <v>105.99</v>
      </c>
      <c r="G206" s="20" t="inlineStr">
        <is>
          <t>the Onyx Air; Nereus Onyx Air; Nereuss Onyx Air; Onyx Air earbuds</t>
        </is>
      </c>
      <c r="H206" s="20" t="inlineStr">
        <is>
          <t>1 year limited</t>
        </is>
      </c>
      <c r="I206" s="20" t="inlineStr">
        <is>
          <t>FCC, CE, Bluetooth SIG Qualified, IPX4</t>
        </is>
      </c>
      <c r="J206" s="20" t="inlineStr">
        <is>
          <t>N/A</t>
        </is>
      </c>
      <c r="K206" s="20" t="inlineStr">
        <is>
          <t>N/A</t>
        </is>
      </c>
      <c r="L206" s="20" t="inlineStr">
        <is>
          <t>N/A</t>
        </is>
      </c>
      <c r="M206" s="20" t="inlineStr">
        <is>
          <t>N/A</t>
        </is>
      </c>
      <c r="N206" s="20" t="inlineStr">
        <is>
          <t>USB-C charging case</t>
        </is>
      </c>
      <c r="O206" s="20" t="inlineStr">
        <is>
          <t>N/A</t>
        </is>
      </c>
      <c r="P206" s="20" t="n">
        <v>9</v>
      </c>
      <c r="Q206" s="24" t="n">
        <v>6</v>
      </c>
      <c r="R206" s="20" t="inlineStr">
        <is>
          <t>Longer battery than Aura Halo Ultra True Wireless Earbuds [AUR-015-08] (9 vs 7 hrs); Lower price than Soteria Zen Plus True Wireless Earbuds [SOT-014-07] ($105.99 vs $164.99)</t>
        </is>
      </c>
      <c r="S206" s="20" t="inlineStr">
        <is>
          <t>commute, everyday, travel</t>
        </is>
      </c>
      <c r="T206" s="0" t="inlineStr">
        <is>
          <t>in_stock</t>
        </is>
      </c>
      <c r="U206" s="0" t="n">
        <v>45</v>
      </c>
      <c r="V206" s="52" t="n">
        <v>120.99</v>
      </c>
      <c r="W206" s="0" t="inlineStr">
        <is>
          <t>2026-09-21</t>
        </is>
      </c>
      <c r="X206" s="0" t="inlineStr">
        <is>
          <t>N/A</t>
        </is>
      </c>
      <c r="Y206" s="0" t="inlineStr">
        <is>
          <t>N/A</t>
        </is>
      </c>
      <c r="Z206" s="0" t="inlineStr">
        <is>
          <t>N/A</t>
        </is>
      </c>
      <c r="AA206" s="0" t="inlineStr">
        <is>
          <t>N/A</t>
        </is>
      </c>
    </row>
    <row r="207" ht="15.75" customHeight="1" s="51">
      <c r="A207" s="20" t="inlineStr">
        <is>
          <t>NER-020-05</t>
        </is>
      </c>
      <c r="B207" s="20" t="inlineStr">
        <is>
          <t>Nereus</t>
        </is>
      </c>
      <c r="C207" s="20" t="inlineStr">
        <is>
          <t>Headphones &amp; Earbuds</t>
        </is>
      </c>
      <c r="D207" s="20" t="inlineStr">
        <is>
          <t>Headphones</t>
        </is>
      </c>
      <c r="E207" s="21" t="inlineStr">
        <is>
          <t>Nereus Nova Pro Bone Conduction Headphones</t>
        </is>
      </c>
      <c r="F207" s="23" t="n">
        <v>116.99</v>
      </c>
      <c r="G207" s="20" t="inlineStr">
        <is>
          <t>the Nova Pro; Nereus Nova Pro; Nreeus Nova Pro; Nova Pro headphones</t>
        </is>
      </c>
      <c r="H207" s="20" t="inlineStr">
        <is>
          <t>1 year limited</t>
        </is>
      </c>
      <c r="I207" s="20" t="inlineStr">
        <is>
          <t>FCC, CE, Bluetooth SIG Qualified, IP67</t>
        </is>
      </c>
      <c r="J207" s="20" t="inlineStr">
        <is>
          <t>N/A</t>
        </is>
      </c>
      <c r="K207" s="20" t="inlineStr">
        <is>
          <t>N/A</t>
        </is>
      </c>
      <c r="L207" s="20" t="inlineStr">
        <is>
          <t>N/A</t>
        </is>
      </c>
      <c r="M207" s="20" t="inlineStr">
        <is>
          <t>N/A</t>
        </is>
      </c>
      <c r="N207" s="20" t="inlineStr">
        <is>
          <t>Magnetic USB charging</t>
        </is>
      </c>
      <c r="O207" s="20" t="inlineStr">
        <is>
          <t>N/A</t>
        </is>
      </c>
      <c r="P207" s="20" t="n">
        <v>6</v>
      </c>
      <c r="Q207" s="24" t="n">
        <v>27</v>
      </c>
      <c r="R207" s="20" t="inlineStr">
        <is>
          <t>Lighter than Ananke Orbit Plus Bone Conduction Headphones [ANA-023-03] (27 g vs 28 g); Lower price than Doris Echo Lite Bone Conduction Headphones [DOR-004-06] ($116.99 vs $193.99)</t>
        </is>
      </c>
      <c r="S207" s="20" t="inlineStr">
        <is>
          <t>running, cycling, outdoor</t>
        </is>
      </c>
      <c r="T207" s="0" t="inlineStr">
        <is>
          <t>in_stock</t>
        </is>
      </c>
      <c r="U207" s="0" t="n">
        <v>45</v>
      </c>
      <c r="V207" s="52" t="n">
        <v>128.99</v>
      </c>
      <c r="W207" s="0" t="inlineStr">
        <is>
          <t>2026-09-03</t>
        </is>
      </c>
      <c r="X207" s="0" t="inlineStr">
        <is>
          <t>N/A</t>
        </is>
      </c>
      <c r="Y207" s="0" t="inlineStr">
        <is>
          <t>N/A</t>
        </is>
      </c>
      <c r="Z207" s="0" t="inlineStr">
        <is>
          <t>N/A</t>
        </is>
      </c>
      <c r="AA207" s="0" t="inlineStr">
        <is>
          <t>N/A</t>
        </is>
      </c>
    </row>
    <row r="208" ht="15.75" customHeight="1" s="51">
      <c r="A208" s="20" t="inlineStr">
        <is>
          <t>NER-020-06</t>
        </is>
      </c>
      <c r="B208" s="20" t="inlineStr">
        <is>
          <t>Nereus</t>
        </is>
      </c>
      <c r="C208" s="20" t="inlineStr">
        <is>
          <t>Headphones &amp; Earbuds</t>
        </is>
      </c>
      <c r="D208" s="20" t="inlineStr">
        <is>
          <t>Earbuds</t>
        </is>
      </c>
      <c r="E208" s="21" t="inlineStr">
        <is>
          <t>Nereus Aeon Ultra Open-Ear Earbuds</t>
        </is>
      </c>
      <c r="F208" s="23" t="n">
        <v>175.99</v>
      </c>
      <c r="G208" s="20" t="inlineStr">
        <is>
          <t>the Aeon Ultra; Nereus Aeon Ultra; Nerues Aeon Ultra; Aeon Ultra earbuds</t>
        </is>
      </c>
      <c r="H208" s="20" t="inlineStr">
        <is>
          <t>1 year limited</t>
        </is>
      </c>
      <c r="I208" s="20" t="inlineStr">
        <is>
          <t>FCC, CE, Bluetooth SIG Qualified, IPX4</t>
        </is>
      </c>
      <c r="J208" s="20" t="inlineStr">
        <is>
          <t>N/A</t>
        </is>
      </c>
      <c r="K208" s="20" t="inlineStr">
        <is>
          <t>N/A</t>
        </is>
      </c>
      <c r="L208" s="20" t="inlineStr">
        <is>
          <t>N/A</t>
        </is>
      </c>
      <c r="M208" s="20" t="inlineStr">
        <is>
          <t>N/A</t>
        </is>
      </c>
      <c r="N208" s="20" t="inlineStr">
        <is>
          <t>USB-C charging case</t>
        </is>
      </c>
      <c r="O208" s="20" t="inlineStr">
        <is>
          <t>N/A</t>
        </is>
      </c>
      <c r="P208" s="20" t="n">
        <v>9</v>
      </c>
      <c r="Q208" s="24" t="n">
        <v>11</v>
      </c>
      <c r="R208" s="20" t="inlineStr">
        <is>
          <t>Lower price than Phosphorus Zen Open-Ear Earbuds [PHO-009-07] ($175.99 vs $215.99); Longer battery than Poseidon Wave Pro Open-Ear Earbuds [POS-021-04] (9 vs 6 hrs)</t>
        </is>
      </c>
      <c r="S208" s="20" t="inlineStr">
        <is>
          <t>running, outdoor, office</t>
        </is>
      </c>
      <c r="T208" s="0" t="inlineStr">
        <is>
          <t>in_stock</t>
        </is>
      </c>
      <c r="U208" s="0" t="n">
        <v>45</v>
      </c>
      <c r="V208" s="52" t="n">
        <v>191.99</v>
      </c>
      <c r="W208" s="0" t="inlineStr">
        <is>
          <t>2026-09-09</t>
        </is>
      </c>
      <c r="X208" s="0" t="inlineStr">
        <is>
          <t>N/A</t>
        </is>
      </c>
      <c r="Y208" s="0" t="inlineStr">
        <is>
          <t>N/A</t>
        </is>
      </c>
      <c r="Z208" s="0" t="inlineStr">
        <is>
          <t>N/A</t>
        </is>
      </c>
      <c r="AA208" s="0" t="inlineStr">
        <is>
          <t>N/A</t>
        </is>
      </c>
    </row>
    <row r="209" ht="15.75" customHeight="1" s="51">
      <c r="A209" s="20" t="inlineStr">
        <is>
          <t>NER-020-07</t>
        </is>
      </c>
      <c r="B209" s="20" t="inlineStr">
        <is>
          <t>Nereus</t>
        </is>
      </c>
      <c r="C209" s="20" t="inlineStr">
        <is>
          <t>Headphones &amp; Earbuds</t>
        </is>
      </c>
      <c r="D209" s="20" t="inlineStr">
        <is>
          <t>Headset</t>
        </is>
      </c>
      <c r="E209" s="21" t="inlineStr">
        <is>
          <t>Nereus Strata X Gaming Headset</t>
        </is>
      </c>
      <c r="F209" s="23" t="n">
        <v>200.99</v>
      </c>
      <c r="G209" s="20" t="inlineStr">
        <is>
          <t>the Strata X; Nereus Strata X; Neerus Strata X; Strata X headset</t>
        </is>
      </c>
      <c r="H209" s="20" t="inlineStr">
        <is>
          <t>1 year limited</t>
        </is>
      </c>
      <c r="I209" s="20" t="inlineStr">
        <is>
          <t>FCC, CE, Bluetooth SIG Qualified</t>
        </is>
      </c>
      <c r="J209" s="20" t="inlineStr">
        <is>
          <t>N/A</t>
        </is>
      </c>
      <c r="K209" s="20" t="inlineStr">
        <is>
          <t>N/A</t>
        </is>
      </c>
      <c r="L209" s="20" t="inlineStr">
        <is>
          <t>N/A</t>
        </is>
      </c>
      <c r="M209" s="20" t="inlineStr">
        <is>
          <t>N/A</t>
        </is>
      </c>
      <c r="N209" s="20" t="inlineStr">
        <is>
          <t>USB-C, 3.5mm, 2.4GHz USB dongle</t>
        </is>
      </c>
      <c r="O209" s="20" t="inlineStr">
        <is>
          <t>N/A</t>
        </is>
      </c>
      <c r="P209" s="20" t="n">
        <v>41</v>
      </c>
      <c r="Q209" s="24" t="n">
        <v>336</v>
      </c>
      <c r="R209" s="20" t="inlineStr">
        <is>
          <t>Lighter than Zeus Spark Gaming Headset [ZEU-013-08] (336 g vs 348 g); Lower price than Asclepius Aria Ultra Gaming Headset [ASC-024-07] ($200.99 vs $260.99)</t>
        </is>
      </c>
      <c r="S209" s="20" t="inlineStr">
        <is>
          <t>gaming, streaming, voice chat</t>
        </is>
      </c>
      <c r="T209" s="0" t="inlineStr">
        <is>
          <t>in_stock</t>
        </is>
      </c>
      <c r="U209" s="0" t="n">
        <v>45</v>
      </c>
      <c r="V209" s="52" t="n">
        <v>208.99</v>
      </c>
      <c r="W209" s="0" t="inlineStr">
        <is>
          <t>2026-08-27</t>
        </is>
      </c>
      <c r="X209" s="0" t="inlineStr">
        <is>
          <t>N/A</t>
        </is>
      </c>
      <c r="Y209" s="0" t="inlineStr">
        <is>
          <t>N/A</t>
        </is>
      </c>
      <c r="Z209" s="0" t="inlineStr">
        <is>
          <t>N/A</t>
        </is>
      </c>
      <c r="AA209" s="0" t="inlineStr">
        <is>
          <t>N/A</t>
        </is>
      </c>
    </row>
    <row r="210" ht="15.75" customHeight="1" s="51">
      <c r="A210" s="20" t="inlineStr">
        <is>
          <t>NER-020-08</t>
        </is>
      </c>
      <c r="B210" s="20" t="inlineStr">
        <is>
          <t>Nereus</t>
        </is>
      </c>
      <c r="C210" s="20" t="inlineStr">
        <is>
          <t>Headphones &amp; Earbuds</t>
        </is>
      </c>
      <c r="D210" s="20" t="inlineStr">
        <is>
          <t>Headphones</t>
        </is>
      </c>
      <c r="E210" s="21" t="inlineStr">
        <is>
          <t>Nereus Spark Studio Monitor Headphones</t>
        </is>
      </c>
      <c r="F210" s="23" t="n">
        <v>303.99</v>
      </c>
      <c r="G210" s="20" t="inlineStr">
        <is>
          <t>the Spark; Nereus Spark; Nerreus Spark; Spark headphones</t>
        </is>
      </c>
      <c r="H210" s="20" t="inlineStr">
        <is>
          <t>1 year limited</t>
        </is>
      </c>
      <c r="I210" s="20" t="inlineStr">
        <is>
          <t>CE, RoHS, Hi-Res Audio</t>
        </is>
      </c>
      <c r="J210" s="20" t="inlineStr">
        <is>
          <t>N/A</t>
        </is>
      </c>
      <c r="K210" s="20" t="inlineStr">
        <is>
          <t>N/A</t>
        </is>
      </c>
      <c r="L210" s="20" t="inlineStr">
        <is>
          <t>N/A</t>
        </is>
      </c>
      <c r="M210" s="20" t="inlineStr">
        <is>
          <t>N/A</t>
        </is>
      </c>
      <c r="N210" s="20" t="inlineStr">
        <is>
          <t>Detachable cable: 3.5mm with 6.35mm adapter</t>
        </is>
      </c>
      <c r="O210" s="20" t="inlineStr">
        <is>
          <t>N/A</t>
        </is>
      </c>
      <c r="P210" s="20" t="inlineStr">
        <is>
          <t>N/A</t>
        </is>
      </c>
      <c r="Q210" s="24" t="n">
        <v>310</v>
      </c>
      <c r="R210" s="20" t="inlineStr">
        <is>
          <t>Lighter than Tethys Blaze Ultra Studio Monitor Headphones [TET-007-08] (310 g vs 355 g); Lower price than Menoetius Arc Pro Studio Monitor Headphones [MEN-008-08] ($303.99 vs $338.99)</t>
        </is>
      </c>
      <c r="S210" s="20" t="inlineStr">
        <is>
          <t>music production, studio, podcasting</t>
        </is>
      </c>
      <c r="T210" s="0" t="inlineStr">
        <is>
          <t>in_stock</t>
        </is>
      </c>
      <c r="U210" s="0" t="n">
        <v>45</v>
      </c>
      <c r="V210" s="52" t="n">
        <v>323.99</v>
      </c>
      <c r="W210" s="0" t="inlineStr">
        <is>
          <t>2026-08-03</t>
        </is>
      </c>
      <c r="X210" s="0" t="inlineStr">
        <is>
          <t>N/A</t>
        </is>
      </c>
      <c r="Y210" s="0" t="inlineStr">
        <is>
          <t>N/A</t>
        </is>
      </c>
      <c r="Z210" s="0" t="inlineStr">
        <is>
          <t>N/A</t>
        </is>
      </c>
      <c r="AA210" s="0" t="inlineStr">
        <is>
          <t>N/A</t>
        </is>
      </c>
    </row>
    <row r="211" ht="15.75" customHeight="1" s="51">
      <c r="A211" s="20" t="inlineStr">
        <is>
          <t>NER-020-09</t>
        </is>
      </c>
      <c r="B211" s="20" t="inlineStr">
        <is>
          <t>Nereus</t>
        </is>
      </c>
      <c r="C211" s="20" t="inlineStr">
        <is>
          <t>Headphones &amp; Earbuds</t>
        </is>
      </c>
      <c r="D211" s="20" t="inlineStr">
        <is>
          <t>Headphones</t>
        </is>
      </c>
      <c r="E211" s="21" t="inlineStr">
        <is>
          <t>Nereus Crest X ANC Over-Ear Headphones</t>
        </is>
      </c>
      <c r="F211" s="23" t="n">
        <v>458.99</v>
      </c>
      <c r="G211" s="20" t="inlineStr">
        <is>
          <t>the Crest X; Nereus Crest X; Neereus Crest X; Crest X headphones</t>
        </is>
      </c>
      <c r="H211" s="20" t="inlineStr">
        <is>
          <t>1 year limited</t>
        </is>
      </c>
      <c r="I211" s="20" t="inlineStr">
        <is>
          <t>FCC, CE, Bluetooth SIG Qualified, Hi-Res Audio Wireless</t>
        </is>
      </c>
      <c r="J211" s="20" t="inlineStr">
        <is>
          <t>N/A</t>
        </is>
      </c>
      <c r="K211" s="20" t="inlineStr">
        <is>
          <t>N/A</t>
        </is>
      </c>
      <c r="L211" s="20" t="inlineStr">
        <is>
          <t>N/A</t>
        </is>
      </c>
      <c r="M211" s="20" t="inlineStr">
        <is>
          <t>N/A</t>
        </is>
      </c>
      <c r="N211" s="20" t="inlineStr">
        <is>
          <t>USB-C charging and audio, 3.5mm</t>
        </is>
      </c>
      <c r="O211" s="20" t="inlineStr">
        <is>
          <t>N/A</t>
        </is>
      </c>
      <c r="P211" s="20" t="n">
        <v>55</v>
      </c>
      <c r="Q211" s="24" t="n">
        <v>274</v>
      </c>
      <c r="R211" s="20" t="inlineStr">
        <is>
          <t>Lighter than Asclepius Rift Max ANC Over-Ear Headphones [ASC-024-10] (274 g vs 306 g); Longer battery than Hebe Nimbus Pro ANC Over-Ear Headphones [HEB-011-08] (55 vs 41 hrs)</t>
        </is>
      </c>
      <c r="S211" s="20" t="inlineStr">
        <is>
          <t>travel, commute, office</t>
        </is>
      </c>
      <c r="T211" s="0" t="inlineStr">
        <is>
          <t>in_stock</t>
        </is>
      </c>
      <c r="U211" s="0" t="n">
        <v>45</v>
      </c>
      <c r="V211" s="52" t="n">
        <v>485.99</v>
      </c>
      <c r="W211" s="0" t="inlineStr">
        <is>
          <t>2026-09-06</t>
        </is>
      </c>
      <c r="X211" s="0" t="inlineStr">
        <is>
          <t>N/A</t>
        </is>
      </c>
      <c r="Y211" s="0" t="inlineStr">
        <is>
          <t>N/A</t>
        </is>
      </c>
      <c r="Z211" s="0" t="inlineStr">
        <is>
          <t>N/A</t>
        </is>
      </c>
      <c r="AA211" s="0" t="inlineStr">
        <is>
          <t>N/A</t>
        </is>
      </c>
    </row>
    <row r="212" ht="15.75" customHeight="1" s="51">
      <c r="A212" s="20" t="inlineStr">
        <is>
          <t>NER-020-10</t>
        </is>
      </c>
      <c r="B212" s="20" t="inlineStr">
        <is>
          <t>Nereus</t>
        </is>
      </c>
      <c r="C212" s="20" t="inlineStr">
        <is>
          <t>Headphones &amp; Earbuds</t>
        </is>
      </c>
      <c r="D212" s="20" t="inlineStr">
        <is>
          <t>Headphones</t>
        </is>
      </c>
      <c r="E212" s="21" t="inlineStr">
        <is>
          <t>Nereus Vibe X Audiophile Planar Headphones</t>
        </is>
      </c>
      <c r="F212" s="23" t="n">
        <v>608.99</v>
      </c>
      <c r="G212" s="20" t="inlineStr">
        <is>
          <t>the Vibe X; Nereus Vibe X; Nerreus Vibe X; Vibe X headphones</t>
        </is>
      </c>
      <c r="H212" s="20" t="inlineStr">
        <is>
          <t>1 year limited</t>
        </is>
      </c>
      <c r="I212" s="20" t="inlineStr">
        <is>
          <t>CE, RoHS, Hi-Res Audio</t>
        </is>
      </c>
      <c r="J212" s="20" t="inlineStr">
        <is>
          <t>N/A</t>
        </is>
      </c>
      <c r="K212" s="20" t="inlineStr">
        <is>
          <t>N/A</t>
        </is>
      </c>
      <c r="L212" s="20" t="inlineStr">
        <is>
          <t>N/A</t>
        </is>
      </c>
      <c r="M212" s="20" t="inlineStr">
        <is>
          <t>N/A</t>
        </is>
      </c>
      <c r="N212" s="20" t="inlineStr">
        <is>
          <t>Detachable cable: 3.5mm, 6.35mm and 4.4mm balanced</t>
        </is>
      </c>
      <c r="O212" s="20" t="inlineStr">
        <is>
          <t>N/A</t>
        </is>
      </c>
      <c r="P212" s="20" t="inlineStr">
        <is>
          <t>N/A</t>
        </is>
      </c>
      <c r="Q212" s="24" t="n">
        <v>488</v>
      </c>
      <c r="R212" s="20" t="inlineStr">
        <is>
          <t>Lighter than Hedone Prism SE Audiophile Planar Headphones [HED-010-10] (488 g vs 513 g); Lower price than Achelous Axis Ultra Audiophile Planar Headphones [ACH-018-10] ($608.99 vs $790.99)</t>
        </is>
      </c>
      <c r="S212" s="20" t="inlineStr">
        <is>
          <t>audiophile, home listening, studio</t>
        </is>
      </c>
      <c r="T212" s="0" t="inlineStr">
        <is>
          <t>in_stock</t>
        </is>
      </c>
      <c r="U212" s="0" t="n">
        <v>45</v>
      </c>
      <c r="V212" s="52" t="n">
        <v>688.99</v>
      </c>
      <c r="W212" s="0" t="inlineStr">
        <is>
          <t>2026-08-24</t>
        </is>
      </c>
      <c r="X212" s="0" t="inlineStr">
        <is>
          <t>N/A</t>
        </is>
      </c>
      <c r="Y212" s="0" t="inlineStr">
        <is>
          <t>N/A</t>
        </is>
      </c>
      <c r="Z212" s="0" t="inlineStr">
        <is>
          <t>N/A</t>
        </is>
      </c>
      <c r="AA212" s="0" t="inlineStr">
        <is>
          <t>N/A</t>
        </is>
      </c>
    </row>
    <row r="213" ht="15.75" customHeight="1" s="51">
      <c r="A213" s="20" t="inlineStr">
        <is>
          <t>POS-021-01</t>
        </is>
      </c>
      <c r="B213" s="20" t="inlineStr">
        <is>
          <t>Poseidon</t>
        </is>
      </c>
      <c r="C213" s="20" t="inlineStr">
        <is>
          <t>Headphones &amp; Earbuds</t>
        </is>
      </c>
      <c r="D213" s="20" t="inlineStr">
        <is>
          <t>Headphones</t>
        </is>
      </c>
      <c r="E213" s="21" t="inlineStr">
        <is>
          <t>Poseidon Nova Pro Kids Headphones</t>
        </is>
      </c>
      <c r="F213" s="23" t="n">
        <v>47.99</v>
      </c>
      <c r="G213" s="20" t="inlineStr">
        <is>
          <t>the Nova Pro; Poseidon Nova Pro; Poesidon Nova Pro; Nova Pro headphones</t>
        </is>
      </c>
      <c r="H213" s="20" t="inlineStr">
        <is>
          <t>1 year limited</t>
        </is>
      </c>
      <c r="I213" s="20" t="inlineStr">
        <is>
          <t>FCC, CE, Bluetooth SIG Qualified, EN 71 Toy Safety</t>
        </is>
      </c>
      <c r="J213" s="20" t="inlineStr">
        <is>
          <t>N/A</t>
        </is>
      </c>
      <c r="K213" s="20" t="inlineStr">
        <is>
          <t>N/A</t>
        </is>
      </c>
      <c r="L213" s="20" t="inlineStr">
        <is>
          <t>N/A</t>
        </is>
      </c>
      <c r="M213" s="20" t="inlineStr">
        <is>
          <t>N/A</t>
        </is>
      </c>
      <c r="N213" s="20" t="inlineStr">
        <is>
          <t>USB-C charging, 3.5mm (85 dB limited)</t>
        </is>
      </c>
      <c r="O213" s="20" t="inlineStr">
        <is>
          <t>N/A</t>
        </is>
      </c>
      <c r="P213" s="20" t="n">
        <v>34</v>
      </c>
      <c r="Q213" s="24" t="n">
        <v>140</v>
      </c>
      <c r="R213" s="20" t="inlineStr">
        <is>
          <t>Longer battery than Carpo Apex Plus Kids Headphones [CAR-002-01] (34 vs 21 hrs); Lower price than Nereus Drift Kids Headphones [NER-020-01] ($47.99 vs $54.99)</t>
        </is>
      </c>
      <c r="S213" s="20" t="inlineStr">
        <is>
          <t>kids, school, travel</t>
        </is>
      </c>
      <c r="T213" s="0" t="inlineStr">
        <is>
          <t>in_stock</t>
        </is>
      </c>
      <c r="U213" s="0" t="n">
        <v>14</v>
      </c>
      <c r="V213" s="52" t="n">
        <v>52.99</v>
      </c>
      <c r="W213" s="0" t="inlineStr">
        <is>
          <t>2026-09-04</t>
        </is>
      </c>
      <c r="X213" s="0" t="inlineStr">
        <is>
          <t>N/A</t>
        </is>
      </c>
      <c r="Y213" s="0" t="inlineStr">
        <is>
          <t>N/A</t>
        </is>
      </c>
      <c r="Z213" s="0" t="inlineStr">
        <is>
          <t>N/A</t>
        </is>
      </c>
      <c r="AA213" s="0" t="inlineStr">
        <is>
          <t>N/A</t>
        </is>
      </c>
    </row>
    <row r="214" ht="15.75" customHeight="1" s="51">
      <c r="A214" s="20" t="inlineStr">
        <is>
          <t>POS-021-02</t>
        </is>
      </c>
      <c r="B214" s="20" t="inlineStr">
        <is>
          <t>Poseidon</t>
        </is>
      </c>
      <c r="C214" s="20" t="inlineStr">
        <is>
          <t>Headphones &amp; Earbuds</t>
        </is>
      </c>
      <c r="D214" s="20" t="inlineStr">
        <is>
          <t>Earbuds</t>
        </is>
      </c>
      <c r="E214" s="21" t="inlineStr">
        <is>
          <t>Poseidon Vertex Sport Earbuds</t>
        </is>
      </c>
      <c r="F214" s="23" t="n">
        <v>88.98999999999999</v>
      </c>
      <c r="G214" s="20" t="inlineStr">
        <is>
          <t>the Vertex; Poseidon Vertex; Poseiidon Vertex; Vertex earbuds</t>
        </is>
      </c>
      <c r="H214" s="20" t="inlineStr">
        <is>
          <t>1 year limited</t>
        </is>
      </c>
      <c r="I214" s="20" t="inlineStr">
        <is>
          <t>FCC, CE, Bluetooth SIG Qualified, IP55</t>
        </is>
      </c>
      <c r="J214" s="20" t="inlineStr">
        <is>
          <t>N/A</t>
        </is>
      </c>
      <c r="K214" s="20" t="inlineStr">
        <is>
          <t>N/A</t>
        </is>
      </c>
      <c r="L214" s="20" t="inlineStr">
        <is>
          <t>N/A</t>
        </is>
      </c>
      <c r="M214" s="20" t="inlineStr">
        <is>
          <t>N/A</t>
        </is>
      </c>
      <c r="N214" s="20" t="inlineStr">
        <is>
          <t>USB-C charging case</t>
        </is>
      </c>
      <c r="O214" s="20" t="inlineStr">
        <is>
          <t>N/A</t>
        </is>
      </c>
      <c r="P214" s="20" t="n">
        <v>7</v>
      </c>
      <c r="Q214" s="24" t="n">
        <v>8</v>
      </c>
      <c r="R214" s="20" t="inlineStr">
        <is>
          <t>Lower price than Zeus Nimbus X Sport Earbuds [ZEU-013-03] ($88.99 vs $145.99); Lighter than Hesperus Lumen Ultra Sport Earbuds [HES-025-05] (8 g vs 9 g)</t>
        </is>
      </c>
      <c r="S214" s="20" t="inlineStr">
        <is>
          <t>gym, running, sport</t>
        </is>
      </c>
      <c r="T214" s="0" t="inlineStr">
        <is>
          <t>in_stock</t>
        </is>
      </c>
      <c r="U214" s="0" t="n">
        <v>14</v>
      </c>
      <c r="V214" s="52" t="n">
        <v>100.99</v>
      </c>
      <c r="W214" s="0" t="inlineStr">
        <is>
          <t>2026-08-21</t>
        </is>
      </c>
      <c r="X214" s="0" t="inlineStr">
        <is>
          <t>N/A</t>
        </is>
      </c>
      <c r="Y214" s="0" t="inlineStr">
        <is>
          <t>N/A</t>
        </is>
      </c>
      <c r="Z214" s="0" t="inlineStr">
        <is>
          <t>N/A</t>
        </is>
      </c>
      <c r="AA214" s="0" t="inlineStr">
        <is>
          <t>N/A</t>
        </is>
      </c>
    </row>
    <row r="215" ht="15.75" customHeight="1" s="51">
      <c r="A215" s="20" t="inlineStr">
        <is>
          <t>POS-021-03</t>
        </is>
      </c>
      <c r="B215" s="20" t="inlineStr">
        <is>
          <t>Poseidon</t>
        </is>
      </c>
      <c r="C215" s="20" t="inlineStr">
        <is>
          <t>Headphones &amp; Earbuds</t>
        </is>
      </c>
      <c r="D215" s="20" t="inlineStr">
        <is>
          <t>Earbuds</t>
        </is>
      </c>
      <c r="E215" s="21" t="inlineStr">
        <is>
          <t>Poseidon Pulse SE Wired In-Ear Monitors</t>
        </is>
      </c>
      <c r="F215" s="23" t="n">
        <v>94.98999999999999</v>
      </c>
      <c r="G215" s="20" t="inlineStr">
        <is>
          <t>the Pulse SE; Poseidon Pulse SE; Poseido Pulse SE; Pulse SE earbuds</t>
        </is>
      </c>
      <c r="H215" s="20" t="inlineStr">
        <is>
          <t>1 year limited</t>
        </is>
      </c>
      <c r="I215" s="20" t="inlineStr">
        <is>
          <t>CE, RoHS, Hi-Res Audio</t>
        </is>
      </c>
      <c r="J215" s="20" t="inlineStr">
        <is>
          <t>N/A</t>
        </is>
      </c>
      <c r="K215" s="20" t="inlineStr">
        <is>
          <t>N/A</t>
        </is>
      </c>
      <c r="L215" s="20" t="inlineStr">
        <is>
          <t>N/A</t>
        </is>
      </c>
      <c r="M215" s="20" t="inlineStr">
        <is>
          <t>N/A</t>
        </is>
      </c>
      <c r="N215" s="20" t="inlineStr">
        <is>
          <t>Detachable 2-pin cable: 3.5mm</t>
        </is>
      </c>
      <c r="O215" s="20" t="inlineStr">
        <is>
          <t>N/A</t>
        </is>
      </c>
      <c r="P215" s="20" t="inlineStr">
        <is>
          <t>N/A</t>
        </is>
      </c>
      <c r="Q215" s="24" t="n">
        <v>25</v>
      </c>
      <c r="R215" s="20" t="inlineStr">
        <is>
          <t>Lower price than Menoetius Volt Max Wired In-Ear Monitors [MEN-008-07] ($94.99 vs $249.99); Lighter than Asclepius Spark Wired In-Ear Monitors [ASC-024-09] (25 g vs 40 g)</t>
        </is>
      </c>
      <c r="S215" s="20" t="inlineStr">
        <is>
          <t>audiophile, stage monitoring, music</t>
        </is>
      </c>
      <c r="T215" s="0" t="inlineStr">
        <is>
          <t>in_stock</t>
        </is>
      </c>
      <c r="U215" s="0" t="n">
        <v>14</v>
      </c>
      <c r="V215" s="52" t="n">
        <v>100.99</v>
      </c>
      <c r="W215" s="0" t="inlineStr">
        <is>
          <t>2026-08-30</t>
        </is>
      </c>
      <c r="X215" s="0" t="inlineStr">
        <is>
          <t>N/A</t>
        </is>
      </c>
      <c r="Y215" s="0" t="inlineStr">
        <is>
          <t>N/A</t>
        </is>
      </c>
      <c r="Z215" s="0" t="inlineStr">
        <is>
          <t>N/A</t>
        </is>
      </c>
      <c r="AA215" s="0" t="inlineStr">
        <is>
          <t>N/A</t>
        </is>
      </c>
    </row>
    <row r="216" ht="15.75" customHeight="1" s="51">
      <c r="A216" s="20" t="inlineStr">
        <is>
          <t>POS-021-04</t>
        </is>
      </c>
      <c r="B216" s="20" t="inlineStr">
        <is>
          <t>Poseidon</t>
        </is>
      </c>
      <c r="C216" s="20" t="inlineStr">
        <is>
          <t>Headphones &amp; Earbuds</t>
        </is>
      </c>
      <c r="D216" s="20" t="inlineStr">
        <is>
          <t>Earbuds</t>
        </is>
      </c>
      <c r="E216" s="21" t="inlineStr">
        <is>
          <t>Poseidon Wave Pro Open-Ear Earbuds</t>
        </is>
      </c>
      <c r="F216" s="23" t="n">
        <v>98.98999999999999</v>
      </c>
      <c r="G216" s="20" t="inlineStr">
        <is>
          <t>the Wave Pro; Poseidon Wave Pro; Psoeidon Wave Pro; Wave Pro earbuds</t>
        </is>
      </c>
      <c r="H216" s="20" t="inlineStr">
        <is>
          <t>1 year limited</t>
        </is>
      </c>
      <c r="I216" s="20" t="inlineStr">
        <is>
          <t>FCC, CE, Bluetooth SIG Qualified, IPX5</t>
        </is>
      </c>
      <c r="J216" s="20" t="inlineStr">
        <is>
          <t>N/A</t>
        </is>
      </c>
      <c r="K216" s="20" t="inlineStr">
        <is>
          <t>N/A</t>
        </is>
      </c>
      <c r="L216" s="20" t="inlineStr">
        <is>
          <t>N/A</t>
        </is>
      </c>
      <c r="M216" s="20" t="inlineStr">
        <is>
          <t>N/A</t>
        </is>
      </c>
      <c r="N216" s="20" t="inlineStr">
        <is>
          <t>USB-C charging case</t>
        </is>
      </c>
      <c r="O216" s="20" t="inlineStr">
        <is>
          <t>N/A</t>
        </is>
      </c>
      <c r="P216" s="20" t="n">
        <v>6</v>
      </c>
      <c r="Q216" s="24" t="n">
        <v>9</v>
      </c>
      <c r="R216" s="20" t="inlineStr">
        <is>
          <t>Lighter than Zeus Strata X Open-Ear Earbuds [ZEU-013-02] (9 g vs 12 g); Lower price than Deimos Aeon Plus Open-Ear Earbuds [DEI-005-05] ($98.99 vs $154.99)</t>
        </is>
      </c>
      <c r="S216" s="20" t="inlineStr">
        <is>
          <t>running, outdoor, office</t>
        </is>
      </c>
      <c r="T216" s="0" t="inlineStr">
        <is>
          <t>in_stock</t>
        </is>
      </c>
      <c r="U216" s="0" t="n">
        <v>14</v>
      </c>
      <c r="V216" s="52" t="n">
        <v>109.99</v>
      </c>
      <c r="W216" s="0" t="inlineStr">
        <is>
          <t>2026-08-06</t>
        </is>
      </c>
      <c r="X216" s="0" t="inlineStr">
        <is>
          <t>N/A</t>
        </is>
      </c>
      <c r="Y216" s="0" t="inlineStr">
        <is>
          <t>N/A</t>
        </is>
      </c>
      <c r="Z216" s="0" t="inlineStr">
        <is>
          <t>N/A</t>
        </is>
      </c>
      <c r="AA216" s="0" t="inlineStr">
        <is>
          <t>N/A</t>
        </is>
      </c>
    </row>
    <row r="217" ht="15.75" customHeight="1" s="51">
      <c r="A217" s="20" t="inlineStr">
        <is>
          <t>POS-021-05</t>
        </is>
      </c>
      <c r="B217" s="20" t="inlineStr">
        <is>
          <t>Poseidon</t>
        </is>
      </c>
      <c r="C217" s="20" t="inlineStr">
        <is>
          <t>Headphones &amp; Earbuds</t>
        </is>
      </c>
      <c r="D217" s="20" t="inlineStr">
        <is>
          <t>Earbuds</t>
        </is>
      </c>
      <c r="E217" s="21" t="inlineStr">
        <is>
          <t>Poseidon Axis X True Wireless Earbuds</t>
        </is>
      </c>
      <c r="F217" s="23" t="n">
        <v>163.99</v>
      </c>
      <c r="G217" s="20" t="inlineStr">
        <is>
          <t>the Axis X; Poseidon Axis X; Posiedon Axis X; Axis X earbuds</t>
        </is>
      </c>
      <c r="H217" s="20" t="inlineStr">
        <is>
          <t>1 year limited</t>
        </is>
      </c>
      <c r="I217" s="20" t="inlineStr">
        <is>
          <t>FCC, CE, Bluetooth SIG Qualified, IPX4</t>
        </is>
      </c>
      <c r="J217" s="20" t="inlineStr">
        <is>
          <t>N/A</t>
        </is>
      </c>
      <c r="K217" s="20" t="inlineStr">
        <is>
          <t>N/A</t>
        </is>
      </c>
      <c r="L217" s="20" t="inlineStr">
        <is>
          <t>N/A</t>
        </is>
      </c>
      <c r="M217" s="20" t="inlineStr">
        <is>
          <t>N/A</t>
        </is>
      </c>
      <c r="N217" s="20" t="inlineStr">
        <is>
          <t>USB-C charging case</t>
        </is>
      </c>
      <c r="O217" s="20" t="inlineStr">
        <is>
          <t>N/A</t>
        </is>
      </c>
      <c r="P217" s="20" t="n">
        <v>10</v>
      </c>
      <c r="Q217" s="24" t="n">
        <v>5</v>
      </c>
      <c r="R217" s="20" t="inlineStr">
        <is>
          <t>Lower price than Asteria Halo Plus True Wireless Earbuds [AST-006-06] ($163.99 vs $202.99); Longer battery than Doris Rift Ultra True Wireless Earbuds [DOR-004-03] (10 vs 6 hrs)</t>
        </is>
      </c>
      <c r="S217" s="20" t="inlineStr">
        <is>
          <t>commute, everyday, travel</t>
        </is>
      </c>
      <c r="T217" s="0" t="inlineStr">
        <is>
          <t>out_of_stock</t>
        </is>
      </c>
      <c r="U217" s="0" t="n">
        <v>14</v>
      </c>
      <c r="V217" s="52" t="n">
        <v>177.99</v>
      </c>
      <c r="W217" s="0" t="inlineStr">
        <is>
          <t>2026-09-08</t>
        </is>
      </c>
      <c r="X217" s="0" t="inlineStr">
        <is>
          <t>N/A</t>
        </is>
      </c>
      <c r="Y217" s="0" t="inlineStr">
        <is>
          <t>N/A</t>
        </is>
      </c>
      <c r="Z217" s="0" t="inlineStr">
        <is>
          <t>N/A</t>
        </is>
      </c>
      <c r="AA217" s="0" t="inlineStr">
        <is>
          <t>N/A</t>
        </is>
      </c>
    </row>
    <row r="218" ht="15.75" customHeight="1" s="51">
      <c r="A218" s="20" t="inlineStr">
        <is>
          <t>POS-021-06</t>
        </is>
      </c>
      <c r="B218" s="20" t="inlineStr">
        <is>
          <t>Poseidon</t>
        </is>
      </c>
      <c r="C218" s="20" t="inlineStr">
        <is>
          <t>Headphones &amp; Earbuds</t>
        </is>
      </c>
      <c r="D218" s="20" t="inlineStr">
        <is>
          <t>Headset</t>
        </is>
      </c>
      <c r="E218" s="21" t="inlineStr">
        <is>
          <t>Poseidon Sable X Gaming Headset</t>
        </is>
      </c>
      <c r="F218" s="23" t="n">
        <v>183.99</v>
      </c>
      <c r="G218" s="20" t="inlineStr">
        <is>
          <t>the Sable X; Poseidon Sable X; Poseidonn Sable X; Sable X headset</t>
        </is>
      </c>
      <c r="H218" s="20" t="inlineStr">
        <is>
          <t>1 year limited</t>
        </is>
      </c>
      <c r="I218" s="20" t="inlineStr">
        <is>
          <t>FCC, CE, Bluetooth SIG Qualified</t>
        </is>
      </c>
      <c r="J218" s="20" t="inlineStr">
        <is>
          <t>N/A</t>
        </is>
      </c>
      <c r="K218" s="20" t="inlineStr">
        <is>
          <t>N/A</t>
        </is>
      </c>
      <c r="L218" s="20" t="inlineStr">
        <is>
          <t>N/A</t>
        </is>
      </c>
      <c r="M218" s="20" t="inlineStr">
        <is>
          <t>N/A</t>
        </is>
      </c>
      <c r="N218" s="20" t="inlineStr">
        <is>
          <t>USB-C, 3.5mm, 2.4GHz USB dongle</t>
        </is>
      </c>
      <c r="O218" s="20" t="inlineStr">
        <is>
          <t>N/A</t>
        </is>
      </c>
      <c r="P218" s="20" t="n">
        <v>56</v>
      </c>
      <c r="Q218" s="24" t="n">
        <v>358</v>
      </c>
      <c r="R218" s="20" t="inlineStr">
        <is>
          <t>Longer battery than Hedone Halo SE Gaming Headset [HED-010-01] (56 vs 37 hrs); Lighter than Aura Crest X Gaming Headset [AUR-015-03] (358 g vs 370 g)</t>
        </is>
      </c>
      <c r="S218" s="20" t="inlineStr">
        <is>
          <t>gaming, streaming, voice chat</t>
        </is>
      </c>
      <c r="T218" s="0" t="inlineStr">
        <is>
          <t>in_stock</t>
        </is>
      </c>
      <c r="U218" s="0" t="n">
        <v>14</v>
      </c>
      <c r="V218" s="52" t="n">
        <v>200.99</v>
      </c>
      <c r="W218" s="0" t="inlineStr">
        <is>
          <t>2026-08-12</t>
        </is>
      </c>
      <c r="X218" s="0" t="inlineStr">
        <is>
          <t>N/A</t>
        </is>
      </c>
      <c r="Y218" s="0" t="inlineStr">
        <is>
          <t>N/A</t>
        </is>
      </c>
      <c r="Z218" s="0" t="inlineStr">
        <is>
          <t>N/A</t>
        </is>
      </c>
      <c r="AA218" s="0" t="inlineStr">
        <is>
          <t>N/A</t>
        </is>
      </c>
    </row>
    <row r="219" ht="15.75" customHeight="1" s="51">
      <c r="A219" s="20" t="inlineStr">
        <is>
          <t>POS-021-07</t>
        </is>
      </c>
      <c r="B219" s="20" t="inlineStr">
        <is>
          <t>Poseidon</t>
        </is>
      </c>
      <c r="C219" s="20" t="inlineStr">
        <is>
          <t>Headphones &amp; Earbuds</t>
        </is>
      </c>
      <c r="D219" s="20" t="inlineStr">
        <is>
          <t>Headphones</t>
        </is>
      </c>
      <c r="E219" s="21" t="inlineStr">
        <is>
          <t>Poseidon Titan Studio Monitor Headphones</t>
        </is>
      </c>
      <c r="F219" s="23" t="n">
        <v>186.99</v>
      </c>
      <c r="G219" s="20" t="inlineStr">
        <is>
          <t>the Titan; Poseidon Titan; Poseiidon Titan; Titan headphones</t>
        </is>
      </c>
      <c r="H219" s="20" t="inlineStr">
        <is>
          <t>1 year limited</t>
        </is>
      </c>
      <c r="I219" s="20" t="inlineStr">
        <is>
          <t>CE, RoHS, Hi-Res Audio</t>
        </is>
      </c>
      <c r="J219" s="20" t="inlineStr">
        <is>
          <t>N/A</t>
        </is>
      </c>
      <c r="K219" s="20" t="inlineStr">
        <is>
          <t>N/A</t>
        </is>
      </c>
      <c r="L219" s="20" t="inlineStr">
        <is>
          <t>N/A</t>
        </is>
      </c>
      <c r="M219" s="20" t="inlineStr">
        <is>
          <t>N/A</t>
        </is>
      </c>
      <c r="N219" s="20" t="inlineStr">
        <is>
          <t>Detachable cable: 3.5mm with 6.35mm adapter</t>
        </is>
      </c>
      <c r="O219" s="20" t="inlineStr">
        <is>
          <t>N/A</t>
        </is>
      </c>
      <c r="P219" s="20" t="inlineStr">
        <is>
          <t>N/A</t>
        </is>
      </c>
      <c r="Q219" s="24" t="n">
        <v>329</v>
      </c>
      <c r="R219" s="20" t="inlineStr">
        <is>
          <t>Lower price than Hesperus Onyx Air Studio Monitor Headphones [HES-025-08] ($186.99 vs $380.99); Lighter than Soteria Zen Pro Studio Monitor Headphones [SOT-014-09] (329 g vs 350 g)</t>
        </is>
      </c>
      <c r="S219" s="20" t="inlineStr">
        <is>
          <t>music production, studio, podcasting</t>
        </is>
      </c>
      <c r="T219" s="0" t="inlineStr">
        <is>
          <t>in_stock</t>
        </is>
      </c>
      <c r="U219" s="0" t="n">
        <v>14</v>
      </c>
      <c r="V219" s="52" t="n">
        <v>197.99</v>
      </c>
      <c r="W219" s="0" t="inlineStr">
        <is>
          <t>2026-08-02</t>
        </is>
      </c>
      <c r="X219" s="0" t="inlineStr">
        <is>
          <t>N/A</t>
        </is>
      </c>
      <c r="Y219" s="0" t="inlineStr">
        <is>
          <t>N/A</t>
        </is>
      </c>
      <c r="Z219" s="0" t="inlineStr">
        <is>
          <t>N/A</t>
        </is>
      </c>
      <c r="AA219" s="0" t="inlineStr">
        <is>
          <t>N/A</t>
        </is>
      </c>
    </row>
    <row r="220" ht="15.75" customHeight="1" s="51">
      <c r="A220" s="20" t="inlineStr">
        <is>
          <t>POS-021-08</t>
        </is>
      </c>
      <c r="B220" s="20" t="inlineStr">
        <is>
          <t>Poseidon</t>
        </is>
      </c>
      <c r="C220" s="20" t="inlineStr">
        <is>
          <t>Headphones &amp; Earbuds</t>
        </is>
      </c>
      <c r="D220" s="20" t="inlineStr">
        <is>
          <t>Headphones</t>
        </is>
      </c>
      <c r="E220" s="21" t="inlineStr">
        <is>
          <t>Poseidon Arc Lite On-Ear Headphones</t>
        </is>
      </c>
      <c r="F220" s="23" t="n">
        <v>197.99</v>
      </c>
      <c r="G220" s="20" t="inlineStr">
        <is>
          <t>the Arc Lite; Poseidon Arc Lite; Poseiddon Arc Lite; Arc Lite headphones</t>
        </is>
      </c>
      <c r="H220" s="20" t="inlineStr">
        <is>
          <t>1 year limited</t>
        </is>
      </c>
      <c r="I220" s="20" t="inlineStr">
        <is>
          <t>FCC, CE, Bluetooth SIG Qualified</t>
        </is>
      </c>
      <c r="J220" s="20" t="inlineStr">
        <is>
          <t>N/A</t>
        </is>
      </c>
      <c r="K220" s="20" t="inlineStr">
        <is>
          <t>N/A</t>
        </is>
      </c>
      <c r="L220" s="20" t="inlineStr">
        <is>
          <t>N/A</t>
        </is>
      </c>
      <c r="M220" s="20" t="inlineStr">
        <is>
          <t>N/A</t>
        </is>
      </c>
      <c r="N220" s="20" t="inlineStr">
        <is>
          <t>USB-C charging, 3.5mm</t>
        </is>
      </c>
      <c r="O220" s="20" t="inlineStr">
        <is>
          <t>N/A</t>
        </is>
      </c>
      <c r="P220" s="20" t="n">
        <v>38</v>
      </c>
      <c r="Q220" s="24" t="n">
        <v>164</v>
      </c>
      <c r="R220" s="20" t="inlineStr">
        <is>
          <t>Longer battery than Deimos Aeon X On-Ear Headphones [DEI-005-01] (38 vs 37 hrs); Lighter than Ananke Flux SE On-Ear Headphones [ANA-023-04] (164 g vs 216 g)</t>
        </is>
      </c>
      <c r="S220" s="20" t="inlineStr">
        <is>
          <t>everyday, commute, school</t>
        </is>
      </c>
      <c r="T220" s="0" t="inlineStr">
        <is>
          <t>in_stock</t>
        </is>
      </c>
      <c r="U220" s="0" t="n">
        <v>14</v>
      </c>
      <c r="V220" s="52" t="n">
        <v>208.99</v>
      </c>
      <c r="W220" s="0" t="inlineStr">
        <is>
          <t>2026-08-26</t>
        </is>
      </c>
      <c r="X220" s="0" t="inlineStr">
        <is>
          <t>N/A</t>
        </is>
      </c>
      <c r="Y220" s="0" t="inlineStr">
        <is>
          <t>N/A</t>
        </is>
      </c>
      <c r="Z220" s="0" t="inlineStr">
        <is>
          <t>N/A</t>
        </is>
      </c>
      <c r="AA220" s="0" t="inlineStr">
        <is>
          <t>N/A</t>
        </is>
      </c>
    </row>
    <row r="221" ht="15.75" customHeight="1" s="51">
      <c r="A221" s="20" t="inlineStr">
        <is>
          <t>POS-021-09</t>
        </is>
      </c>
      <c r="B221" s="20" t="inlineStr">
        <is>
          <t>Poseidon</t>
        </is>
      </c>
      <c r="C221" s="20" t="inlineStr">
        <is>
          <t>Headphones &amp; Earbuds</t>
        </is>
      </c>
      <c r="D221" s="20" t="inlineStr">
        <is>
          <t>Headphones</t>
        </is>
      </c>
      <c r="E221" s="21" t="inlineStr">
        <is>
          <t>Poseidon Prism ANC Over-Ear Headphones</t>
        </is>
      </c>
      <c r="F221" s="23" t="n">
        <v>388.99</v>
      </c>
      <c r="G221" s="20" t="inlineStr">
        <is>
          <t>the Prism; Poseidon Prism; Poseido Prism; Prism headphones</t>
        </is>
      </c>
      <c r="H221" s="20" t="inlineStr">
        <is>
          <t>1 year limited</t>
        </is>
      </c>
      <c r="I221" s="20" t="inlineStr">
        <is>
          <t>FCC, CE, Bluetooth SIG Qualified, Hi-Res Audio Wireless</t>
        </is>
      </c>
      <c r="J221" s="20" t="inlineStr">
        <is>
          <t>N/A</t>
        </is>
      </c>
      <c r="K221" s="20" t="inlineStr">
        <is>
          <t>N/A</t>
        </is>
      </c>
      <c r="L221" s="20" t="inlineStr">
        <is>
          <t>N/A</t>
        </is>
      </c>
      <c r="M221" s="20" t="inlineStr">
        <is>
          <t>N/A</t>
        </is>
      </c>
      <c r="N221" s="20" t="inlineStr">
        <is>
          <t>USB-C charging and audio, 3.5mm</t>
        </is>
      </c>
      <c r="O221" s="20" t="inlineStr">
        <is>
          <t>N/A</t>
        </is>
      </c>
      <c r="P221" s="20" t="n">
        <v>36</v>
      </c>
      <c r="Q221" s="24" t="n">
        <v>246</v>
      </c>
      <c r="R221" s="20" t="inlineStr">
        <is>
          <t>Lighter than Glaucus Core Pro ANC Over-Ear Headphones [GLA-012-08] (246 g vs 282 g); Lower price than Hebe Nimbus Pro ANC Over-Ear Headphones [HEB-011-08] ($388.99 vs $401.99)</t>
        </is>
      </c>
      <c r="S221" s="20" t="inlineStr">
        <is>
          <t>travel, commute, office</t>
        </is>
      </c>
      <c r="T221" s="0" t="inlineStr">
        <is>
          <t>in_stock</t>
        </is>
      </c>
      <c r="U221" s="0" t="n">
        <v>14</v>
      </c>
      <c r="V221" s="52" t="n">
        <v>409.99</v>
      </c>
      <c r="W221" s="0" t="inlineStr">
        <is>
          <t>2026-09-10</t>
        </is>
      </c>
      <c r="X221" s="0" t="inlineStr">
        <is>
          <t>N/A</t>
        </is>
      </c>
      <c r="Y221" s="0" t="inlineStr">
        <is>
          <t>N/A</t>
        </is>
      </c>
      <c r="Z221" s="0" t="inlineStr">
        <is>
          <t>N/A</t>
        </is>
      </c>
      <c r="AA221" s="0" t="inlineStr">
        <is>
          <t>N/A</t>
        </is>
      </c>
    </row>
    <row r="222" ht="15.75" customHeight="1" s="51">
      <c r="A222" s="20" t="inlineStr">
        <is>
          <t>POS-021-10</t>
        </is>
      </c>
      <c r="B222" s="20" t="inlineStr">
        <is>
          <t>Poseidon</t>
        </is>
      </c>
      <c r="C222" s="20" t="inlineStr">
        <is>
          <t>Headphones &amp; Earbuds</t>
        </is>
      </c>
      <c r="D222" s="20" t="inlineStr">
        <is>
          <t>Headphones</t>
        </is>
      </c>
      <c r="E222" s="21" t="inlineStr">
        <is>
          <t>Poseidon Prism Max Audiophile Planar Headphones</t>
        </is>
      </c>
      <c r="F222" s="23" t="n">
        <v>772.99</v>
      </c>
      <c r="G222" s="20" t="inlineStr">
        <is>
          <t>the Prism Max; Poseidon Prism Max; Pooseidon Prism Max; Prism Max headphones</t>
        </is>
      </c>
      <c r="H222" s="20" t="inlineStr">
        <is>
          <t>1 year limited</t>
        </is>
      </c>
      <c r="I222" s="20" t="inlineStr">
        <is>
          <t>CE, RoHS, Hi-Res Audio</t>
        </is>
      </c>
      <c r="J222" s="20" t="inlineStr">
        <is>
          <t>N/A</t>
        </is>
      </c>
      <c r="K222" s="20" t="inlineStr">
        <is>
          <t>N/A</t>
        </is>
      </c>
      <c r="L222" s="20" t="inlineStr">
        <is>
          <t>N/A</t>
        </is>
      </c>
      <c r="M222" s="20" t="inlineStr">
        <is>
          <t>N/A</t>
        </is>
      </c>
      <c r="N222" s="20" t="inlineStr">
        <is>
          <t>Detachable cable: 3.5mm, 6.35mm and 4.4mm balanced</t>
        </is>
      </c>
      <c r="O222" s="20" t="inlineStr">
        <is>
          <t>N/A</t>
        </is>
      </c>
      <c r="P222" s="20" t="inlineStr">
        <is>
          <t>N/A</t>
        </is>
      </c>
      <c r="Q222" s="24" t="n">
        <v>459</v>
      </c>
      <c r="R222" s="20" t="inlineStr">
        <is>
          <t>Lighter than Zeus Titan Ultra Audiophile Planar Headphones [ZEU-013-10] (459 g vs 545 g); Lower price than Morpheus Onyx Lite Audiophile Planar Headphones [MOR-001-10] ($772.99 vs $1,063.99)</t>
        </is>
      </c>
      <c r="S222" s="20" t="inlineStr">
        <is>
          <t>audiophile, home listening, studio</t>
        </is>
      </c>
      <c r="T222" s="0" t="inlineStr">
        <is>
          <t>in_stock</t>
        </is>
      </c>
      <c r="U222" s="0" t="n">
        <v>14</v>
      </c>
      <c r="V222" s="52" t="n">
        <v>878.99</v>
      </c>
      <c r="W222" s="0" t="inlineStr">
        <is>
          <t>2026-09-16</t>
        </is>
      </c>
      <c r="X222" s="0" t="inlineStr">
        <is>
          <t>N/A</t>
        </is>
      </c>
      <c r="Y222" s="0" t="inlineStr">
        <is>
          <t>N/A</t>
        </is>
      </c>
      <c r="Z222" s="0" t="inlineStr">
        <is>
          <t>N/A</t>
        </is>
      </c>
      <c r="AA222" s="0" t="inlineStr">
        <is>
          <t>N/A</t>
        </is>
      </c>
    </row>
    <row r="223" ht="15.75" customHeight="1" s="51">
      <c r="A223" s="20" t="inlineStr">
        <is>
          <t>CLI-022-01</t>
        </is>
      </c>
      <c r="B223" s="20" t="inlineStr">
        <is>
          <t>Clio</t>
        </is>
      </c>
      <c r="C223" s="20" t="inlineStr">
        <is>
          <t>Headphones &amp; Earbuds</t>
        </is>
      </c>
      <c r="D223" s="20" t="inlineStr">
        <is>
          <t>Headphones</t>
        </is>
      </c>
      <c r="E223" s="21" t="inlineStr">
        <is>
          <t>Clio Apex X Kids Headphones</t>
        </is>
      </c>
      <c r="F223" s="23" t="n">
        <v>32.99</v>
      </c>
      <c r="G223" s="20" t="inlineStr">
        <is>
          <t>the Apex X; Clio Apex X; Klio Apex X; Apex X headphones</t>
        </is>
      </c>
      <c r="H223" s="20" t="inlineStr">
        <is>
          <t>1 year limited</t>
        </is>
      </c>
      <c r="I223" s="20" t="inlineStr">
        <is>
          <t>FCC, CE, Bluetooth SIG Qualified, EN 71 Toy Safety</t>
        </is>
      </c>
      <c r="J223" s="20" t="inlineStr">
        <is>
          <t>N/A</t>
        </is>
      </c>
      <c r="K223" s="20" t="inlineStr">
        <is>
          <t>N/A</t>
        </is>
      </c>
      <c r="L223" s="20" t="inlineStr">
        <is>
          <t>N/A</t>
        </is>
      </c>
      <c r="M223" s="20" t="inlineStr">
        <is>
          <t>N/A</t>
        </is>
      </c>
      <c r="N223" s="20" t="inlineStr">
        <is>
          <t>USB-C charging, 3.5mm (85 dB limited)</t>
        </is>
      </c>
      <c r="O223" s="20" t="inlineStr">
        <is>
          <t>N/A</t>
        </is>
      </c>
      <c r="P223" s="20" t="n">
        <v>27</v>
      </c>
      <c r="Q223" s="24" t="n">
        <v>110</v>
      </c>
      <c r="R223" s="20" t="inlineStr">
        <is>
          <t>Lower price than Doris Halo SE Kids Headphones [DOR-004-01] ($32.99 vs $48.99); Lighter than Poseidon Nova Pro Kids Headphones [POS-021-01] (110 g vs 140 g)</t>
        </is>
      </c>
      <c r="S223" s="20" t="inlineStr">
        <is>
          <t>kids, school, travel</t>
        </is>
      </c>
      <c r="T223" s="0" t="inlineStr">
        <is>
          <t>in_stock</t>
        </is>
      </c>
      <c r="U223" s="0" t="n">
        <v>45</v>
      </c>
      <c r="V223" s="52" t="n">
        <v>37.99</v>
      </c>
      <c r="W223" s="0" t="inlineStr">
        <is>
          <t>2026-08-25</t>
        </is>
      </c>
      <c r="X223" s="0" t="inlineStr">
        <is>
          <t>N/A</t>
        </is>
      </c>
      <c r="Y223" s="0" t="inlineStr">
        <is>
          <t>N/A</t>
        </is>
      </c>
      <c r="Z223" s="0" t="inlineStr">
        <is>
          <t>N/A</t>
        </is>
      </c>
      <c r="AA223" s="0" t="inlineStr">
        <is>
          <t>N/A</t>
        </is>
      </c>
    </row>
    <row r="224" ht="15.75" customHeight="1" s="51">
      <c r="A224" s="20" t="inlineStr">
        <is>
          <t>CLI-022-02</t>
        </is>
      </c>
      <c r="B224" s="20" t="inlineStr">
        <is>
          <t>Clio</t>
        </is>
      </c>
      <c r="C224" s="20" t="inlineStr">
        <is>
          <t>Headphones &amp; Earbuds</t>
        </is>
      </c>
      <c r="D224" s="20" t="inlineStr">
        <is>
          <t>Earbuds</t>
        </is>
      </c>
      <c r="E224" s="21" t="inlineStr">
        <is>
          <t>Clio Crest True Wireless Earbuds</t>
        </is>
      </c>
      <c r="F224" s="23" t="n">
        <v>68.98999999999999</v>
      </c>
      <c r="G224" s="20" t="inlineStr">
        <is>
          <t>the Crest; Clio Crest; Clioo Crest; Crest earbuds</t>
        </is>
      </c>
      <c r="H224" s="20" t="inlineStr">
        <is>
          <t>1 year limited</t>
        </is>
      </c>
      <c r="I224" s="20" t="inlineStr">
        <is>
          <t>FCC, CE, Bluetooth SIG Qualified, Hi-Res Audio Wireless</t>
        </is>
      </c>
      <c r="J224" s="20" t="inlineStr">
        <is>
          <t>N/A</t>
        </is>
      </c>
      <c r="K224" s="20" t="inlineStr">
        <is>
          <t>N/A</t>
        </is>
      </c>
      <c r="L224" s="20" t="inlineStr">
        <is>
          <t>N/A</t>
        </is>
      </c>
      <c r="M224" s="20" t="inlineStr">
        <is>
          <t>N/A</t>
        </is>
      </c>
      <c r="N224" s="20" t="inlineStr">
        <is>
          <t>USB-C charging case</t>
        </is>
      </c>
      <c r="O224" s="20" t="inlineStr">
        <is>
          <t>N/A</t>
        </is>
      </c>
      <c r="P224" s="20" t="n">
        <v>10</v>
      </c>
      <c r="Q224" s="24" t="n">
        <v>4</v>
      </c>
      <c r="R224" s="20" t="inlineStr">
        <is>
          <t>Lower price than Asclepius Titan True Wireless Earbuds [ASC-024-03] ($68.99 vs $127.99); Lighter than Achelous Prism Pro True Wireless Earbuds [ACH-018-02] (4 g vs 6 g)</t>
        </is>
      </c>
      <c r="S224" s="20" t="inlineStr">
        <is>
          <t>commute, everyday, travel</t>
        </is>
      </c>
      <c r="T224" s="0" t="inlineStr">
        <is>
          <t>in_stock</t>
        </is>
      </c>
      <c r="U224" s="0" t="n">
        <v>45</v>
      </c>
      <c r="V224" s="52" t="n">
        <v>77.98999999999999</v>
      </c>
      <c r="W224" s="0" t="inlineStr">
        <is>
          <t>2026-09-11</t>
        </is>
      </c>
      <c r="X224" s="0" t="inlineStr">
        <is>
          <t>N/A</t>
        </is>
      </c>
      <c r="Y224" s="0" t="inlineStr">
        <is>
          <t>N/A</t>
        </is>
      </c>
      <c r="Z224" s="0" t="inlineStr">
        <is>
          <t>N/A</t>
        </is>
      </c>
      <c r="AA224" s="0" t="inlineStr">
        <is>
          <t>N/A</t>
        </is>
      </c>
    </row>
    <row r="225" ht="15.75" customHeight="1" s="51">
      <c r="A225" s="20" t="inlineStr">
        <is>
          <t>CLI-022-03</t>
        </is>
      </c>
      <c r="B225" s="20" t="inlineStr">
        <is>
          <t>Clio</t>
        </is>
      </c>
      <c r="C225" s="20" t="inlineStr">
        <is>
          <t>Headphones &amp; Earbuds</t>
        </is>
      </c>
      <c r="D225" s="20" t="inlineStr">
        <is>
          <t>Headset</t>
        </is>
      </c>
      <c r="E225" s="21" t="inlineStr">
        <is>
          <t>Clio Spark Air Gaming Headset</t>
        </is>
      </c>
      <c r="F225" s="23" t="n">
        <v>137.99</v>
      </c>
      <c r="G225" s="20" t="inlineStr">
        <is>
          <t>the Spark Air; Clio Spark Air; Cliio Spark Air; Spark Air headset</t>
        </is>
      </c>
      <c r="H225" s="20" t="inlineStr">
        <is>
          <t>1 year limited</t>
        </is>
      </c>
      <c r="I225" s="20" t="inlineStr">
        <is>
          <t>FCC, CE, Bluetooth SIG Qualified</t>
        </is>
      </c>
      <c r="J225" s="20" t="inlineStr">
        <is>
          <t>N/A</t>
        </is>
      </c>
      <c r="K225" s="20" t="inlineStr">
        <is>
          <t>N/A</t>
        </is>
      </c>
      <c r="L225" s="20" t="inlineStr">
        <is>
          <t>N/A</t>
        </is>
      </c>
      <c r="M225" s="20" t="inlineStr">
        <is>
          <t>N/A</t>
        </is>
      </c>
      <c r="N225" s="20" t="inlineStr">
        <is>
          <t>USB-C, 3.5mm, 2.4GHz USB dongle</t>
        </is>
      </c>
      <c r="O225" s="20" t="inlineStr">
        <is>
          <t>N/A</t>
        </is>
      </c>
      <c r="P225" s="20" t="n">
        <v>49</v>
      </c>
      <c r="Q225" s="24" t="n">
        <v>337</v>
      </c>
      <c r="R225" s="20" t="inlineStr">
        <is>
          <t>Lower price than Hebe Axis SE Gaming Headset [HEB-011-06] ($137.99 vs $147.99); Lighter than Morpheus Quanta X Gaming Headset [MOR-001-05] (337 g vs 363 g)</t>
        </is>
      </c>
      <c r="S225" s="20" t="inlineStr">
        <is>
          <t>gaming, streaming, voice chat</t>
        </is>
      </c>
      <c r="T225" s="0" t="inlineStr">
        <is>
          <t>in_stock</t>
        </is>
      </c>
      <c r="U225" s="0" t="n">
        <v>45</v>
      </c>
      <c r="V225" s="52" t="n">
        <v>154.99</v>
      </c>
      <c r="W225" s="0" t="inlineStr">
        <is>
          <t>2026-08-12</t>
        </is>
      </c>
      <c r="X225" s="0" t="inlineStr">
        <is>
          <t>N/A</t>
        </is>
      </c>
      <c r="Y225" s="0" t="inlineStr">
        <is>
          <t>N/A</t>
        </is>
      </c>
      <c r="Z225" s="0" t="inlineStr">
        <is>
          <t>N/A</t>
        </is>
      </c>
      <c r="AA225" s="0" t="inlineStr">
        <is>
          <t>N/A</t>
        </is>
      </c>
    </row>
    <row r="226" ht="15.75" customHeight="1" s="51">
      <c r="A226" s="20" t="inlineStr">
        <is>
          <t>CLI-022-04</t>
        </is>
      </c>
      <c r="B226" s="20" t="inlineStr">
        <is>
          <t>Clio</t>
        </is>
      </c>
      <c r="C226" s="20" t="inlineStr">
        <is>
          <t>Headphones &amp; Earbuds</t>
        </is>
      </c>
      <c r="D226" s="20" t="inlineStr">
        <is>
          <t>Earbuds</t>
        </is>
      </c>
      <c r="E226" s="21" t="inlineStr">
        <is>
          <t>Clio Core Air Sport Earbuds</t>
        </is>
      </c>
      <c r="F226" s="23" t="n">
        <v>141.99</v>
      </c>
      <c r="G226" s="20" t="inlineStr">
        <is>
          <t>the Core Air; Clio Core Air; Cilo Core Air; Core Air earbuds</t>
        </is>
      </c>
      <c r="H226" s="20" t="inlineStr">
        <is>
          <t>1 year limited</t>
        </is>
      </c>
      <c r="I226" s="20" t="inlineStr">
        <is>
          <t>FCC, CE, Bluetooth SIG Qualified, IPX5</t>
        </is>
      </c>
      <c r="J226" s="20" t="inlineStr">
        <is>
          <t>N/A</t>
        </is>
      </c>
      <c r="K226" s="20" t="inlineStr">
        <is>
          <t>N/A</t>
        </is>
      </c>
      <c r="L226" s="20" t="inlineStr">
        <is>
          <t>N/A</t>
        </is>
      </c>
      <c r="M226" s="20" t="inlineStr">
        <is>
          <t>N/A</t>
        </is>
      </c>
      <c r="N226" s="20" t="inlineStr">
        <is>
          <t>USB-C charging case</t>
        </is>
      </c>
      <c r="O226" s="20" t="inlineStr">
        <is>
          <t>N/A</t>
        </is>
      </c>
      <c r="P226" s="20" t="n">
        <v>9</v>
      </c>
      <c r="Q226" s="24" t="n">
        <v>9</v>
      </c>
      <c r="R226" s="20" t="inlineStr">
        <is>
          <t>Longer battery than Poseidon Vertex Sport Earbuds [POS-021-02] (9 vs 7 hrs); Lower price than Carpo Flux Pro Sport Earbuds [CAR-002-05] ($141.99 vs $153.99)</t>
        </is>
      </c>
      <c r="S226" s="20" t="inlineStr">
        <is>
          <t>gym, running, sport</t>
        </is>
      </c>
      <c r="T226" s="0" t="inlineStr">
        <is>
          <t>in_stock</t>
        </is>
      </c>
      <c r="U226" s="0" t="n">
        <v>45</v>
      </c>
      <c r="V226" s="52" t="n">
        <v>158.99</v>
      </c>
      <c r="W226" s="0" t="inlineStr">
        <is>
          <t>2026-08-06</t>
        </is>
      </c>
      <c r="X226" s="0" t="inlineStr">
        <is>
          <t>N/A</t>
        </is>
      </c>
      <c r="Y226" s="0" t="inlineStr">
        <is>
          <t>N/A</t>
        </is>
      </c>
      <c r="Z226" s="0" t="inlineStr">
        <is>
          <t>N/A</t>
        </is>
      </c>
      <c r="AA226" s="0" t="inlineStr">
        <is>
          <t>N/A</t>
        </is>
      </c>
    </row>
    <row r="227" ht="15.75" customHeight="1" s="51">
      <c r="A227" s="20" t="inlineStr">
        <is>
          <t>CLI-022-05</t>
        </is>
      </c>
      <c r="B227" s="20" t="inlineStr">
        <is>
          <t>Clio</t>
        </is>
      </c>
      <c r="C227" s="20" t="inlineStr">
        <is>
          <t>Headphones &amp; Earbuds</t>
        </is>
      </c>
      <c r="D227" s="20" t="inlineStr">
        <is>
          <t>Earbuds</t>
        </is>
      </c>
      <c r="E227" s="21" t="inlineStr">
        <is>
          <t>Clio Pulse Open-Ear Earbuds</t>
        </is>
      </c>
      <c r="F227" s="23" t="n">
        <v>142.99</v>
      </c>
      <c r="G227" s="20" t="inlineStr">
        <is>
          <t>the Pulse; Clio Pulse; Cliio Pulse; Pulse earbuds</t>
        </is>
      </c>
      <c r="H227" s="20" t="inlineStr">
        <is>
          <t>1 year limited</t>
        </is>
      </c>
      <c r="I227" s="20" t="inlineStr">
        <is>
          <t>FCC, CE, Bluetooth SIG Qualified, IPX4</t>
        </is>
      </c>
      <c r="J227" s="20" t="inlineStr">
        <is>
          <t>N/A</t>
        </is>
      </c>
      <c r="K227" s="20" t="inlineStr">
        <is>
          <t>N/A</t>
        </is>
      </c>
      <c r="L227" s="20" t="inlineStr">
        <is>
          <t>N/A</t>
        </is>
      </c>
      <c r="M227" s="20" t="inlineStr">
        <is>
          <t>N/A</t>
        </is>
      </c>
      <c r="N227" s="20" t="inlineStr">
        <is>
          <t>USB-C charging case</t>
        </is>
      </c>
      <c r="O227" s="20" t="inlineStr">
        <is>
          <t>N/A</t>
        </is>
      </c>
      <c r="P227" s="20" t="n">
        <v>9</v>
      </c>
      <c r="Q227" s="24" t="n">
        <v>10</v>
      </c>
      <c r="R227" s="20" t="inlineStr">
        <is>
          <t>Lighter than Carpo Lumen Pro Open-Ear Earbuds [CAR-002-04] (10 g vs 11 g); Lower price than Morpheus Arc Open-Ear Earbuds [MOR-001-04] ($142.99 vs $156.99)</t>
        </is>
      </c>
      <c r="S227" s="20" t="inlineStr">
        <is>
          <t>running, outdoor, office</t>
        </is>
      </c>
      <c r="T227" s="0" t="inlineStr">
        <is>
          <t>in_stock</t>
        </is>
      </c>
      <c r="U227" s="0" t="n">
        <v>45</v>
      </c>
      <c r="V227" s="52" t="n">
        <v>157.99</v>
      </c>
      <c r="W227" s="0" t="inlineStr">
        <is>
          <t>2026-08-12</t>
        </is>
      </c>
      <c r="X227" s="0" t="inlineStr">
        <is>
          <t>N/A</t>
        </is>
      </c>
      <c r="Y227" s="0" t="inlineStr">
        <is>
          <t>N/A</t>
        </is>
      </c>
      <c r="Z227" s="0" t="inlineStr">
        <is>
          <t>N/A</t>
        </is>
      </c>
      <c r="AA227" s="0" t="inlineStr">
        <is>
          <t>N/A</t>
        </is>
      </c>
    </row>
    <row r="228" ht="15.75" customHeight="1" s="51">
      <c r="A228" s="20" t="inlineStr">
        <is>
          <t>CLI-022-06</t>
        </is>
      </c>
      <c r="B228" s="20" t="inlineStr">
        <is>
          <t>Clio</t>
        </is>
      </c>
      <c r="C228" s="20" t="inlineStr">
        <is>
          <t>Headphones &amp; Earbuds</t>
        </is>
      </c>
      <c r="D228" s="20" t="inlineStr">
        <is>
          <t>Headphones</t>
        </is>
      </c>
      <c r="E228" s="21" t="inlineStr">
        <is>
          <t>Clio Aeon Max Studio Monitor Headphones</t>
        </is>
      </c>
      <c r="F228" s="23" t="n">
        <v>161.99</v>
      </c>
      <c r="G228" s="20" t="inlineStr">
        <is>
          <t>the Aeon Max; Clio Aeon Max; Klio Aeon Max; Aeon Max headphones</t>
        </is>
      </c>
      <c r="H228" s="20" t="inlineStr">
        <is>
          <t>1 year limited</t>
        </is>
      </c>
      <c r="I228" s="20" t="inlineStr">
        <is>
          <t>CE, RoHS, Hi-Res Audio</t>
        </is>
      </c>
      <c r="J228" s="20" t="inlineStr">
        <is>
          <t>N/A</t>
        </is>
      </c>
      <c r="K228" s="20" t="inlineStr">
        <is>
          <t>N/A</t>
        </is>
      </c>
      <c r="L228" s="20" t="inlineStr">
        <is>
          <t>N/A</t>
        </is>
      </c>
      <c r="M228" s="20" t="inlineStr">
        <is>
          <t>N/A</t>
        </is>
      </c>
      <c r="N228" s="20" t="inlineStr">
        <is>
          <t>Detachable cable: 3.5mm with 6.35mm adapter</t>
        </is>
      </c>
      <c r="O228" s="20" t="inlineStr">
        <is>
          <t>N/A</t>
        </is>
      </c>
      <c r="P228" s="20" t="inlineStr">
        <is>
          <t>N/A</t>
        </is>
      </c>
      <c r="Q228" s="24" t="n">
        <v>369</v>
      </c>
      <c r="R228" s="20" t="inlineStr">
        <is>
          <t>Lower price than Doris Rift Air Studio Monitor Headphones [DOR-004-09] ($161.99 vs $355.99); Lighter than Morpheus Onyx Air Studio Monitor Headphones [MOR-001-09] (369 g vs 375 g)</t>
        </is>
      </c>
      <c r="S228" s="20" t="inlineStr">
        <is>
          <t>music production, studio, podcasting</t>
        </is>
      </c>
      <c r="T228" s="0" t="inlineStr">
        <is>
          <t>in_stock</t>
        </is>
      </c>
      <c r="U228" s="0" t="n">
        <v>45</v>
      </c>
      <c r="V228" s="52" t="n">
        <v>174.99</v>
      </c>
      <c r="W228" s="0" t="inlineStr">
        <is>
          <t>2026-09-12</t>
        </is>
      </c>
      <c r="X228" s="0" t="inlineStr">
        <is>
          <t>N/A</t>
        </is>
      </c>
      <c r="Y228" s="0" t="inlineStr">
        <is>
          <t>N/A</t>
        </is>
      </c>
      <c r="Z228" s="0" t="inlineStr">
        <is>
          <t>N/A</t>
        </is>
      </c>
      <c r="AA228" s="0" t="inlineStr">
        <is>
          <t>N/A</t>
        </is>
      </c>
    </row>
    <row r="229" ht="15.75" customHeight="1" s="51">
      <c r="A229" s="20" t="inlineStr">
        <is>
          <t>CLI-022-07</t>
        </is>
      </c>
      <c r="B229" s="20" t="inlineStr">
        <is>
          <t>Clio</t>
        </is>
      </c>
      <c r="C229" s="20" t="inlineStr">
        <is>
          <t>Headphones &amp; Earbuds</t>
        </is>
      </c>
      <c r="D229" s="20" t="inlineStr">
        <is>
          <t>Earbuds</t>
        </is>
      </c>
      <c r="E229" s="21" t="inlineStr">
        <is>
          <t>Clio Blaze Plus Sleep Earbuds</t>
        </is>
      </c>
      <c r="F229" s="23" t="n">
        <v>208.99</v>
      </c>
      <c r="G229" s="20" t="inlineStr">
        <is>
          <t>the Blaze Plus; Clio Blaze Plus; Cliio Blaze Plus; Blaze Plus earbuds</t>
        </is>
      </c>
      <c r="H229" s="20" t="inlineStr">
        <is>
          <t>1 year limited</t>
        </is>
      </c>
      <c r="I229" s="20" t="inlineStr">
        <is>
          <t>FCC, CE, Bluetooth SIG Qualified</t>
        </is>
      </c>
      <c r="J229" s="20" t="inlineStr">
        <is>
          <t>N/A</t>
        </is>
      </c>
      <c r="K229" s="20" t="inlineStr">
        <is>
          <t>N/A</t>
        </is>
      </c>
      <c r="L229" s="20" t="inlineStr">
        <is>
          <t>N/A</t>
        </is>
      </c>
      <c r="M229" s="20" t="inlineStr">
        <is>
          <t>N/A</t>
        </is>
      </c>
      <c r="N229" s="20" t="inlineStr">
        <is>
          <t>USB-C charging case</t>
        </is>
      </c>
      <c r="O229" s="20" t="inlineStr">
        <is>
          <t>N/A</t>
        </is>
      </c>
      <c r="P229" s="20" t="n">
        <v>8</v>
      </c>
      <c r="Q229" s="24" t="n">
        <v>2</v>
      </c>
      <c r="R229" s="20" t="inlineStr">
        <is>
          <t>Lower price than Asteria Prism X Sleep Earbuds [AST-006-09] ($208.99 vs $278.99); Lighter than Euphrosyne Flux Pro Sleep Earbuds [EUP-019-05] (2 g vs 3 g)</t>
        </is>
      </c>
      <c r="S229" s="20" t="inlineStr">
        <is>
          <t>sleep, travel, relaxation</t>
        </is>
      </c>
      <c r="T229" s="0" t="inlineStr">
        <is>
          <t>in_stock</t>
        </is>
      </c>
      <c r="U229" s="0" t="n">
        <v>45</v>
      </c>
      <c r="V229" s="52" t="n">
        <v>227.99</v>
      </c>
      <c r="W229" s="0" t="inlineStr">
        <is>
          <t>2026-09-07</t>
        </is>
      </c>
      <c r="X229" s="0" t="inlineStr">
        <is>
          <t>N/A</t>
        </is>
      </c>
      <c r="Y229" s="0" t="inlineStr">
        <is>
          <t>N/A</t>
        </is>
      </c>
      <c r="Z229" s="0" t="inlineStr">
        <is>
          <t>N/A</t>
        </is>
      </c>
      <c r="AA229" s="0" t="inlineStr">
        <is>
          <t>N/A</t>
        </is>
      </c>
    </row>
    <row r="230" ht="15.75" customHeight="1" s="51">
      <c r="A230" s="20" t="inlineStr">
        <is>
          <t>CLI-022-08</t>
        </is>
      </c>
      <c r="B230" s="20" t="inlineStr">
        <is>
          <t>Clio</t>
        </is>
      </c>
      <c r="C230" s="20" t="inlineStr">
        <is>
          <t>Headphones &amp; Earbuds</t>
        </is>
      </c>
      <c r="D230" s="20" t="inlineStr">
        <is>
          <t>Headphones</t>
        </is>
      </c>
      <c r="E230" s="21" t="inlineStr">
        <is>
          <t>Clio Onyx Max Audiophile Planar Headphones</t>
        </is>
      </c>
      <c r="F230" s="23" t="n">
        <v>340.99</v>
      </c>
      <c r="G230" s="20" t="inlineStr">
        <is>
          <t>the Onyx Max; Clio Onyx Max; Cli Onyx Max; Onyx Max headphones</t>
        </is>
      </c>
      <c r="H230" s="20" t="inlineStr">
        <is>
          <t>1 year limited</t>
        </is>
      </c>
      <c r="I230" s="20" t="inlineStr">
        <is>
          <t>CE, RoHS, Hi-Res Audio</t>
        </is>
      </c>
      <c r="J230" s="20" t="inlineStr">
        <is>
          <t>N/A</t>
        </is>
      </c>
      <c r="K230" s="20" t="inlineStr">
        <is>
          <t>N/A</t>
        </is>
      </c>
      <c r="L230" s="20" t="inlineStr">
        <is>
          <t>N/A</t>
        </is>
      </c>
      <c r="M230" s="20" t="inlineStr">
        <is>
          <t>N/A</t>
        </is>
      </c>
      <c r="N230" s="20" t="inlineStr">
        <is>
          <t>Detachable cable: 3.5mm, 6.35mm and 4.4mm balanced</t>
        </is>
      </c>
      <c r="O230" s="20" t="inlineStr">
        <is>
          <t>N/A</t>
        </is>
      </c>
      <c r="P230" s="20" t="inlineStr">
        <is>
          <t>N/A</t>
        </is>
      </c>
      <c r="Q230" s="24" t="n">
        <v>456</v>
      </c>
      <c r="R230" s="20" t="inlineStr">
        <is>
          <t>Lower price than Asteria Blaze Air Audiophile Planar Headphones [AST-006-10] ($340.99 vs $517.99); Lighter than Glaucus Onyx Air Audiophile Planar Headphones [GLA-012-10] (456 g vs 484 g)</t>
        </is>
      </c>
      <c r="S230" s="20" t="inlineStr">
        <is>
          <t>audiophile, home listening, studio</t>
        </is>
      </c>
      <c r="T230" s="0" t="inlineStr">
        <is>
          <t>in_stock</t>
        </is>
      </c>
      <c r="U230" s="0" t="n">
        <v>45</v>
      </c>
      <c r="V230" s="52" t="n">
        <v>391.99</v>
      </c>
      <c r="W230" s="0" t="inlineStr">
        <is>
          <t>2026-08-20</t>
        </is>
      </c>
      <c r="X230" s="0" t="inlineStr">
        <is>
          <t>N/A</t>
        </is>
      </c>
      <c r="Y230" s="0" t="inlineStr">
        <is>
          <t>N/A</t>
        </is>
      </c>
      <c r="Z230" s="0" t="inlineStr">
        <is>
          <t>N/A</t>
        </is>
      </c>
      <c r="AA230" s="0" t="inlineStr">
        <is>
          <t>N/A</t>
        </is>
      </c>
    </row>
    <row r="231" ht="15.75" customHeight="1" s="51">
      <c r="A231" s="20" t="inlineStr">
        <is>
          <t>CLI-022-09</t>
        </is>
      </c>
      <c r="B231" s="20" t="inlineStr">
        <is>
          <t>Clio</t>
        </is>
      </c>
      <c r="C231" s="20" t="inlineStr">
        <is>
          <t>Headphones &amp; Earbuds</t>
        </is>
      </c>
      <c r="D231" s="20" t="inlineStr">
        <is>
          <t>Earbuds</t>
        </is>
      </c>
      <c r="E231" s="21" t="inlineStr">
        <is>
          <t>Clio Aeon Max Wired In-Ear Monitors</t>
        </is>
      </c>
      <c r="F231" s="23" t="n">
        <v>347.99</v>
      </c>
      <c r="G231" s="20" t="inlineStr">
        <is>
          <t>the Aeon Max; Clio Aeon Max; Cli Aeon Max; Aeon Max earbuds</t>
        </is>
      </c>
      <c r="H231" s="20" t="inlineStr">
        <is>
          <t>1 year limited</t>
        </is>
      </c>
      <c r="I231" s="20" t="inlineStr">
        <is>
          <t>CE, RoHS, Hi-Res Audio</t>
        </is>
      </c>
      <c r="J231" s="20" t="inlineStr">
        <is>
          <t>N/A</t>
        </is>
      </c>
      <c r="K231" s="20" t="inlineStr">
        <is>
          <t>N/A</t>
        </is>
      </c>
      <c r="L231" s="20" t="inlineStr">
        <is>
          <t>N/A</t>
        </is>
      </c>
      <c r="M231" s="20" t="inlineStr">
        <is>
          <t>N/A</t>
        </is>
      </c>
      <c r="N231" s="20" t="inlineStr">
        <is>
          <t>Detachable 2-pin cable: 3.5mm and 4.4mm balanced</t>
        </is>
      </c>
      <c r="O231" s="20" t="inlineStr">
        <is>
          <t>N/A</t>
        </is>
      </c>
      <c r="P231" s="20" t="inlineStr">
        <is>
          <t>N/A</t>
        </is>
      </c>
      <c r="Q231" s="24" t="n">
        <v>19</v>
      </c>
      <c r="R231" s="20" t="inlineStr">
        <is>
          <t>Lighter than Morpheus Nova Ultra Wired In-Ear Monitors [MOR-001-02] (19 g vs 36 g); Lower price than Asclepius Spark Wired In-Ear Monitors [ASC-024-09] ($347.99 vs $371.99)</t>
        </is>
      </c>
      <c r="S231" s="20" t="inlineStr">
        <is>
          <t>audiophile, stage monitoring, music</t>
        </is>
      </c>
      <c r="T231" s="0" t="inlineStr">
        <is>
          <t>in_stock</t>
        </is>
      </c>
      <c r="U231" s="0" t="n">
        <v>45</v>
      </c>
      <c r="V231" s="52" t="n">
        <v>368.99</v>
      </c>
      <c r="W231" s="0" t="inlineStr">
        <is>
          <t>2026-09-10</t>
        </is>
      </c>
      <c r="X231" s="0" t="inlineStr">
        <is>
          <t>N/A</t>
        </is>
      </c>
      <c r="Y231" s="0" t="inlineStr">
        <is>
          <t>N/A</t>
        </is>
      </c>
      <c r="Z231" s="0" t="inlineStr">
        <is>
          <t>N/A</t>
        </is>
      </c>
      <c r="AA231" s="0" t="inlineStr">
        <is>
          <t>N/A</t>
        </is>
      </c>
    </row>
    <row r="232" ht="15.75" customHeight="1" s="51">
      <c r="A232" s="20" t="inlineStr">
        <is>
          <t>CLI-022-10</t>
        </is>
      </c>
      <c r="B232" s="20" t="inlineStr">
        <is>
          <t>Clio</t>
        </is>
      </c>
      <c r="C232" s="20" t="inlineStr">
        <is>
          <t>Headphones &amp; Earbuds</t>
        </is>
      </c>
      <c r="D232" s="20" t="inlineStr">
        <is>
          <t>Headphones</t>
        </is>
      </c>
      <c r="E232" s="21" t="inlineStr">
        <is>
          <t>Clio Spark Ultra ANC Over-Ear Headphones</t>
        </is>
      </c>
      <c r="F232" s="23" t="n">
        <v>424.99</v>
      </c>
      <c r="G232" s="20" t="inlineStr">
        <is>
          <t>the Spark Ultra; Clio Spark Ultra; Klio Spark Ultra; Spark Ultra headphones</t>
        </is>
      </c>
      <c r="H232" s="20" t="inlineStr">
        <is>
          <t>1 year limited</t>
        </is>
      </c>
      <c r="I232" s="20" t="inlineStr">
        <is>
          <t>FCC, CE, Bluetooth SIG Qualified, Hi-Res Audio Wireless</t>
        </is>
      </c>
      <c r="J232" s="20" t="inlineStr">
        <is>
          <t>N/A</t>
        </is>
      </c>
      <c r="K232" s="20" t="inlineStr">
        <is>
          <t>N/A</t>
        </is>
      </c>
      <c r="L232" s="20" t="inlineStr">
        <is>
          <t>N/A</t>
        </is>
      </c>
      <c r="M232" s="20" t="inlineStr">
        <is>
          <t>N/A</t>
        </is>
      </c>
      <c r="N232" s="20" t="inlineStr">
        <is>
          <t>USB-C charging and audio, 3.5mm</t>
        </is>
      </c>
      <c r="O232" s="20" t="inlineStr">
        <is>
          <t>N/A</t>
        </is>
      </c>
      <c r="P232" s="20" t="n">
        <v>43</v>
      </c>
      <c r="Q232" s="24" t="n">
        <v>299</v>
      </c>
      <c r="R232" s="20" t="inlineStr">
        <is>
          <t>Longer battery than Achelous Spark Air ANC Over-Ear Headphones [ACH-018-08] (43 vs 26 hrs); Lower price than Euphrosyne Orbit X ANC Over-Ear Headphones [EUP-019-10] ($424.99 vs $537.99)</t>
        </is>
      </c>
      <c r="S232" s="20" t="inlineStr">
        <is>
          <t>travel, commute, office</t>
        </is>
      </c>
      <c r="T232" s="0" t="inlineStr">
        <is>
          <t>in_stock</t>
        </is>
      </c>
      <c r="U232" s="0" t="n">
        <v>45</v>
      </c>
      <c r="V232" s="52" t="n">
        <v>448.99</v>
      </c>
      <c r="W232" s="0" t="inlineStr">
        <is>
          <t>2026-08-30</t>
        </is>
      </c>
      <c r="X232" s="0" t="inlineStr">
        <is>
          <t>N/A</t>
        </is>
      </c>
      <c r="Y232" s="0" t="inlineStr">
        <is>
          <t>N/A</t>
        </is>
      </c>
      <c r="Z232" s="0" t="inlineStr">
        <is>
          <t>N/A</t>
        </is>
      </c>
      <c r="AA232" s="0" t="inlineStr">
        <is>
          <t>N/A</t>
        </is>
      </c>
    </row>
    <row r="233" ht="15.75" customHeight="1" s="51">
      <c r="A233" s="20" t="inlineStr">
        <is>
          <t>ANA-023-01</t>
        </is>
      </c>
      <c r="B233" s="20" t="inlineStr">
        <is>
          <t>Ananke</t>
        </is>
      </c>
      <c r="C233" s="20" t="inlineStr">
        <is>
          <t>Headphones &amp; Earbuds</t>
        </is>
      </c>
      <c r="D233" s="20" t="inlineStr">
        <is>
          <t>Headphones</t>
        </is>
      </c>
      <c r="E233" s="21" t="inlineStr">
        <is>
          <t>Ananke Echo Ultra Kids Headphones</t>
        </is>
      </c>
      <c r="F233" s="23" t="n">
        <v>53.99</v>
      </c>
      <c r="G233" s="20" t="inlineStr">
        <is>
          <t>the Echo Ultra; Ananke Echo Ultra; Anakne Echo Ultra; Echo Ultra headphones</t>
        </is>
      </c>
      <c r="H233" s="20" t="inlineStr">
        <is>
          <t>1 year limited</t>
        </is>
      </c>
      <c r="I233" s="20" t="inlineStr">
        <is>
          <t>FCC, CE, Bluetooth SIG Qualified, EN 71 Toy Safety</t>
        </is>
      </c>
      <c r="J233" s="20" t="inlineStr">
        <is>
          <t>N/A</t>
        </is>
      </c>
      <c r="K233" s="20" t="inlineStr">
        <is>
          <t>N/A</t>
        </is>
      </c>
      <c r="L233" s="20" t="inlineStr">
        <is>
          <t>N/A</t>
        </is>
      </c>
      <c r="M233" s="20" t="inlineStr">
        <is>
          <t>N/A</t>
        </is>
      </c>
      <c r="N233" s="20" t="inlineStr">
        <is>
          <t>USB-C charging, 3.5mm (85 dB limited)</t>
        </is>
      </c>
      <c r="O233" s="20" t="inlineStr">
        <is>
          <t>N/A</t>
        </is>
      </c>
      <c r="P233" s="20" t="n">
        <v>37</v>
      </c>
      <c r="Q233" s="24" t="n">
        <v>143</v>
      </c>
      <c r="R233" s="20" t="inlineStr">
        <is>
          <t>Lower price than Soteria Lumen Kids Headphones [SOT-014-01] ($53.99 vs $55.99); Longer battery than Asclepius Drift X Kids Headphones [ASC-024-01] (37 vs 22 hrs)</t>
        </is>
      </c>
      <c r="S233" s="20" t="inlineStr">
        <is>
          <t>kids, school, travel</t>
        </is>
      </c>
      <c r="T233" s="0" t="inlineStr">
        <is>
          <t>in_stock</t>
        </is>
      </c>
      <c r="U233" s="0" t="n">
        <v>15</v>
      </c>
      <c r="V233" s="52" t="n">
        <v>61.99</v>
      </c>
      <c r="W233" s="0" t="inlineStr">
        <is>
          <t>2026-08-22</t>
        </is>
      </c>
      <c r="X233" s="0" t="inlineStr">
        <is>
          <t>N/A</t>
        </is>
      </c>
      <c r="Y233" s="0" t="inlineStr">
        <is>
          <t>N/A</t>
        </is>
      </c>
      <c r="Z233" s="0" t="inlineStr">
        <is>
          <t>N/A</t>
        </is>
      </c>
      <c r="AA233" s="0" t="inlineStr">
        <is>
          <t>N/A</t>
        </is>
      </c>
    </row>
    <row r="234" ht="15.75" customHeight="1" s="51">
      <c r="A234" s="20" t="inlineStr">
        <is>
          <t>ANA-023-02</t>
        </is>
      </c>
      <c r="B234" s="20" t="inlineStr">
        <is>
          <t>Ananke</t>
        </is>
      </c>
      <c r="C234" s="20" t="inlineStr">
        <is>
          <t>Headphones &amp; Earbuds</t>
        </is>
      </c>
      <c r="D234" s="20" t="inlineStr">
        <is>
          <t>Earbuds</t>
        </is>
      </c>
      <c r="E234" s="21" t="inlineStr">
        <is>
          <t>Ananke Strata Lite Sport Earbuds</t>
        </is>
      </c>
      <c r="F234" s="23" t="n">
        <v>64.98999999999999</v>
      </c>
      <c r="G234" s="20" t="inlineStr">
        <is>
          <t>the Strata Lite; Ananke Strata Lite; Anaanke Strata Lite; Strata Lite earbuds</t>
        </is>
      </c>
      <c r="H234" s="20" t="inlineStr">
        <is>
          <t>1 year limited</t>
        </is>
      </c>
      <c r="I234" s="20" t="inlineStr">
        <is>
          <t>FCC, CE, Bluetooth SIG Qualified, IPX4</t>
        </is>
      </c>
      <c r="J234" s="20" t="inlineStr">
        <is>
          <t>N/A</t>
        </is>
      </c>
      <c r="K234" s="20" t="inlineStr">
        <is>
          <t>N/A</t>
        </is>
      </c>
      <c r="L234" s="20" t="inlineStr">
        <is>
          <t>N/A</t>
        </is>
      </c>
      <c r="M234" s="20" t="inlineStr">
        <is>
          <t>N/A</t>
        </is>
      </c>
      <c r="N234" s="20" t="inlineStr">
        <is>
          <t>USB-C charging case</t>
        </is>
      </c>
      <c r="O234" s="20" t="inlineStr">
        <is>
          <t>N/A</t>
        </is>
      </c>
      <c r="P234" s="20" t="n">
        <v>9</v>
      </c>
      <c r="Q234" s="24" t="n">
        <v>6</v>
      </c>
      <c r="R234" s="20" t="inlineStr">
        <is>
          <t>Lighter than Achelous Core Max Sport Earbuds [ACH-018-04] (6 g vs 8 g); Lower price than Deimos Quanta X Sport Earbuds [DEI-005-02] ($64.99 vs $68.99)</t>
        </is>
      </c>
      <c r="S234" s="20" t="inlineStr">
        <is>
          <t>gym, running, sport</t>
        </is>
      </c>
      <c r="T234" s="0" t="inlineStr">
        <is>
          <t>in_stock</t>
        </is>
      </c>
      <c r="U234" s="0" t="n">
        <v>15</v>
      </c>
      <c r="V234" s="52" t="n">
        <v>70.98999999999999</v>
      </c>
      <c r="W234" s="0" t="inlineStr">
        <is>
          <t>2026-09-07</t>
        </is>
      </c>
      <c r="X234" s="0" t="inlineStr">
        <is>
          <t>N/A</t>
        </is>
      </c>
      <c r="Y234" s="0" t="inlineStr">
        <is>
          <t>N/A</t>
        </is>
      </c>
      <c r="Z234" s="0" t="inlineStr">
        <is>
          <t>N/A</t>
        </is>
      </c>
      <c r="AA234" s="0" t="inlineStr">
        <is>
          <t>N/A</t>
        </is>
      </c>
    </row>
    <row r="235" ht="15.75" customHeight="1" s="51">
      <c r="A235" s="20" t="inlineStr">
        <is>
          <t>ANA-023-03</t>
        </is>
      </c>
      <c r="B235" s="20" t="inlineStr">
        <is>
          <t>Ananke</t>
        </is>
      </c>
      <c r="C235" s="20" t="inlineStr">
        <is>
          <t>Headphones &amp; Earbuds</t>
        </is>
      </c>
      <c r="D235" s="20" t="inlineStr">
        <is>
          <t>Headphones</t>
        </is>
      </c>
      <c r="E235" s="21" t="inlineStr">
        <is>
          <t>Ananke Orbit Plus Bone Conduction Headphones</t>
        </is>
      </c>
      <c r="F235" s="23" t="n">
        <v>102.99</v>
      </c>
      <c r="G235" s="20" t="inlineStr">
        <is>
          <t>the Orbit Plus; Ananke Orbit Plus; Anankee Orbit Plus; Orbit Plus headphones</t>
        </is>
      </c>
      <c r="H235" s="20" t="inlineStr">
        <is>
          <t>1 year limited</t>
        </is>
      </c>
      <c r="I235" s="20" t="inlineStr">
        <is>
          <t>FCC, CE, Bluetooth SIG Qualified, IP67</t>
        </is>
      </c>
      <c r="J235" s="20" t="inlineStr">
        <is>
          <t>N/A</t>
        </is>
      </c>
      <c r="K235" s="20" t="inlineStr">
        <is>
          <t>N/A</t>
        </is>
      </c>
      <c r="L235" s="20" t="inlineStr">
        <is>
          <t>N/A</t>
        </is>
      </c>
      <c r="M235" s="20" t="inlineStr">
        <is>
          <t>N/A</t>
        </is>
      </c>
      <c r="N235" s="20" t="inlineStr">
        <is>
          <t>Magnetic USB charging</t>
        </is>
      </c>
      <c r="O235" s="20" t="inlineStr">
        <is>
          <t>N/A</t>
        </is>
      </c>
      <c r="P235" s="20" t="n">
        <v>6</v>
      </c>
      <c r="Q235" s="24" t="n">
        <v>28</v>
      </c>
      <c r="R235" s="20" t="inlineStr">
        <is>
          <t>Lighter than Hedone Aria Bone Conduction Headphones [HED-010-05] (28 g vs 33 g); Lower price than Tethys Axis SE Bone Conduction Headphones [TET-007-06] ($102.99 vs $148.99)</t>
        </is>
      </c>
      <c r="S235" s="20" t="inlineStr">
        <is>
          <t>running, cycling, outdoor</t>
        </is>
      </c>
      <c r="T235" s="0" t="inlineStr">
        <is>
          <t>in_stock</t>
        </is>
      </c>
      <c r="U235" s="0" t="n">
        <v>15</v>
      </c>
      <c r="V235" s="52" t="n">
        <v>114.99</v>
      </c>
      <c r="W235" s="0" t="inlineStr">
        <is>
          <t>2026-08-29</t>
        </is>
      </c>
      <c r="X235" s="0" t="inlineStr">
        <is>
          <t>N/A</t>
        </is>
      </c>
      <c r="Y235" s="0" t="inlineStr">
        <is>
          <t>N/A</t>
        </is>
      </c>
      <c r="Z235" s="0" t="inlineStr">
        <is>
          <t>N/A</t>
        </is>
      </c>
      <c r="AA235" s="0" t="inlineStr">
        <is>
          <t>N/A</t>
        </is>
      </c>
    </row>
    <row r="236" ht="15.75" customHeight="1" s="51">
      <c r="A236" s="20" t="inlineStr">
        <is>
          <t>ANA-023-04</t>
        </is>
      </c>
      <c r="B236" s="20" t="inlineStr">
        <is>
          <t>Ananke</t>
        </is>
      </c>
      <c r="C236" s="20" t="inlineStr">
        <is>
          <t>Headphones &amp; Earbuds</t>
        </is>
      </c>
      <c r="D236" s="20" t="inlineStr">
        <is>
          <t>Headphones</t>
        </is>
      </c>
      <c r="E236" s="21" t="inlineStr">
        <is>
          <t>Ananke Flux SE On-Ear Headphones</t>
        </is>
      </c>
      <c r="F236" s="23" t="n">
        <v>140.99</v>
      </c>
      <c r="G236" s="20" t="inlineStr">
        <is>
          <t>the Flux SE; Ananke Flux SE; Anannke Flux SE; Flux SE headphones</t>
        </is>
      </c>
      <c r="H236" s="20" t="inlineStr">
        <is>
          <t>1 year limited</t>
        </is>
      </c>
      <c r="I236" s="20" t="inlineStr">
        <is>
          <t>FCC, CE, Bluetooth SIG Qualified</t>
        </is>
      </c>
      <c r="J236" s="20" t="inlineStr">
        <is>
          <t>N/A</t>
        </is>
      </c>
      <c r="K236" s="20" t="inlineStr">
        <is>
          <t>N/A</t>
        </is>
      </c>
      <c r="L236" s="20" t="inlineStr">
        <is>
          <t>N/A</t>
        </is>
      </c>
      <c r="M236" s="20" t="inlineStr">
        <is>
          <t>N/A</t>
        </is>
      </c>
      <c r="N236" s="20" t="inlineStr">
        <is>
          <t>USB-C charging, 3.5mm</t>
        </is>
      </c>
      <c r="O236" s="20" t="inlineStr">
        <is>
          <t>N/A</t>
        </is>
      </c>
      <c r="P236" s="20" t="n">
        <v>41</v>
      </c>
      <c r="Q236" s="24" t="n">
        <v>216</v>
      </c>
      <c r="R236" s="20" t="inlineStr">
        <is>
          <t>Longer battery than Hedone Nimbus Max On-Ear Headphones [HED-010-04] (41 vs 30 hrs); Lighter than Euphrosyne Blaze X On-Ear Headphones [EUP-019-03] (216 g vs 225 g)</t>
        </is>
      </c>
      <c r="S236" s="20" t="inlineStr">
        <is>
          <t>everyday, commute, school</t>
        </is>
      </c>
      <c r="T236" s="0" t="inlineStr">
        <is>
          <t>in_stock</t>
        </is>
      </c>
      <c r="U236" s="0" t="n">
        <v>15</v>
      </c>
      <c r="V236" s="52" t="n">
        <v>148.99</v>
      </c>
      <c r="W236" s="0" t="inlineStr">
        <is>
          <t>2026-08-02</t>
        </is>
      </c>
      <c r="X236" s="0" t="inlineStr">
        <is>
          <t>N/A</t>
        </is>
      </c>
      <c r="Y236" s="0" t="inlineStr">
        <is>
          <t>N/A</t>
        </is>
      </c>
      <c r="Z236" s="0" t="inlineStr">
        <is>
          <t>N/A</t>
        </is>
      </c>
      <c r="AA236" s="0" t="inlineStr">
        <is>
          <t>N/A</t>
        </is>
      </c>
    </row>
    <row r="237" ht="15.75" customHeight="1" s="51">
      <c r="A237" s="20" t="inlineStr">
        <is>
          <t>ANA-023-05</t>
        </is>
      </c>
      <c r="B237" s="20" t="inlineStr">
        <is>
          <t>Ananke</t>
        </is>
      </c>
      <c r="C237" s="20" t="inlineStr">
        <is>
          <t>Headphones &amp; Earbuds</t>
        </is>
      </c>
      <c r="D237" s="20" t="inlineStr">
        <is>
          <t>Earbuds</t>
        </is>
      </c>
      <c r="E237" s="21" t="inlineStr">
        <is>
          <t>Ananke Apex SE Open-Ear Earbuds</t>
        </is>
      </c>
      <c r="F237" s="23" t="n">
        <v>151.99</v>
      </c>
      <c r="G237" s="20" t="inlineStr">
        <is>
          <t>the Apex SE; Ananke Apex SE; Aannke Apex SE; Apex SE earbuds</t>
        </is>
      </c>
      <c r="H237" s="20" t="inlineStr">
        <is>
          <t>1 year limited</t>
        </is>
      </c>
      <c r="I237" s="20" t="inlineStr">
        <is>
          <t>FCC, CE, Bluetooth SIG Qualified, IP55</t>
        </is>
      </c>
      <c r="J237" s="20" t="inlineStr">
        <is>
          <t>N/A</t>
        </is>
      </c>
      <c r="K237" s="20" t="inlineStr">
        <is>
          <t>N/A</t>
        </is>
      </c>
      <c r="L237" s="20" t="inlineStr">
        <is>
          <t>N/A</t>
        </is>
      </c>
      <c r="M237" s="20" t="inlineStr">
        <is>
          <t>N/A</t>
        </is>
      </c>
      <c r="N237" s="20" t="inlineStr">
        <is>
          <t>USB-C charging case</t>
        </is>
      </c>
      <c r="O237" s="20" t="inlineStr">
        <is>
          <t>N/A</t>
        </is>
      </c>
      <c r="P237" s="20" t="n">
        <v>7</v>
      </c>
      <c r="Q237" s="24" t="n">
        <v>10</v>
      </c>
      <c r="R237" s="20" t="inlineStr">
        <is>
          <t>Lighter than Aura Drift Open-Ear Earbuds [AUR-015-04] (10 g vs 12 g); Lower price than Hedone Apex Lite Open-Ear Earbuds [HED-010-06] ($151.99 vs $175.99)</t>
        </is>
      </c>
      <c r="S237" s="20" t="inlineStr">
        <is>
          <t>running, outdoor, office</t>
        </is>
      </c>
      <c r="T237" s="0" t="inlineStr">
        <is>
          <t>in_stock</t>
        </is>
      </c>
      <c r="U237" s="0" t="n">
        <v>15</v>
      </c>
      <c r="V237" s="52" t="n">
        <v>165.99</v>
      </c>
      <c r="W237" s="0" t="inlineStr">
        <is>
          <t>2026-09-24</t>
        </is>
      </c>
      <c r="X237" s="0" t="inlineStr">
        <is>
          <t>N/A</t>
        </is>
      </c>
      <c r="Y237" s="0" t="inlineStr">
        <is>
          <t>N/A</t>
        </is>
      </c>
      <c r="Z237" s="0" t="inlineStr">
        <is>
          <t>N/A</t>
        </is>
      </c>
      <c r="AA237" s="0" t="inlineStr">
        <is>
          <t>N/A</t>
        </is>
      </c>
    </row>
    <row r="238" ht="15.75" customHeight="1" s="51">
      <c r="A238" s="20" t="inlineStr">
        <is>
          <t>ANA-023-06</t>
        </is>
      </c>
      <c r="B238" s="20" t="inlineStr">
        <is>
          <t>Ananke</t>
        </is>
      </c>
      <c r="C238" s="20" t="inlineStr">
        <is>
          <t>Headphones &amp; Earbuds</t>
        </is>
      </c>
      <c r="D238" s="20" t="inlineStr">
        <is>
          <t>Earbuds</t>
        </is>
      </c>
      <c r="E238" s="21" t="inlineStr">
        <is>
          <t>Ananke Vertex Ultra Wired In-Ear Monitors</t>
        </is>
      </c>
      <c r="F238" s="23" t="n">
        <v>182.99</v>
      </c>
      <c r="G238" s="20" t="inlineStr">
        <is>
          <t>the Vertex Ultra; Ananke Vertex Ultra; Annake Vertex Ultra; Vertex Ultra earbuds</t>
        </is>
      </c>
      <c r="H238" s="20" t="inlineStr">
        <is>
          <t>1 year limited</t>
        </is>
      </c>
      <c r="I238" s="20" t="inlineStr">
        <is>
          <t>CE, RoHS, Hi-Res Audio</t>
        </is>
      </c>
      <c r="J238" s="20" t="inlineStr">
        <is>
          <t>N/A</t>
        </is>
      </c>
      <c r="K238" s="20" t="inlineStr">
        <is>
          <t>N/A</t>
        </is>
      </c>
      <c r="L238" s="20" t="inlineStr">
        <is>
          <t>N/A</t>
        </is>
      </c>
      <c r="M238" s="20" t="inlineStr">
        <is>
          <t>N/A</t>
        </is>
      </c>
      <c r="N238" s="20" t="inlineStr">
        <is>
          <t>Detachable 2-pin cable: 3.5mm</t>
        </is>
      </c>
      <c r="O238" s="20" t="inlineStr">
        <is>
          <t>N/A</t>
        </is>
      </c>
      <c r="P238" s="20" t="inlineStr">
        <is>
          <t>N/A</t>
        </is>
      </c>
      <c r="Q238" s="24" t="n">
        <v>32</v>
      </c>
      <c r="R238" s="20" t="inlineStr">
        <is>
          <t>Lower price than Asclepius Spark Wired In-Ear Monitors [ASC-024-09] ($182.99 vs $371.99); Lighter than Morpheus Nova Ultra Wired In-Ear Monitors [MOR-001-02] (32 g vs 36 g)</t>
        </is>
      </c>
      <c r="S238" s="20" t="inlineStr">
        <is>
          <t>audiophile, stage monitoring, music</t>
        </is>
      </c>
      <c r="T238" s="0" t="inlineStr">
        <is>
          <t>in_stock</t>
        </is>
      </c>
      <c r="U238" s="0" t="n">
        <v>15</v>
      </c>
      <c r="V238" s="52" t="n">
        <v>198.99</v>
      </c>
      <c r="W238" s="0" t="inlineStr">
        <is>
          <t>2026-08-27</t>
        </is>
      </c>
      <c r="X238" s="0" t="inlineStr">
        <is>
          <t>N/A</t>
        </is>
      </c>
      <c r="Y238" s="0" t="inlineStr">
        <is>
          <t>N/A</t>
        </is>
      </c>
      <c r="Z238" s="0" t="inlineStr">
        <is>
          <t>N/A</t>
        </is>
      </c>
      <c r="AA238" s="0" t="inlineStr">
        <is>
          <t>N/A</t>
        </is>
      </c>
    </row>
    <row r="239" ht="15.75" customHeight="1" s="51">
      <c r="A239" s="20" t="inlineStr">
        <is>
          <t>ANA-023-07</t>
        </is>
      </c>
      <c r="B239" s="20" t="inlineStr">
        <is>
          <t>Ananke</t>
        </is>
      </c>
      <c r="C239" s="20" t="inlineStr">
        <is>
          <t>Headphones &amp; Earbuds</t>
        </is>
      </c>
      <c r="D239" s="20" t="inlineStr">
        <is>
          <t>Headphones</t>
        </is>
      </c>
      <c r="E239" s="21" t="inlineStr">
        <is>
          <t>Ananke Zen Max ANC Over-Ear Headphones</t>
        </is>
      </c>
      <c r="F239" s="23" t="n">
        <v>193.99</v>
      </c>
      <c r="G239" s="20" t="inlineStr">
        <is>
          <t>the Zen Max; Ananke Zen Max; Anannke Zen Max; Zen Max headphones</t>
        </is>
      </c>
      <c r="H239" s="20" t="inlineStr">
        <is>
          <t>1 year limited</t>
        </is>
      </c>
      <c r="I239" s="20" t="inlineStr">
        <is>
          <t>FCC, CE, Bluetooth SIG Qualified</t>
        </is>
      </c>
      <c r="J239" s="20" t="inlineStr">
        <is>
          <t>N/A</t>
        </is>
      </c>
      <c r="K239" s="20" t="inlineStr">
        <is>
          <t>N/A</t>
        </is>
      </c>
      <c r="L239" s="20" t="inlineStr">
        <is>
          <t>N/A</t>
        </is>
      </c>
      <c r="M239" s="20" t="inlineStr">
        <is>
          <t>N/A</t>
        </is>
      </c>
      <c r="N239" s="20" t="inlineStr">
        <is>
          <t>USB-C charging and audio, 3.5mm</t>
        </is>
      </c>
      <c r="O239" s="20" t="inlineStr">
        <is>
          <t>N/A</t>
        </is>
      </c>
      <c r="P239" s="20" t="n">
        <v>20</v>
      </c>
      <c r="Q239" s="24" t="n">
        <v>256</v>
      </c>
      <c r="R239" s="20" t="inlineStr">
        <is>
          <t>Lighter than Hesperus Volt Plus ANC Over-Ear Headphones [HES-025-09] (256 g vs 275 g); Lower price than Deimos Apex X ANC Over-Ear Headphones [DEI-005-08] ($193.99 vs $362.99)</t>
        </is>
      </c>
      <c r="S239" s="20" t="inlineStr">
        <is>
          <t>travel, commute, office</t>
        </is>
      </c>
      <c r="T239" s="0" t="inlineStr">
        <is>
          <t>in_stock</t>
        </is>
      </c>
      <c r="U239" s="0" t="n">
        <v>15</v>
      </c>
      <c r="V239" s="52" t="n">
        <v>211.99</v>
      </c>
      <c r="W239" s="0" t="inlineStr">
        <is>
          <t>2026-09-02</t>
        </is>
      </c>
      <c r="X239" s="0" t="inlineStr">
        <is>
          <t>N/A</t>
        </is>
      </c>
      <c r="Y239" s="0" t="inlineStr">
        <is>
          <t>N/A</t>
        </is>
      </c>
      <c r="Z239" s="0" t="inlineStr">
        <is>
          <t>N/A</t>
        </is>
      </c>
      <c r="AA239" s="0" t="inlineStr">
        <is>
          <t>N/A</t>
        </is>
      </c>
    </row>
    <row r="240" ht="15.75" customHeight="1" s="51">
      <c r="A240" s="20" t="inlineStr">
        <is>
          <t>ANA-023-08</t>
        </is>
      </c>
      <c r="B240" s="20" t="inlineStr">
        <is>
          <t>Ananke</t>
        </is>
      </c>
      <c r="C240" s="20" t="inlineStr">
        <is>
          <t>Headphones &amp; Earbuds</t>
        </is>
      </c>
      <c r="D240" s="20" t="inlineStr">
        <is>
          <t>Earbuds</t>
        </is>
      </c>
      <c r="E240" s="21" t="inlineStr">
        <is>
          <t>Ananke Strata Air Sleep Earbuds</t>
        </is>
      </c>
      <c r="F240" s="23" t="n">
        <v>266.99</v>
      </c>
      <c r="G240" s="20" t="inlineStr">
        <is>
          <t>the Strata Air; Ananke Strata Air; Anank Strata Air; Strata Air earbuds</t>
        </is>
      </c>
      <c r="H240" s="20" t="inlineStr">
        <is>
          <t>1 year limited</t>
        </is>
      </c>
      <c r="I240" s="20" t="inlineStr">
        <is>
          <t>FCC, CE, Bluetooth SIG Qualified</t>
        </is>
      </c>
      <c r="J240" s="20" t="inlineStr">
        <is>
          <t>N/A</t>
        </is>
      </c>
      <c r="K240" s="20" t="inlineStr">
        <is>
          <t>N/A</t>
        </is>
      </c>
      <c r="L240" s="20" t="inlineStr">
        <is>
          <t>N/A</t>
        </is>
      </c>
      <c r="M240" s="20" t="inlineStr">
        <is>
          <t>N/A</t>
        </is>
      </c>
      <c r="N240" s="20" t="inlineStr">
        <is>
          <t>USB-C charging case</t>
        </is>
      </c>
      <c r="O240" s="20" t="inlineStr">
        <is>
          <t>N/A</t>
        </is>
      </c>
      <c r="P240" s="20" t="n">
        <v>10</v>
      </c>
      <c r="Q240" s="24" t="n">
        <v>4</v>
      </c>
      <c r="R240" s="20" t="inlineStr">
        <is>
          <t>Longer battery than Zeus Strata SE Sleep Earbuds [ZEU-013-07] (10 vs 9 hrs); Lower price than Hebe Prism Pro Sleep Earbuds [HEB-011-07] ($266.99 vs $270.99)</t>
        </is>
      </c>
      <c r="S240" s="20" t="inlineStr">
        <is>
          <t>sleep, travel, relaxation</t>
        </is>
      </c>
      <c r="T240" s="0" t="inlineStr">
        <is>
          <t>in_stock</t>
        </is>
      </c>
      <c r="U240" s="0" t="n">
        <v>15</v>
      </c>
      <c r="V240" s="52" t="n">
        <v>293.99</v>
      </c>
      <c r="W240" s="0" t="inlineStr">
        <is>
          <t>2026-09-07</t>
        </is>
      </c>
      <c r="X240" s="0" t="inlineStr">
        <is>
          <t>N/A</t>
        </is>
      </c>
      <c r="Y240" s="0" t="inlineStr">
        <is>
          <t>N/A</t>
        </is>
      </c>
      <c r="Z240" s="0" t="inlineStr">
        <is>
          <t>N/A</t>
        </is>
      </c>
      <c r="AA240" s="0" t="inlineStr">
        <is>
          <t>N/A</t>
        </is>
      </c>
    </row>
    <row r="241" ht="15.75" customHeight="1" s="51">
      <c r="A241" s="20" t="inlineStr">
        <is>
          <t>ANA-023-09</t>
        </is>
      </c>
      <c r="B241" s="20" t="inlineStr">
        <is>
          <t>Ananke</t>
        </is>
      </c>
      <c r="C241" s="20" t="inlineStr">
        <is>
          <t>Headphones &amp; Earbuds</t>
        </is>
      </c>
      <c r="D241" s="20" t="inlineStr">
        <is>
          <t>Headset</t>
        </is>
      </c>
      <c r="E241" s="21" t="inlineStr">
        <is>
          <t>Ananke Vertex Gaming Headset</t>
        </is>
      </c>
      <c r="F241" s="23" t="n">
        <v>284.99</v>
      </c>
      <c r="G241" s="20" t="inlineStr">
        <is>
          <t>the Vertex; Ananke Vertex; Anaanke Vertex; Vertex headset</t>
        </is>
      </c>
      <c r="H241" s="20" t="inlineStr">
        <is>
          <t>1 year limited</t>
        </is>
      </c>
      <c r="I241" s="20" t="inlineStr">
        <is>
          <t>FCC, CE, Bluetooth SIG Qualified</t>
        </is>
      </c>
      <c r="J241" s="20" t="inlineStr">
        <is>
          <t>N/A</t>
        </is>
      </c>
      <c r="K241" s="20" t="inlineStr">
        <is>
          <t>N/A</t>
        </is>
      </c>
      <c r="L241" s="20" t="inlineStr">
        <is>
          <t>N/A</t>
        </is>
      </c>
      <c r="M241" s="20" t="inlineStr">
        <is>
          <t>N/A</t>
        </is>
      </c>
      <c r="N241" s="20" t="inlineStr">
        <is>
          <t>USB-C, 3.5mm, 2.4GHz USB dongle</t>
        </is>
      </c>
      <c r="O241" s="20" t="inlineStr">
        <is>
          <t>N/A</t>
        </is>
      </c>
      <c r="P241" s="20" t="n">
        <v>30</v>
      </c>
      <c r="Q241" s="24" t="n">
        <v>357</v>
      </c>
      <c r="R241" s="20" t="inlineStr">
        <is>
          <t>Lighter than Poseidon Sable X Gaming Headset [POS-021-06] (357 g vs 358 g); Lower price than Tartarus Onyx Ultra Gaming Headset [TAR-017-08] ($284.99 vs $323.99)</t>
        </is>
      </c>
      <c r="S241" s="20" t="inlineStr">
        <is>
          <t>gaming, streaming, voice chat</t>
        </is>
      </c>
      <c r="T241" s="0" t="inlineStr">
        <is>
          <t>in_stock</t>
        </is>
      </c>
      <c r="U241" s="0" t="n">
        <v>15</v>
      </c>
      <c r="V241" s="52" t="n">
        <v>311.99</v>
      </c>
      <c r="W241" s="0" t="inlineStr">
        <is>
          <t>2026-08-14</t>
        </is>
      </c>
      <c r="X241" s="0" t="inlineStr">
        <is>
          <t>N/A</t>
        </is>
      </c>
      <c r="Y241" s="0" t="inlineStr">
        <is>
          <t>N/A</t>
        </is>
      </c>
      <c r="Z241" s="0" t="inlineStr">
        <is>
          <t>N/A</t>
        </is>
      </c>
      <c r="AA241" s="0" t="inlineStr">
        <is>
          <t>N/A</t>
        </is>
      </c>
    </row>
    <row r="242" ht="15.75" customHeight="1" s="51">
      <c r="A242" s="20" t="inlineStr">
        <is>
          <t>ANA-023-10</t>
        </is>
      </c>
      <c r="B242" s="20" t="inlineStr">
        <is>
          <t>Ananke</t>
        </is>
      </c>
      <c r="C242" s="20" t="inlineStr">
        <is>
          <t>Headphones &amp; Earbuds</t>
        </is>
      </c>
      <c r="D242" s="20" t="inlineStr">
        <is>
          <t>Headphones</t>
        </is>
      </c>
      <c r="E242" s="21" t="inlineStr">
        <is>
          <t>Ananke Aria Audiophile Planar Headphones</t>
        </is>
      </c>
      <c r="F242" s="23" t="n">
        <v>1351.99</v>
      </c>
      <c r="G242" s="20" t="inlineStr">
        <is>
          <t>the Aria; Ananke Aria; Anankke Aria; Aria headphones</t>
        </is>
      </c>
      <c r="H242" s="20" t="inlineStr">
        <is>
          <t>1 year limited</t>
        </is>
      </c>
      <c r="I242" s="20" t="inlineStr">
        <is>
          <t>CE, RoHS, Hi-Res Audio</t>
        </is>
      </c>
      <c r="J242" s="20" t="inlineStr">
        <is>
          <t>N/A</t>
        </is>
      </c>
      <c r="K242" s="20" t="inlineStr">
        <is>
          <t>N/A</t>
        </is>
      </c>
      <c r="L242" s="20" t="inlineStr">
        <is>
          <t>N/A</t>
        </is>
      </c>
      <c r="M242" s="20" t="inlineStr">
        <is>
          <t>N/A</t>
        </is>
      </c>
      <c r="N242" s="20" t="inlineStr">
        <is>
          <t>Detachable cable: 3.5mm, 6.35mm and 4.4mm balanced</t>
        </is>
      </c>
      <c r="O242" s="20" t="inlineStr">
        <is>
          <t>N/A</t>
        </is>
      </c>
      <c r="P242" s="20" t="inlineStr">
        <is>
          <t>N/A</t>
        </is>
      </c>
      <c r="Q242" s="24" t="n">
        <v>499</v>
      </c>
      <c r="R242" s="20" t="inlineStr">
        <is>
          <t>Lighter than Aura Arc Pro Audiophile Planar Headphones [AUR-015-09] (499 g vs 521 g); Lower price than Deimos Orbit Plus Audiophile Planar Headphones [DEI-005-10] ($1,351.99 vs $1,455.99)</t>
        </is>
      </c>
      <c r="S242" s="20" t="inlineStr">
        <is>
          <t>audiophile, home listening, studio</t>
        </is>
      </c>
      <c r="T242" s="0" t="inlineStr">
        <is>
          <t>in_stock</t>
        </is>
      </c>
      <c r="U242" s="0" t="n">
        <v>15</v>
      </c>
      <c r="V242" s="52" t="n">
        <v>1549.99</v>
      </c>
      <c r="W242" s="0" t="inlineStr">
        <is>
          <t>2026-08-19</t>
        </is>
      </c>
      <c r="X242" s="0" t="inlineStr">
        <is>
          <t>N/A</t>
        </is>
      </c>
      <c r="Y242" s="0" t="inlineStr">
        <is>
          <t>N/A</t>
        </is>
      </c>
      <c r="Z242" s="0" t="inlineStr">
        <is>
          <t>N/A</t>
        </is>
      </c>
      <c r="AA242" s="0" t="inlineStr">
        <is>
          <t>N/A</t>
        </is>
      </c>
    </row>
    <row r="243" ht="15.75" customHeight="1" s="51">
      <c r="A243" s="20" t="inlineStr">
        <is>
          <t>ASC-024-01</t>
        </is>
      </c>
      <c r="B243" s="20" t="inlineStr">
        <is>
          <t>Asclepius</t>
        </is>
      </c>
      <c r="C243" s="20" t="inlineStr">
        <is>
          <t>Headphones &amp; Earbuds</t>
        </is>
      </c>
      <c r="D243" s="20" t="inlineStr">
        <is>
          <t>Headphones</t>
        </is>
      </c>
      <c r="E243" s="21" t="inlineStr">
        <is>
          <t>Asclepius Drift X Kids Headphones</t>
        </is>
      </c>
      <c r="F243" s="23" t="n">
        <v>19.99</v>
      </c>
      <c r="G243" s="20" t="inlineStr">
        <is>
          <t>the Drift X; Asclepius Drift X; Ascelpius Drift X; Drift X headphones</t>
        </is>
      </c>
      <c r="H243" s="20" t="inlineStr">
        <is>
          <t>1 year limited</t>
        </is>
      </c>
      <c r="I243" s="20" t="inlineStr">
        <is>
          <t>FCC, CE, Bluetooth SIG Qualified, EN 71 Toy Safety</t>
        </is>
      </c>
      <c r="J243" s="20" t="inlineStr">
        <is>
          <t>N/A</t>
        </is>
      </c>
      <c r="K243" s="20" t="inlineStr">
        <is>
          <t>N/A</t>
        </is>
      </c>
      <c r="L243" s="20" t="inlineStr">
        <is>
          <t>N/A</t>
        </is>
      </c>
      <c r="M243" s="20" t="inlineStr">
        <is>
          <t>N/A</t>
        </is>
      </c>
      <c r="N243" s="20" t="inlineStr">
        <is>
          <t>USB-C charging, 3.5mm (85 dB limited)</t>
        </is>
      </c>
      <c r="O243" s="20" t="inlineStr">
        <is>
          <t>N/A</t>
        </is>
      </c>
      <c r="P243" s="20" t="n">
        <v>22</v>
      </c>
      <c r="Q243" s="24" t="n">
        <v>164</v>
      </c>
      <c r="R243" s="20" t="inlineStr">
        <is>
          <t>Lower price than Ananke Echo Ultra Kids Headphones [ANA-023-01] ($19.99 vs $53.99); Longer battery than Carpo Apex Plus Kids Headphones [CAR-002-01] (22 vs 21 hrs)</t>
        </is>
      </c>
      <c r="S243" s="20" t="inlineStr">
        <is>
          <t>kids, school, travel</t>
        </is>
      </c>
      <c r="T243" s="0" t="inlineStr">
        <is>
          <t>in_stock</t>
        </is>
      </c>
      <c r="U243" s="0" t="n">
        <v>30</v>
      </c>
      <c r="V243" s="52" t="n">
        <v>21.99</v>
      </c>
      <c r="W243" s="0" t="inlineStr">
        <is>
          <t>2026-09-20</t>
        </is>
      </c>
      <c r="X243" s="0" t="inlineStr">
        <is>
          <t>N/A</t>
        </is>
      </c>
      <c r="Y243" s="0" t="inlineStr">
        <is>
          <t>N/A</t>
        </is>
      </c>
      <c r="Z243" s="0" t="inlineStr">
        <is>
          <t>N/A</t>
        </is>
      </c>
      <c r="AA243" s="0" t="inlineStr">
        <is>
          <t>N/A</t>
        </is>
      </c>
    </row>
    <row r="244" ht="15.75" customHeight="1" s="51">
      <c r="A244" s="20" t="inlineStr">
        <is>
          <t>ASC-024-02</t>
        </is>
      </c>
      <c r="B244" s="20" t="inlineStr">
        <is>
          <t>Asclepius</t>
        </is>
      </c>
      <c r="C244" s="20" t="inlineStr">
        <is>
          <t>Headphones &amp; Earbuds</t>
        </is>
      </c>
      <c r="D244" s="20" t="inlineStr">
        <is>
          <t>Earbuds</t>
        </is>
      </c>
      <c r="E244" s="21" t="inlineStr">
        <is>
          <t>Asclepius Aria Sport Earbuds</t>
        </is>
      </c>
      <c r="F244" s="23" t="n">
        <v>95.98999999999999</v>
      </c>
      <c r="G244" s="20" t="inlineStr">
        <is>
          <t>the Aria; Asclepius Aria; Ascelpius Aria; Aria earbuds</t>
        </is>
      </c>
      <c r="H244" s="20" t="inlineStr">
        <is>
          <t>1 year limited</t>
        </is>
      </c>
      <c r="I244" s="20" t="inlineStr">
        <is>
          <t>FCC, CE, Bluetooth SIG Qualified, IPX5</t>
        </is>
      </c>
      <c r="J244" s="20" t="inlineStr">
        <is>
          <t>N/A</t>
        </is>
      </c>
      <c r="K244" s="20" t="inlineStr">
        <is>
          <t>N/A</t>
        </is>
      </c>
      <c r="L244" s="20" t="inlineStr">
        <is>
          <t>N/A</t>
        </is>
      </c>
      <c r="M244" s="20" t="inlineStr">
        <is>
          <t>N/A</t>
        </is>
      </c>
      <c r="N244" s="20" t="inlineStr">
        <is>
          <t>USB-C charging case</t>
        </is>
      </c>
      <c r="O244" s="20" t="inlineStr">
        <is>
          <t>N/A</t>
        </is>
      </c>
      <c r="P244" s="20" t="n">
        <v>10</v>
      </c>
      <c r="Q244" s="24" t="n">
        <v>6</v>
      </c>
      <c r="R244" s="20" t="inlineStr">
        <is>
          <t>Longer battery than Achelous Core Max Sport Earbuds [ACH-018-04] (10 vs 6 hrs); Lower price than Morpheus Spark Sport Earbuds [MOR-001-03] ($95.99 vs $120.99)</t>
        </is>
      </c>
      <c r="S244" s="20" t="inlineStr">
        <is>
          <t>gym, running, sport</t>
        </is>
      </c>
      <c r="T244" s="0" t="inlineStr">
        <is>
          <t>in_stock</t>
        </is>
      </c>
      <c r="U244" s="0" t="n">
        <v>30</v>
      </c>
      <c r="V244" s="52" t="n">
        <v>101.99</v>
      </c>
      <c r="W244" s="0" t="inlineStr">
        <is>
          <t>2026-09-17</t>
        </is>
      </c>
      <c r="X244" s="0" t="inlineStr">
        <is>
          <t>N/A</t>
        </is>
      </c>
      <c r="Y244" s="0" t="inlineStr">
        <is>
          <t>N/A</t>
        </is>
      </c>
      <c r="Z244" s="0" t="inlineStr">
        <is>
          <t>N/A</t>
        </is>
      </c>
      <c r="AA244" s="0" t="inlineStr">
        <is>
          <t>N/A</t>
        </is>
      </c>
    </row>
    <row r="245" ht="15.75" customHeight="1" s="51">
      <c r="A245" s="20" t="inlineStr">
        <is>
          <t>ASC-024-03</t>
        </is>
      </c>
      <c r="B245" s="20" t="inlineStr">
        <is>
          <t>Asclepius</t>
        </is>
      </c>
      <c r="C245" s="20" t="inlineStr">
        <is>
          <t>Headphones &amp; Earbuds</t>
        </is>
      </c>
      <c r="D245" s="20" t="inlineStr">
        <is>
          <t>Earbuds</t>
        </is>
      </c>
      <c r="E245" s="21" t="inlineStr">
        <is>
          <t>Asclepius Titan True Wireless Earbuds</t>
        </is>
      </c>
      <c r="F245" s="23" t="n">
        <v>127.99</v>
      </c>
      <c r="G245" s="20" t="inlineStr">
        <is>
          <t>the Titan; Asclepius Titan; Asclepuis Titan; Titan earbuds</t>
        </is>
      </c>
      <c r="H245" s="20" t="inlineStr">
        <is>
          <t>1 year limited</t>
        </is>
      </c>
      <c r="I245" s="20" t="inlineStr">
        <is>
          <t>FCC, CE, Bluetooth SIG Qualified, IPX4</t>
        </is>
      </c>
      <c r="J245" s="20" t="inlineStr">
        <is>
          <t>N/A</t>
        </is>
      </c>
      <c r="K245" s="20" t="inlineStr">
        <is>
          <t>N/A</t>
        </is>
      </c>
      <c r="L245" s="20" t="inlineStr">
        <is>
          <t>N/A</t>
        </is>
      </c>
      <c r="M245" s="20" t="inlineStr">
        <is>
          <t>N/A</t>
        </is>
      </c>
      <c r="N245" s="20" t="inlineStr">
        <is>
          <t>USB-C charging case</t>
        </is>
      </c>
      <c r="O245" s="20" t="inlineStr">
        <is>
          <t>N/A</t>
        </is>
      </c>
      <c r="P245" s="20" t="n">
        <v>9</v>
      </c>
      <c r="Q245" s="24" t="n">
        <v>4</v>
      </c>
      <c r="R245" s="20" t="inlineStr">
        <is>
          <t>Lighter than Deimos Lumen X True Wireless Earbuds [DEI-005-04] (4 g vs 5 g); Lower price than Himeros Arc True Wireless Earbuds [HIM-003-05] ($127.99 vs $166.99)</t>
        </is>
      </c>
      <c r="S245" s="20" t="inlineStr">
        <is>
          <t>commute, everyday, travel</t>
        </is>
      </c>
      <c r="T245" s="0" t="inlineStr">
        <is>
          <t>in_stock</t>
        </is>
      </c>
      <c r="U245" s="0" t="n">
        <v>30</v>
      </c>
      <c r="V245" s="52" t="n">
        <v>146.99</v>
      </c>
      <c r="W245" s="0" t="inlineStr">
        <is>
          <t>2026-08-07</t>
        </is>
      </c>
      <c r="X245" s="0" t="inlineStr">
        <is>
          <t>N/A</t>
        </is>
      </c>
      <c r="Y245" s="0" t="inlineStr">
        <is>
          <t>N/A</t>
        </is>
      </c>
      <c r="Z245" s="0" t="inlineStr">
        <is>
          <t>N/A</t>
        </is>
      </c>
      <c r="AA245" s="0" t="inlineStr">
        <is>
          <t>N/A</t>
        </is>
      </c>
    </row>
    <row r="246" ht="15.75" customHeight="1" s="51">
      <c r="A246" s="20" t="inlineStr">
        <is>
          <t>ASC-024-04</t>
        </is>
      </c>
      <c r="B246" s="20" t="inlineStr">
        <is>
          <t>Asclepius</t>
        </is>
      </c>
      <c r="C246" s="20" t="inlineStr">
        <is>
          <t>Headphones &amp; Earbuds</t>
        </is>
      </c>
      <c r="D246" s="20" t="inlineStr">
        <is>
          <t>Earbuds</t>
        </is>
      </c>
      <c r="E246" s="21" t="inlineStr">
        <is>
          <t>Asclepius Axis Lite Sleep Earbuds</t>
        </is>
      </c>
      <c r="F246" s="23" t="n">
        <v>159.99</v>
      </c>
      <c r="G246" s="20" t="inlineStr">
        <is>
          <t>the Axis Lite; Asclepius Axis Lite; Ascleepius Axis Lite; Axis Lite earbuds</t>
        </is>
      </c>
      <c r="H246" s="20" t="inlineStr">
        <is>
          <t>1 year limited</t>
        </is>
      </c>
      <c r="I246" s="20" t="inlineStr">
        <is>
          <t>FCC, CE, Bluetooth SIG Qualified</t>
        </is>
      </c>
      <c r="J246" s="20" t="inlineStr">
        <is>
          <t>N/A</t>
        </is>
      </c>
      <c r="K246" s="20" t="inlineStr">
        <is>
          <t>N/A</t>
        </is>
      </c>
      <c r="L246" s="20" t="inlineStr">
        <is>
          <t>N/A</t>
        </is>
      </c>
      <c r="M246" s="20" t="inlineStr">
        <is>
          <t>N/A</t>
        </is>
      </c>
      <c r="N246" s="20" t="inlineStr">
        <is>
          <t>USB-C charging case</t>
        </is>
      </c>
      <c r="O246" s="20" t="inlineStr">
        <is>
          <t>N/A</t>
        </is>
      </c>
      <c r="P246" s="20" t="n">
        <v>9</v>
      </c>
      <c r="Q246" s="24" t="n">
        <v>2</v>
      </c>
      <c r="R246" s="20" t="inlineStr">
        <is>
          <t>Lower price than Clio Blaze Plus Sleep Earbuds [CLI-022-07] ($159.99 vs $208.99); Lighter than Soteria Echo Max Sleep Earbuds [SOT-014-06] (2 g vs 4 g)</t>
        </is>
      </c>
      <c r="S246" s="20" t="inlineStr">
        <is>
          <t>sleep, travel, relaxation</t>
        </is>
      </c>
      <c r="T246" s="0" t="inlineStr">
        <is>
          <t>in_stock</t>
        </is>
      </c>
      <c r="U246" s="0" t="n">
        <v>30</v>
      </c>
      <c r="V246" s="52" t="n">
        <v>182.99</v>
      </c>
      <c r="W246" s="0" t="inlineStr">
        <is>
          <t>2026-08-17</t>
        </is>
      </c>
      <c r="X246" s="0" t="inlineStr">
        <is>
          <t>N/A</t>
        </is>
      </c>
      <c r="Y246" s="0" t="inlineStr">
        <is>
          <t>N/A</t>
        </is>
      </c>
      <c r="Z246" s="0" t="inlineStr">
        <is>
          <t>N/A</t>
        </is>
      </c>
      <c r="AA246" s="0" t="inlineStr">
        <is>
          <t>N/A</t>
        </is>
      </c>
    </row>
    <row r="247" ht="15.75" customHeight="1" s="51">
      <c r="A247" s="20" t="inlineStr">
        <is>
          <t>ASC-024-05</t>
        </is>
      </c>
      <c r="B247" s="20" t="inlineStr">
        <is>
          <t>Asclepius</t>
        </is>
      </c>
      <c r="C247" s="20" t="inlineStr">
        <is>
          <t>Headphones &amp; Earbuds</t>
        </is>
      </c>
      <c r="D247" s="20" t="inlineStr">
        <is>
          <t>Headphones</t>
        </is>
      </c>
      <c r="E247" s="21" t="inlineStr">
        <is>
          <t>Asclepius Vertex On-Ear Headphones</t>
        </is>
      </c>
      <c r="F247" s="23" t="n">
        <v>199.99</v>
      </c>
      <c r="G247" s="20" t="inlineStr">
        <is>
          <t>the Vertex; Asclepius Vertex; Asclepios Vertex; Vertex headphones</t>
        </is>
      </c>
      <c r="H247" s="20" t="inlineStr">
        <is>
          <t>1 year limited</t>
        </is>
      </c>
      <c r="I247" s="20" t="inlineStr">
        <is>
          <t>FCC, CE, Bluetooth SIG Qualified</t>
        </is>
      </c>
      <c r="J247" s="20" t="inlineStr">
        <is>
          <t>N/A</t>
        </is>
      </c>
      <c r="K247" s="20" t="inlineStr">
        <is>
          <t>N/A</t>
        </is>
      </c>
      <c r="L247" s="20" t="inlineStr">
        <is>
          <t>N/A</t>
        </is>
      </c>
      <c r="M247" s="20" t="inlineStr">
        <is>
          <t>N/A</t>
        </is>
      </c>
      <c r="N247" s="20" t="inlineStr">
        <is>
          <t>USB-C charging, 3.5mm</t>
        </is>
      </c>
      <c r="O247" s="20" t="inlineStr">
        <is>
          <t>N/A</t>
        </is>
      </c>
      <c r="P247" s="20" t="n">
        <v>38</v>
      </c>
      <c r="Q247" s="24" t="n">
        <v>220</v>
      </c>
      <c r="R247" s="20" t="inlineStr">
        <is>
          <t>Longer battery than Hedone Nimbus Max On-Ear Headphones [HED-010-04] (38 vs 30 hrs); Lower price than Phosphorus Vertex On-Ear Headphones [PHO-009-09] ($199.99 vs $239.99)</t>
        </is>
      </c>
      <c r="S247" s="20" t="inlineStr">
        <is>
          <t>everyday, commute, school</t>
        </is>
      </c>
      <c r="T247" s="0" t="inlineStr">
        <is>
          <t>in_stock</t>
        </is>
      </c>
      <c r="U247" s="0" t="n">
        <v>30</v>
      </c>
      <c r="V247" s="52" t="n">
        <v>218.99</v>
      </c>
      <c r="W247" s="0" t="inlineStr">
        <is>
          <t>2026-09-20</t>
        </is>
      </c>
      <c r="X247" s="0" t="inlineStr">
        <is>
          <t>N/A</t>
        </is>
      </c>
      <c r="Y247" s="0" t="inlineStr">
        <is>
          <t>N/A</t>
        </is>
      </c>
      <c r="Z247" s="0" t="inlineStr">
        <is>
          <t>N/A</t>
        </is>
      </c>
      <c r="AA247" s="0" t="inlineStr">
        <is>
          <t>N/A</t>
        </is>
      </c>
    </row>
    <row r="248" ht="15.75" customHeight="1" s="51">
      <c r="A248" s="20" t="inlineStr">
        <is>
          <t>ASC-024-06</t>
        </is>
      </c>
      <c r="B248" s="20" t="inlineStr">
        <is>
          <t>Asclepius</t>
        </is>
      </c>
      <c r="C248" s="20" t="inlineStr">
        <is>
          <t>Headphones &amp; Earbuds</t>
        </is>
      </c>
      <c r="D248" s="20" t="inlineStr">
        <is>
          <t>Earbuds</t>
        </is>
      </c>
      <c r="E248" s="21" t="inlineStr">
        <is>
          <t>Asclepius Axis Max Open-Ear Earbuds</t>
        </is>
      </c>
      <c r="F248" s="23" t="n">
        <v>208.99</v>
      </c>
      <c r="G248" s="20" t="inlineStr">
        <is>
          <t>the Axis Max; Asclepius Axis Max; Asclepiuus Axis Max; Axis Max earbuds</t>
        </is>
      </c>
      <c r="H248" s="20" t="inlineStr">
        <is>
          <t>1 year limited</t>
        </is>
      </c>
      <c r="I248" s="20" t="inlineStr">
        <is>
          <t>FCC, CE, Bluetooth SIG Qualified, IP55</t>
        </is>
      </c>
      <c r="J248" s="20" t="inlineStr">
        <is>
          <t>N/A</t>
        </is>
      </c>
      <c r="K248" s="20" t="inlineStr">
        <is>
          <t>N/A</t>
        </is>
      </c>
      <c r="L248" s="20" t="inlineStr">
        <is>
          <t>N/A</t>
        </is>
      </c>
      <c r="M248" s="20" t="inlineStr">
        <is>
          <t>N/A</t>
        </is>
      </c>
      <c r="N248" s="20" t="inlineStr">
        <is>
          <t>USB-C charging case</t>
        </is>
      </c>
      <c r="O248" s="20" t="inlineStr">
        <is>
          <t>N/A</t>
        </is>
      </c>
      <c r="P248" s="20" t="n">
        <v>8</v>
      </c>
      <c r="Q248" s="24" t="n">
        <v>11</v>
      </c>
      <c r="R248" s="20" t="inlineStr">
        <is>
          <t>Longer battery than Himeros Aeon Lite Open-Ear Earbuds [HIM-003-08] (8 vs 6 hrs); Lighter than Zeus Strata X Open-Ear Earbuds [ZEU-013-02] (11 g vs 12 g)</t>
        </is>
      </c>
      <c r="S248" s="20" t="inlineStr">
        <is>
          <t>running, outdoor, office</t>
        </is>
      </c>
      <c r="T248" s="0" t="inlineStr">
        <is>
          <t>in_stock</t>
        </is>
      </c>
      <c r="U248" s="0" t="n">
        <v>30</v>
      </c>
      <c r="V248" s="52" t="n">
        <v>236.99</v>
      </c>
      <c r="W248" s="0" t="inlineStr">
        <is>
          <t>2026-09-10</t>
        </is>
      </c>
      <c r="X248" s="0" t="inlineStr">
        <is>
          <t>N/A</t>
        </is>
      </c>
      <c r="Y248" s="0" t="inlineStr">
        <is>
          <t>N/A</t>
        </is>
      </c>
      <c r="Z248" s="0" t="inlineStr">
        <is>
          <t>N/A</t>
        </is>
      </c>
      <c r="AA248" s="0" t="inlineStr">
        <is>
          <t>N/A</t>
        </is>
      </c>
    </row>
    <row r="249" ht="15.75" customHeight="1" s="51">
      <c r="A249" s="20" t="inlineStr">
        <is>
          <t>ASC-024-07</t>
        </is>
      </c>
      <c r="B249" s="20" t="inlineStr">
        <is>
          <t>Asclepius</t>
        </is>
      </c>
      <c r="C249" s="20" t="inlineStr">
        <is>
          <t>Headphones &amp; Earbuds</t>
        </is>
      </c>
      <c r="D249" s="20" t="inlineStr">
        <is>
          <t>Headset</t>
        </is>
      </c>
      <c r="E249" s="21" t="inlineStr">
        <is>
          <t>Asclepius Aria Ultra Gaming Headset</t>
        </is>
      </c>
      <c r="F249" s="23" t="n">
        <v>260.99</v>
      </c>
      <c r="G249" s="20" t="inlineStr">
        <is>
          <t>the Aria Ultra; Asclepius Aria Ultra; Aslcepius Aria Ultra; Aria Ultra headset</t>
        </is>
      </c>
      <c r="H249" s="20" t="inlineStr">
        <is>
          <t>1 year limited</t>
        </is>
      </c>
      <c r="I249" s="20" t="inlineStr">
        <is>
          <t>FCC, CE, Bluetooth SIG Qualified</t>
        </is>
      </c>
      <c r="J249" s="20" t="inlineStr">
        <is>
          <t>N/A</t>
        </is>
      </c>
      <c r="K249" s="20" t="inlineStr">
        <is>
          <t>N/A</t>
        </is>
      </c>
      <c r="L249" s="20" t="inlineStr">
        <is>
          <t>N/A</t>
        </is>
      </c>
      <c r="M249" s="20" t="inlineStr">
        <is>
          <t>N/A</t>
        </is>
      </c>
      <c r="N249" s="20" t="inlineStr">
        <is>
          <t>USB-C, 3.5mm, 2.4GHz USB dongle</t>
        </is>
      </c>
      <c r="O249" s="20" t="inlineStr">
        <is>
          <t>N/A</t>
        </is>
      </c>
      <c r="P249" s="20" t="n">
        <v>55</v>
      </c>
      <c r="Q249" s="24" t="n">
        <v>304</v>
      </c>
      <c r="R249" s="20" t="inlineStr">
        <is>
          <t>Lighter than Morpheus Quanta X Gaming Headset [MOR-001-05] (304 g vs 363 g); Longer battery than Asteria Core Max Gaming Headset [AST-006-03] (55 vs 47 hrs)</t>
        </is>
      </c>
      <c r="S249" s="20" t="inlineStr">
        <is>
          <t>gaming, streaming, voice chat</t>
        </is>
      </c>
      <c r="T249" s="0" t="inlineStr">
        <is>
          <t>in_stock</t>
        </is>
      </c>
      <c r="U249" s="0" t="n">
        <v>30</v>
      </c>
      <c r="V249" s="52" t="n">
        <v>276.99</v>
      </c>
      <c r="W249" s="0" t="inlineStr">
        <is>
          <t>2026-09-05</t>
        </is>
      </c>
      <c r="X249" s="0" t="inlineStr">
        <is>
          <t>N/A</t>
        </is>
      </c>
      <c r="Y249" s="0" t="inlineStr">
        <is>
          <t>N/A</t>
        </is>
      </c>
      <c r="Z249" s="0" t="inlineStr">
        <is>
          <t>N/A</t>
        </is>
      </c>
      <c r="AA249" s="0" t="inlineStr">
        <is>
          <t>N/A</t>
        </is>
      </c>
    </row>
    <row r="250" ht="15.75" customHeight="1" s="51">
      <c r="A250" s="20" t="inlineStr">
        <is>
          <t>ASC-024-08</t>
        </is>
      </c>
      <c r="B250" s="20" t="inlineStr">
        <is>
          <t>Asclepius</t>
        </is>
      </c>
      <c r="C250" s="20" t="inlineStr">
        <is>
          <t>Headphones &amp; Earbuds</t>
        </is>
      </c>
      <c r="D250" s="20" t="inlineStr">
        <is>
          <t>Headphones</t>
        </is>
      </c>
      <c r="E250" s="21" t="inlineStr">
        <is>
          <t>Asclepius Flux Lite Studio Monitor Headphones</t>
        </is>
      </c>
      <c r="F250" s="23" t="n">
        <v>334.99</v>
      </c>
      <c r="G250" s="20" t="inlineStr">
        <is>
          <t>the Flux Lite; Asclepius Flux Lite; Asklepius Flux Lite; Flux Lite headphones</t>
        </is>
      </c>
      <c r="H250" s="20" t="inlineStr">
        <is>
          <t>1 year limited</t>
        </is>
      </c>
      <c r="I250" s="20" t="inlineStr">
        <is>
          <t>CE, RoHS, Hi-Res Audio</t>
        </is>
      </c>
      <c r="J250" s="20" t="inlineStr">
        <is>
          <t>N/A</t>
        </is>
      </c>
      <c r="K250" s="20" t="inlineStr">
        <is>
          <t>N/A</t>
        </is>
      </c>
      <c r="L250" s="20" t="inlineStr">
        <is>
          <t>N/A</t>
        </is>
      </c>
      <c r="M250" s="20" t="inlineStr">
        <is>
          <t>N/A</t>
        </is>
      </c>
      <c r="N250" s="20" t="inlineStr">
        <is>
          <t>Detachable cable: 3.5mm with 6.35mm adapter</t>
        </is>
      </c>
      <c r="O250" s="20" t="inlineStr">
        <is>
          <t>N/A</t>
        </is>
      </c>
      <c r="P250" s="20" t="inlineStr">
        <is>
          <t>N/A</t>
        </is>
      </c>
      <c r="Q250" s="24" t="n">
        <v>328</v>
      </c>
      <c r="R250" s="20" t="inlineStr">
        <is>
          <t>Lower price than Glaucus Strata Ultra Studio Monitor Headphones [GLA-012-09] ($334.99 vs $478.99); Lighter than Tethys Blaze Ultra Studio Monitor Headphones [TET-007-08] (328 g vs 355 g)</t>
        </is>
      </c>
      <c r="S250" s="20" t="inlineStr">
        <is>
          <t>music production, studio, podcasting</t>
        </is>
      </c>
      <c r="T250" s="0" t="inlineStr">
        <is>
          <t>in_stock</t>
        </is>
      </c>
      <c r="U250" s="0" t="n">
        <v>30</v>
      </c>
      <c r="V250" s="52" t="n">
        <v>351.99</v>
      </c>
      <c r="W250" s="0" t="inlineStr">
        <is>
          <t>2026-08-14</t>
        </is>
      </c>
      <c r="X250" s="0" t="inlineStr">
        <is>
          <t>N/A</t>
        </is>
      </c>
      <c r="Y250" s="0" t="inlineStr">
        <is>
          <t>N/A</t>
        </is>
      </c>
      <c r="Z250" s="0" t="inlineStr">
        <is>
          <t>N/A</t>
        </is>
      </c>
      <c r="AA250" s="0" t="inlineStr">
        <is>
          <t>N/A</t>
        </is>
      </c>
    </row>
    <row r="251" ht="15.75" customHeight="1" s="51">
      <c r="A251" s="20" t="inlineStr">
        <is>
          <t>ASC-024-09</t>
        </is>
      </c>
      <c r="B251" s="20" t="inlineStr">
        <is>
          <t>Asclepius</t>
        </is>
      </c>
      <c r="C251" s="20" t="inlineStr">
        <is>
          <t>Headphones &amp; Earbuds</t>
        </is>
      </c>
      <c r="D251" s="20" t="inlineStr">
        <is>
          <t>Earbuds</t>
        </is>
      </c>
      <c r="E251" s="21" t="inlineStr">
        <is>
          <t>Asclepius Spark Wired In-Ear Monitors</t>
        </is>
      </c>
      <c r="F251" s="23" t="n">
        <v>371.99</v>
      </c>
      <c r="G251" s="20" t="inlineStr">
        <is>
          <t>the Spark; Asclepius Spark; Asclepiuus Spark; Spark earbuds</t>
        </is>
      </c>
      <c r="H251" s="20" t="inlineStr">
        <is>
          <t>1 year limited</t>
        </is>
      </c>
      <c r="I251" s="20" t="inlineStr">
        <is>
          <t>CE, RoHS, Hi-Res Audio</t>
        </is>
      </c>
      <c r="J251" s="20" t="inlineStr">
        <is>
          <t>N/A</t>
        </is>
      </c>
      <c r="K251" s="20" t="inlineStr">
        <is>
          <t>N/A</t>
        </is>
      </c>
      <c r="L251" s="20" t="inlineStr">
        <is>
          <t>N/A</t>
        </is>
      </c>
      <c r="M251" s="20" t="inlineStr">
        <is>
          <t>N/A</t>
        </is>
      </c>
      <c r="N251" s="20" t="inlineStr">
        <is>
          <t>Detachable 2-pin cable: 3.5mm and 4.4mm balanced</t>
        </is>
      </c>
      <c r="O251" s="20" t="inlineStr">
        <is>
          <t>N/A</t>
        </is>
      </c>
      <c r="P251" s="20" t="inlineStr">
        <is>
          <t>N/A</t>
        </is>
      </c>
      <c r="Q251" s="24" t="n">
        <v>40</v>
      </c>
      <c r="R251" s="20" t="inlineStr">
        <is>
          <t>Lower price than Deimos Rift Wired In-Ear Monitors [DEI-005-09] ($371.99 vs $398.99)</t>
        </is>
      </c>
      <c r="S251" s="20" t="inlineStr">
        <is>
          <t>audiophile, stage monitoring, music</t>
        </is>
      </c>
      <c r="T251" s="0" t="inlineStr">
        <is>
          <t>in_stock</t>
        </is>
      </c>
      <c r="U251" s="0" t="n">
        <v>30</v>
      </c>
      <c r="V251" s="52" t="n">
        <v>387.99</v>
      </c>
      <c r="W251" s="0" t="inlineStr">
        <is>
          <t>2026-08-16</t>
        </is>
      </c>
      <c r="X251" s="0" t="inlineStr">
        <is>
          <t>N/A</t>
        </is>
      </c>
      <c r="Y251" s="0" t="inlineStr">
        <is>
          <t>N/A</t>
        </is>
      </c>
      <c r="Z251" s="0" t="inlineStr">
        <is>
          <t>N/A</t>
        </is>
      </c>
      <c r="AA251" s="0" t="inlineStr">
        <is>
          <t>N/A</t>
        </is>
      </c>
    </row>
    <row r="252" ht="15.75" customHeight="1" s="51">
      <c r="A252" s="20" t="inlineStr">
        <is>
          <t>ASC-024-10</t>
        </is>
      </c>
      <c r="B252" s="20" t="inlineStr">
        <is>
          <t>Asclepius</t>
        </is>
      </c>
      <c r="C252" s="20" t="inlineStr">
        <is>
          <t>Headphones &amp; Earbuds</t>
        </is>
      </c>
      <c r="D252" s="20" t="inlineStr">
        <is>
          <t>Headphones</t>
        </is>
      </c>
      <c r="E252" s="21" t="inlineStr">
        <is>
          <t>Asclepius Rift Max ANC Over-Ear Headphones</t>
        </is>
      </c>
      <c r="F252" s="23" t="n">
        <v>403.99</v>
      </c>
      <c r="G252" s="20" t="inlineStr">
        <is>
          <t>the Rift Max; Asclepius Rift Max; Aslcepius Rift Max; Rift Max headphones</t>
        </is>
      </c>
      <c r="H252" s="20" t="inlineStr">
        <is>
          <t>1 year limited</t>
        </is>
      </c>
      <c r="I252" s="20" t="inlineStr">
        <is>
          <t>FCC, CE, Bluetooth SIG Qualified, Hi-Res Audio Wireless</t>
        </is>
      </c>
      <c r="J252" s="20" t="inlineStr">
        <is>
          <t>N/A</t>
        </is>
      </c>
      <c r="K252" s="20" t="inlineStr">
        <is>
          <t>N/A</t>
        </is>
      </c>
      <c r="L252" s="20" t="inlineStr">
        <is>
          <t>N/A</t>
        </is>
      </c>
      <c r="M252" s="20" t="inlineStr">
        <is>
          <t>N/A</t>
        </is>
      </c>
      <c r="N252" s="20" t="inlineStr">
        <is>
          <t>USB-C charging and audio, 3.5mm</t>
        </is>
      </c>
      <c r="O252" s="20" t="inlineStr">
        <is>
          <t>N/A</t>
        </is>
      </c>
      <c r="P252" s="20" t="n">
        <v>36</v>
      </c>
      <c r="Q252" s="24" t="n">
        <v>306</v>
      </c>
      <c r="R252" s="20" t="inlineStr">
        <is>
          <t>Longer battery than Carpo Nova ANC Over-Ear Headphones [CAR-002-08] (36 vs 26 hrs); Lower price than Clio Spark Ultra ANC Over-Ear Headphones [CLI-022-10] ($403.99 vs $424.99)</t>
        </is>
      </c>
      <c r="S252" s="20" t="inlineStr">
        <is>
          <t>travel, commute, office</t>
        </is>
      </c>
      <c r="T252" s="0" t="inlineStr">
        <is>
          <t>in_stock</t>
        </is>
      </c>
      <c r="U252" s="0" t="n">
        <v>30</v>
      </c>
      <c r="V252" s="52" t="n">
        <v>437.99</v>
      </c>
      <c r="W252" s="0" t="inlineStr">
        <is>
          <t>2026-08-09</t>
        </is>
      </c>
      <c r="X252" s="0" t="inlineStr">
        <is>
          <t>N/A</t>
        </is>
      </c>
      <c r="Y252" s="0" t="inlineStr">
        <is>
          <t>N/A</t>
        </is>
      </c>
      <c r="Z252" s="0" t="inlineStr">
        <is>
          <t>N/A</t>
        </is>
      </c>
      <c r="AA252" s="0" t="inlineStr">
        <is>
          <t>N/A</t>
        </is>
      </c>
    </row>
    <row r="253" ht="15.75" customHeight="1" s="51">
      <c r="A253" s="20" t="inlineStr">
        <is>
          <t>HES-025-01</t>
        </is>
      </c>
      <c r="B253" s="20" t="inlineStr">
        <is>
          <t>Hesperus</t>
        </is>
      </c>
      <c r="C253" s="20" t="inlineStr">
        <is>
          <t>Headphones &amp; Earbuds</t>
        </is>
      </c>
      <c r="D253" s="20" t="inlineStr">
        <is>
          <t>Headphones</t>
        </is>
      </c>
      <c r="E253" s="21" t="inlineStr">
        <is>
          <t>Hesperus Onyx SE Kids Headphones</t>
        </is>
      </c>
      <c r="F253" s="23" t="n">
        <v>35.99</v>
      </c>
      <c r="G253" s="20" t="inlineStr">
        <is>
          <t>the Onyx SE; Hesperus Onyx SE; Hepserus Onyx SE; Onyx SE headphones</t>
        </is>
      </c>
      <c r="H253" s="20" t="inlineStr">
        <is>
          <t>1 year limited</t>
        </is>
      </c>
      <c r="I253" s="20" t="inlineStr">
        <is>
          <t>FCC, CE, Bluetooth SIG Qualified, EN 71 Toy Safety</t>
        </is>
      </c>
      <c r="J253" s="20" t="inlineStr">
        <is>
          <t>N/A</t>
        </is>
      </c>
      <c r="K253" s="20" t="inlineStr">
        <is>
          <t>N/A</t>
        </is>
      </c>
      <c r="L253" s="20" t="inlineStr">
        <is>
          <t>N/A</t>
        </is>
      </c>
      <c r="M253" s="20" t="inlineStr">
        <is>
          <t>N/A</t>
        </is>
      </c>
      <c r="N253" s="20" t="inlineStr">
        <is>
          <t>USB-C charging, 3.5mm (85 dB limited)</t>
        </is>
      </c>
      <c r="O253" s="20" t="inlineStr">
        <is>
          <t>N/A</t>
        </is>
      </c>
      <c r="P253" s="20" t="n">
        <v>29</v>
      </c>
      <c r="Q253" s="24" t="n">
        <v>129</v>
      </c>
      <c r="R253" s="20" t="inlineStr">
        <is>
          <t>Lower price than Himeros Volt SE Kids Headphones [HIM-003-01] ($35.99 vs $45.99); Longer battery than Tethys Pulse Kids Headphones [TET-007-01] (29 vs 20 hrs)</t>
        </is>
      </c>
      <c r="S253" s="20" t="inlineStr">
        <is>
          <t>kids, school, travel</t>
        </is>
      </c>
      <c r="T253" s="0" t="inlineStr">
        <is>
          <t>low_stock</t>
        </is>
      </c>
      <c r="U253" s="0" t="n">
        <v>60</v>
      </c>
      <c r="V253" s="52" t="n">
        <v>38.99</v>
      </c>
      <c r="W253" s="0" t="inlineStr">
        <is>
          <t>2026-08-20</t>
        </is>
      </c>
      <c r="X253" s="0" t="inlineStr">
        <is>
          <t>N/A</t>
        </is>
      </c>
      <c r="Y253" s="0" t="inlineStr">
        <is>
          <t>N/A</t>
        </is>
      </c>
      <c r="Z253" s="0" t="inlineStr">
        <is>
          <t>N/A</t>
        </is>
      </c>
      <c r="AA253" s="0" t="inlineStr">
        <is>
          <t>N/A</t>
        </is>
      </c>
    </row>
    <row r="254" ht="15.75" customHeight="1" s="51">
      <c r="A254" s="20" t="inlineStr">
        <is>
          <t>HES-025-02</t>
        </is>
      </c>
      <c r="B254" s="20" t="inlineStr">
        <is>
          <t>Hesperus</t>
        </is>
      </c>
      <c r="C254" s="20" t="inlineStr">
        <is>
          <t>Headphones &amp; Earbuds</t>
        </is>
      </c>
      <c r="D254" s="20" t="inlineStr">
        <is>
          <t>Headphones</t>
        </is>
      </c>
      <c r="E254" s="21" t="inlineStr">
        <is>
          <t>Hesperus Blaze Max Bone Conduction Headphones</t>
        </is>
      </c>
      <c r="F254" s="23" t="n">
        <v>114.99</v>
      </c>
      <c r="G254" s="20" t="inlineStr">
        <is>
          <t>the Blaze Max; Hesperus Blaze Max; Hesperuus Blaze Max; Blaze Max headphones</t>
        </is>
      </c>
      <c r="H254" s="20" t="inlineStr">
        <is>
          <t>1 year limited</t>
        </is>
      </c>
      <c r="I254" s="20" t="inlineStr">
        <is>
          <t>FCC, CE, Bluetooth SIG Qualified, IP67</t>
        </is>
      </c>
      <c r="J254" s="20" t="inlineStr">
        <is>
          <t>N/A</t>
        </is>
      </c>
      <c r="K254" s="20" t="inlineStr">
        <is>
          <t>N/A</t>
        </is>
      </c>
      <c r="L254" s="20" t="inlineStr">
        <is>
          <t>N/A</t>
        </is>
      </c>
      <c r="M254" s="20" t="inlineStr">
        <is>
          <t>N/A</t>
        </is>
      </c>
      <c r="N254" s="20" t="inlineStr">
        <is>
          <t>Magnetic USB charging</t>
        </is>
      </c>
      <c r="O254" s="20" t="inlineStr">
        <is>
          <t>N/A</t>
        </is>
      </c>
      <c r="P254" s="20" t="n">
        <v>9</v>
      </c>
      <c r="Q254" s="24" t="n">
        <v>27</v>
      </c>
      <c r="R254" s="20" t="inlineStr">
        <is>
          <t>Lower price than Asteria Drift Air Bone Conduction Headphones [AST-006-05] ($114.99 vs $181.99); Lighter than Deimos Crest Bone Conduction Headphones [DEI-005-03] (27 g vs 35 g)</t>
        </is>
      </c>
      <c r="S254" s="20" t="inlineStr">
        <is>
          <t>running, cycling, outdoor</t>
        </is>
      </c>
      <c r="T254" s="0" t="inlineStr">
        <is>
          <t>in_stock</t>
        </is>
      </c>
      <c r="U254" s="0" t="n">
        <v>60</v>
      </c>
      <c r="V254" s="52" t="n">
        <v>121.99</v>
      </c>
      <c r="W254" s="0" t="inlineStr">
        <is>
          <t>2026-08-27</t>
        </is>
      </c>
      <c r="X254" s="0" t="inlineStr">
        <is>
          <t>N/A</t>
        </is>
      </c>
      <c r="Y254" s="0" t="inlineStr">
        <is>
          <t>N/A</t>
        </is>
      </c>
      <c r="Z254" s="0" t="inlineStr">
        <is>
          <t>N/A</t>
        </is>
      </c>
      <c r="AA254" s="0" t="inlineStr">
        <is>
          <t>N/A</t>
        </is>
      </c>
    </row>
    <row r="255" ht="15.75" customHeight="1" s="51">
      <c r="A255" s="20" t="inlineStr">
        <is>
          <t>HES-025-03</t>
        </is>
      </c>
      <c r="B255" s="20" t="inlineStr">
        <is>
          <t>Hesperus</t>
        </is>
      </c>
      <c r="C255" s="20" t="inlineStr">
        <is>
          <t>Headphones &amp; Earbuds</t>
        </is>
      </c>
      <c r="D255" s="20" t="inlineStr">
        <is>
          <t>Earbuds</t>
        </is>
      </c>
      <c r="E255" s="21" t="inlineStr">
        <is>
          <t>Hesperus Aeon Air Sleep Earbuds</t>
        </is>
      </c>
      <c r="F255" s="23" t="n">
        <v>136.99</v>
      </c>
      <c r="G255" s="20" t="inlineStr">
        <is>
          <t>the Aeon Air; Hesperus Aeon Air; Hespperus Aeon Air; Aeon Air earbuds</t>
        </is>
      </c>
      <c r="H255" s="20" t="inlineStr">
        <is>
          <t>1 year limited</t>
        </is>
      </c>
      <c r="I255" s="20" t="inlineStr">
        <is>
          <t>FCC, CE, Bluetooth SIG Qualified</t>
        </is>
      </c>
      <c r="J255" s="20" t="inlineStr">
        <is>
          <t>N/A</t>
        </is>
      </c>
      <c r="K255" s="20" t="inlineStr">
        <is>
          <t>N/A</t>
        </is>
      </c>
      <c r="L255" s="20" t="inlineStr">
        <is>
          <t>N/A</t>
        </is>
      </c>
      <c r="M255" s="20" t="inlineStr">
        <is>
          <t>N/A</t>
        </is>
      </c>
      <c r="N255" s="20" t="inlineStr">
        <is>
          <t>USB-C charging case</t>
        </is>
      </c>
      <c r="O255" s="20" t="inlineStr">
        <is>
          <t>N/A</t>
        </is>
      </c>
      <c r="P255" s="20" t="n">
        <v>8</v>
      </c>
      <c r="Q255" s="24" t="n">
        <v>3</v>
      </c>
      <c r="R255" s="20" t="inlineStr">
        <is>
          <t>Lower price than Deimos Halo Plus Sleep Earbuds [DEI-005-06] ($136.99 vs $164.99); Lighter than Ananke Strata Air Sleep Earbuds [ANA-023-08] (3 g vs 4 g)</t>
        </is>
      </c>
      <c r="S255" s="20" t="inlineStr">
        <is>
          <t>sleep, travel, relaxation</t>
        </is>
      </c>
      <c r="T255" s="0" t="inlineStr">
        <is>
          <t>in_stock</t>
        </is>
      </c>
      <c r="U255" s="0" t="n">
        <v>60</v>
      </c>
      <c r="V255" s="52" t="n">
        <v>143.99</v>
      </c>
      <c r="W255" s="0" t="inlineStr">
        <is>
          <t>2026-09-07</t>
        </is>
      </c>
      <c r="X255" s="0" t="inlineStr">
        <is>
          <t>N/A</t>
        </is>
      </c>
      <c r="Y255" s="0" t="inlineStr">
        <is>
          <t>N/A</t>
        </is>
      </c>
      <c r="Z255" s="0" t="inlineStr">
        <is>
          <t>N/A</t>
        </is>
      </c>
      <c r="AA255" s="0" t="inlineStr">
        <is>
          <t>N/A</t>
        </is>
      </c>
    </row>
    <row r="256" ht="15.75" customHeight="1" s="51">
      <c r="A256" s="20" t="inlineStr">
        <is>
          <t>HES-025-04</t>
        </is>
      </c>
      <c r="B256" s="20" t="inlineStr">
        <is>
          <t>Hesperus</t>
        </is>
      </c>
      <c r="C256" s="20" t="inlineStr">
        <is>
          <t>Headphones &amp; Earbuds</t>
        </is>
      </c>
      <c r="D256" s="20" t="inlineStr">
        <is>
          <t>Headphones</t>
        </is>
      </c>
      <c r="E256" s="21" t="inlineStr">
        <is>
          <t>Hesperus Rift Air On-Ear Headphones</t>
        </is>
      </c>
      <c r="F256" s="23" t="n">
        <v>145.99</v>
      </c>
      <c r="G256" s="20" t="inlineStr">
        <is>
          <t>the Rift Air; Hesperus Rift Air; Hespperus Rift Air; Rift Air headphones</t>
        </is>
      </c>
      <c r="H256" s="20" t="inlineStr">
        <is>
          <t>1 year limited</t>
        </is>
      </c>
      <c r="I256" s="20" t="inlineStr">
        <is>
          <t>FCC, CE, Bluetooth SIG Qualified</t>
        </is>
      </c>
      <c r="J256" s="20" t="inlineStr">
        <is>
          <t>N/A</t>
        </is>
      </c>
      <c r="K256" s="20" t="inlineStr">
        <is>
          <t>N/A</t>
        </is>
      </c>
      <c r="L256" s="20" t="inlineStr">
        <is>
          <t>N/A</t>
        </is>
      </c>
      <c r="M256" s="20" t="inlineStr">
        <is>
          <t>N/A</t>
        </is>
      </c>
      <c r="N256" s="20" t="inlineStr">
        <is>
          <t>USB-C charging, 3.5mm</t>
        </is>
      </c>
      <c r="O256" s="20" t="inlineStr">
        <is>
          <t>N/A</t>
        </is>
      </c>
      <c r="P256" s="20" t="n">
        <v>33</v>
      </c>
      <c r="Q256" s="24" t="n">
        <v>192</v>
      </c>
      <c r="R256" s="20" t="inlineStr">
        <is>
          <t>Lighter than Tethys Pulse Plus On-Ear Headphones [TET-007-03] (192 g vs 203 g); Lower price than Asclepius Vertex On-Ear Headphones [ASC-024-05] ($145.99 vs $199.99)</t>
        </is>
      </c>
      <c r="S256" s="20" t="inlineStr">
        <is>
          <t>everyday, commute, school</t>
        </is>
      </c>
      <c r="T256" s="0" t="inlineStr">
        <is>
          <t>in_stock</t>
        </is>
      </c>
      <c r="U256" s="0" t="n">
        <v>60</v>
      </c>
      <c r="V256" s="52" t="n">
        <v>161.99</v>
      </c>
      <c r="W256" s="0" t="inlineStr">
        <is>
          <t>2026-08-28</t>
        </is>
      </c>
      <c r="X256" s="0" t="inlineStr">
        <is>
          <t>N/A</t>
        </is>
      </c>
      <c r="Y256" s="0" t="inlineStr">
        <is>
          <t>N/A</t>
        </is>
      </c>
      <c r="Z256" s="0" t="inlineStr">
        <is>
          <t>N/A</t>
        </is>
      </c>
      <c r="AA256" s="0" t="inlineStr">
        <is>
          <t>N/A</t>
        </is>
      </c>
    </row>
    <row r="257" ht="15.75" customHeight="1" s="51">
      <c r="A257" s="20" t="inlineStr">
        <is>
          <t>HES-025-05</t>
        </is>
      </c>
      <c r="B257" s="20" t="inlineStr">
        <is>
          <t>Hesperus</t>
        </is>
      </c>
      <c r="C257" s="20" t="inlineStr">
        <is>
          <t>Headphones &amp; Earbuds</t>
        </is>
      </c>
      <c r="D257" s="20" t="inlineStr">
        <is>
          <t>Earbuds</t>
        </is>
      </c>
      <c r="E257" s="21" t="inlineStr">
        <is>
          <t>Hesperus Lumen Ultra Sport Earbuds</t>
        </is>
      </c>
      <c r="F257" s="23" t="n">
        <v>188.99</v>
      </c>
      <c r="G257" s="20" t="inlineStr">
        <is>
          <t>the Lumen Ultra; Hesperus Lumen Ultra; Hseperus Lumen Ultra; Lumen Ultra earbuds</t>
        </is>
      </c>
      <c r="H257" s="20" t="inlineStr">
        <is>
          <t>1 year limited</t>
        </is>
      </c>
      <c r="I257" s="20" t="inlineStr">
        <is>
          <t>FCC, CE, Bluetooth SIG Qualified, IPX5</t>
        </is>
      </c>
      <c r="J257" s="20" t="inlineStr">
        <is>
          <t>N/A</t>
        </is>
      </c>
      <c r="K257" s="20" t="inlineStr">
        <is>
          <t>N/A</t>
        </is>
      </c>
      <c r="L257" s="20" t="inlineStr">
        <is>
          <t>N/A</t>
        </is>
      </c>
      <c r="M257" s="20" t="inlineStr">
        <is>
          <t>N/A</t>
        </is>
      </c>
      <c r="N257" s="20" t="inlineStr">
        <is>
          <t>USB-C charging case</t>
        </is>
      </c>
      <c r="O257" s="20" t="inlineStr">
        <is>
          <t>N/A</t>
        </is>
      </c>
      <c r="P257" s="20" t="n">
        <v>10</v>
      </c>
      <c r="Q257" s="24" t="n">
        <v>9</v>
      </c>
      <c r="R257" s="20" t="inlineStr">
        <is>
          <t>Longer battery than Clio Core Air Sport Earbuds [CLI-022-04] (10 vs 9 hrs); Lower price than Glaucus Zen Ultra Sport Earbuds [GLA-012-05] ($188.99 vs $190.99)</t>
        </is>
      </c>
      <c r="S257" s="20" t="inlineStr">
        <is>
          <t>gym, running, sport</t>
        </is>
      </c>
      <c r="T257" s="0" t="inlineStr">
        <is>
          <t>low_stock</t>
        </is>
      </c>
      <c r="U257" s="0" t="n">
        <v>60</v>
      </c>
      <c r="V257" s="52" t="n">
        <v>207.99</v>
      </c>
      <c r="W257" s="0" t="inlineStr">
        <is>
          <t>2026-08-12</t>
        </is>
      </c>
      <c r="X257" s="0" t="inlineStr">
        <is>
          <t>N/A</t>
        </is>
      </c>
      <c r="Y257" s="0" t="inlineStr">
        <is>
          <t>N/A</t>
        </is>
      </c>
      <c r="Z257" s="0" t="inlineStr">
        <is>
          <t>N/A</t>
        </is>
      </c>
      <c r="AA257" s="0" t="inlineStr">
        <is>
          <t>N/A</t>
        </is>
      </c>
    </row>
    <row r="258" ht="15.75" customHeight="1" s="51">
      <c r="A258" s="20" t="inlineStr">
        <is>
          <t>HES-025-06</t>
        </is>
      </c>
      <c r="B258" s="20" t="inlineStr">
        <is>
          <t>Hesperus</t>
        </is>
      </c>
      <c r="C258" s="20" t="inlineStr">
        <is>
          <t>Headphones &amp; Earbuds</t>
        </is>
      </c>
      <c r="D258" s="20" t="inlineStr">
        <is>
          <t>Headset</t>
        </is>
      </c>
      <c r="E258" s="21" t="inlineStr">
        <is>
          <t>Hesperus Aeon Plus Gaming Headset</t>
        </is>
      </c>
      <c r="F258" s="23" t="n">
        <v>241.99</v>
      </c>
      <c r="G258" s="20" t="inlineStr">
        <is>
          <t>the Aeon Plus; Hesperus Aeon Plus; Hespreus Aeon Plus; Aeon Plus headset</t>
        </is>
      </c>
      <c r="H258" s="20" t="inlineStr">
        <is>
          <t>1 year limited</t>
        </is>
      </c>
      <c r="I258" s="20" t="inlineStr">
        <is>
          <t>FCC, CE, Bluetooth SIG Qualified</t>
        </is>
      </c>
      <c r="J258" s="20" t="inlineStr">
        <is>
          <t>N/A</t>
        </is>
      </c>
      <c r="K258" s="20" t="inlineStr">
        <is>
          <t>N/A</t>
        </is>
      </c>
      <c r="L258" s="20" t="inlineStr">
        <is>
          <t>N/A</t>
        </is>
      </c>
      <c r="M258" s="20" t="inlineStr">
        <is>
          <t>N/A</t>
        </is>
      </c>
      <c r="N258" s="20" t="inlineStr">
        <is>
          <t>USB-C, 3.5mm, 2.4GHz USB dongle</t>
        </is>
      </c>
      <c r="O258" s="20" t="inlineStr">
        <is>
          <t>N/A</t>
        </is>
      </c>
      <c r="P258" s="20" t="n">
        <v>56</v>
      </c>
      <c r="Q258" s="24" t="n">
        <v>351</v>
      </c>
      <c r="R258" s="20" t="inlineStr">
        <is>
          <t>Lighter than Tartarus Onyx Ultra Gaming Headset [TAR-017-08] (351 g vs 380 g); Longer battery than Asteria Core Max Gaming Headset [AST-006-03] (56 vs 47 hrs)</t>
        </is>
      </c>
      <c r="S258" s="20" t="inlineStr">
        <is>
          <t>gaming, streaming, voice chat</t>
        </is>
      </c>
      <c r="T258" s="0" t="inlineStr">
        <is>
          <t>in_stock</t>
        </is>
      </c>
      <c r="U258" s="0" t="n">
        <v>60</v>
      </c>
      <c r="V258" s="52" t="n">
        <v>260.99</v>
      </c>
      <c r="W258" s="0" t="inlineStr">
        <is>
          <t>2026-09-15</t>
        </is>
      </c>
      <c r="X258" s="0" t="inlineStr">
        <is>
          <t>N/A</t>
        </is>
      </c>
      <c r="Y258" s="0" t="inlineStr">
        <is>
          <t>N/A</t>
        </is>
      </c>
      <c r="Z258" s="0" t="inlineStr">
        <is>
          <t>N/A</t>
        </is>
      </c>
      <c r="AA258" s="0" t="inlineStr">
        <is>
          <t>N/A</t>
        </is>
      </c>
    </row>
    <row r="259" ht="15.75" customHeight="1" s="51">
      <c r="A259" s="20" t="inlineStr">
        <is>
          <t>HES-025-07</t>
        </is>
      </c>
      <c r="B259" s="20" t="inlineStr">
        <is>
          <t>Hesperus</t>
        </is>
      </c>
      <c r="C259" s="20" t="inlineStr">
        <is>
          <t>Headphones &amp; Earbuds</t>
        </is>
      </c>
      <c r="D259" s="20" t="inlineStr">
        <is>
          <t>Earbuds</t>
        </is>
      </c>
      <c r="E259" s="21" t="inlineStr">
        <is>
          <t>Hesperus Halo Pro True Wireless Earbuds</t>
        </is>
      </c>
      <c r="F259" s="23" t="n">
        <v>270.99</v>
      </c>
      <c r="G259" s="20" t="inlineStr">
        <is>
          <t>the Halo Pro; Hesperus Halo Pro; Hesperos Halo Pro; Halo Pro earbuds</t>
        </is>
      </c>
      <c r="H259" s="20" t="inlineStr">
        <is>
          <t>1 year limited</t>
        </is>
      </c>
      <c r="I259" s="20" t="inlineStr">
        <is>
          <t>FCC, CE, Bluetooth SIG Qualified, Hi-Res Audio Wireless</t>
        </is>
      </c>
      <c r="J259" s="20" t="inlineStr">
        <is>
          <t>N/A</t>
        </is>
      </c>
      <c r="K259" s="20" t="inlineStr">
        <is>
          <t>N/A</t>
        </is>
      </c>
      <c r="L259" s="20" t="inlineStr">
        <is>
          <t>N/A</t>
        </is>
      </c>
      <c r="M259" s="20" t="inlineStr">
        <is>
          <t>N/A</t>
        </is>
      </c>
      <c r="N259" s="20" t="inlineStr">
        <is>
          <t>USB-C charging case</t>
        </is>
      </c>
      <c r="O259" s="20" t="inlineStr">
        <is>
          <t>N/A</t>
        </is>
      </c>
      <c r="P259" s="20" t="n">
        <v>5</v>
      </c>
      <c r="Q259" s="24" t="n">
        <v>6</v>
      </c>
      <c r="R259" s="20" t="inlineStr">
        <is>
          <t>Lighter than Tethys Echo Plus True Wireless Earbuds [TET-007-09] (6 g vs 7 g); Lower price than Zeus Volt Max True Wireless Earbuds [ZEU-013-09] ($270.99 vs $289.99)</t>
        </is>
      </c>
      <c r="S259" s="20" t="inlineStr">
        <is>
          <t>commute, everyday, travel</t>
        </is>
      </c>
      <c r="T259" s="0" t="inlineStr">
        <is>
          <t>in_stock</t>
        </is>
      </c>
      <c r="U259" s="0" t="n">
        <v>60</v>
      </c>
      <c r="V259" s="52" t="n">
        <v>307.99</v>
      </c>
      <c r="W259" s="0" t="inlineStr">
        <is>
          <t>2026-08-22</t>
        </is>
      </c>
      <c r="X259" s="0" t="inlineStr">
        <is>
          <t>N/A</t>
        </is>
      </c>
      <c r="Y259" s="0" t="inlineStr">
        <is>
          <t>N/A</t>
        </is>
      </c>
      <c r="Z259" s="0" t="inlineStr">
        <is>
          <t>N/A</t>
        </is>
      </c>
      <c r="AA259" s="0" t="inlineStr">
        <is>
          <t>N/A</t>
        </is>
      </c>
    </row>
    <row r="260" ht="15.75" customHeight="1" s="51">
      <c r="A260" s="20" t="inlineStr">
        <is>
          <t>HES-025-08</t>
        </is>
      </c>
      <c r="B260" s="20" t="inlineStr">
        <is>
          <t>Hesperus</t>
        </is>
      </c>
      <c r="C260" s="20" t="inlineStr">
        <is>
          <t>Headphones &amp; Earbuds</t>
        </is>
      </c>
      <c r="D260" s="20" t="inlineStr">
        <is>
          <t>Headphones</t>
        </is>
      </c>
      <c r="E260" s="21" t="inlineStr">
        <is>
          <t>Hesperus Onyx Air Studio Monitor Headphones</t>
        </is>
      </c>
      <c r="F260" s="23" t="n">
        <v>380.99</v>
      </c>
      <c r="G260" s="20" t="inlineStr">
        <is>
          <t>the Onyx Air; Hesperus Onyx Air; Hespperus Onyx Air; Onyx Air headphones</t>
        </is>
      </c>
      <c r="H260" s="20" t="inlineStr">
        <is>
          <t>1 year limited</t>
        </is>
      </c>
      <c r="I260" s="20" t="inlineStr">
        <is>
          <t>CE, RoHS, Hi-Res Audio</t>
        </is>
      </c>
      <c r="J260" s="20" t="inlineStr">
        <is>
          <t>N/A</t>
        </is>
      </c>
      <c r="K260" s="20" t="inlineStr">
        <is>
          <t>N/A</t>
        </is>
      </c>
      <c r="L260" s="20" t="inlineStr">
        <is>
          <t>N/A</t>
        </is>
      </c>
      <c r="M260" s="20" t="inlineStr">
        <is>
          <t>N/A</t>
        </is>
      </c>
      <c r="N260" s="20" t="inlineStr">
        <is>
          <t>Detachable cable: 3.5mm with 6.35mm adapter</t>
        </is>
      </c>
      <c r="O260" s="20" t="inlineStr">
        <is>
          <t>N/A</t>
        </is>
      </c>
      <c r="P260" s="20" t="inlineStr">
        <is>
          <t>N/A</t>
        </is>
      </c>
      <c r="Q260" s="24" t="n">
        <v>338</v>
      </c>
      <c r="R260" s="20" t="inlineStr">
        <is>
          <t>Lighter than Tethys Blaze Ultra Studio Monitor Headphones [TET-007-08] (338 g vs 355 g); Lower price than Glaucus Strata Ultra Studio Monitor Headphones [GLA-012-09] ($380.99 vs $478.99)</t>
        </is>
      </c>
      <c r="S260" s="20" t="inlineStr">
        <is>
          <t>music production, studio, podcasting</t>
        </is>
      </c>
      <c r="T260" s="0" t="inlineStr">
        <is>
          <t>in_stock</t>
        </is>
      </c>
      <c r="U260" s="0" t="n">
        <v>60</v>
      </c>
      <c r="V260" s="52" t="n">
        <v>422.99</v>
      </c>
      <c r="W260" s="0" t="inlineStr">
        <is>
          <t>2026-09-06</t>
        </is>
      </c>
      <c r="X260" s="0" t="inlineStr">
        <is>
          <t>N/A</t>
        </is>
      </c>
      <c r="Y260" s="0" t="inlineStr">
        <is>
          <t>N/A</t>
        </is>
      </c>
      <c r="Z260" s="0" t="inlineStr">
        <is>
          <t>N/A</t>
        </is>
      </c>
      <c r="AA260" s="0" t="inlineStr">
        <is>
          <t>N/A</t>
        </is>
      </c>
    </row>
    <row r="261" ht="15.75" customHeight="1" s="51">
      <c r="A261" s="20" t="inlineStr">
        <is>
          <t>HES-025-09</t>
        </is>
      </c>
      <c r="B261" s="20" t="inlineStr">
        <is>
          <t>Hesperus</t>
        </is>
      </c>
      <c r="C261" s="20" t="inlineStr">
        <is>
          <t>Headphones &amp; Earbuds</t>
        </is>
      </c>
      <c r="D261" s="20" t="inlineStr">
        <is>
          <t>Headphones</t>
        </is>
      </c>
      <c r="E261" s="21" t="inlineStr">
        <is>
          <t>Hesperus Volt Plus ANC Over-Ear Headphones</t>
        </is>
      </c>
      <c r="F261" s="23" t="n">
        <v>395.99</v>
      </c>
      <c r="G261" s="20" t="inlineStr">
        <is>
          <t>the Volt Plus; Hesperus Volt Plus; Hespperus Volt Plus; Volt Plus headphones</t>
        </is>
      </c>
      <c r="H261" s="20" t="inlineStr">
        <is>
          <t>1 year limited</t>
        </is>
      </c>
      <c r="I261" s="20" t="inlineStr">
        <is>
          <t>FCC, CE, Bluetooth SIG Qualified, Hi-Res Audio Wireless</t>
        </is>
      </c>
      <c r="J261" s="20" t="inlineStr">
        <is>
          <t>N/A</t>
        </is>
      </c>
      <c r="K261" s="20" t="inlineStr">
        <is>
          <t>N/A</t>
        </is>
      </c>
      <c r="L261" s="20" t="inlineStr">
        <is>
          <t>N/A</t>
        </is>
      </c>
      <c r="M261" s="20" t="inlineStr">
        <is>
          <t>N/A</t>
        </is>
      </c>
      <c r="N261" s="20" t="inlineStr">
        <is>
          <t>USB-C charging and audio, 3.5mm</t>
        </is>
      </c>
      <c r="O261" s="20" t="inlineStr">
        <is>
          <t>N/A</t>
        </is>
      </c>
      <c r="P261" s="20" t="n">
        <v>21</v>
      </c>
      <c r="Q261" s="24" t="n">
        <v>275</v>
      </c>
      <c r="R261" s="20" t="inlineStr">
        <is>
          <t>Lower price than Clio Spark Ultra ANC Over-Ear Headphones [CLI-022-10] ($395.99 vs $424.99); Lighter than Achelous Spark Air ANC Over-Ear Headphones [ACH-018-08] (275 g vs 298 g)</t>
        </is>
      </c>
      <c r="S261" s="20" t="inlineStr">
        <is>
          <t>travel, commute, office</t>
        </is>
      </c>
      <c r="T261" s="0" t="inlineStr">
        <is>
          <t>in_stock</t>
        </is>
      </c>
      <c r="U261" s="0" t="n">
        <v>60</v>
      </c>
      <c r="V261" s="52" t="n">
        <v>431.99</v>
      </c>
      <c r="W261" s="0" t="inlineStr">
        <is>
          <t>2026-08-16</t>
        </is>
      </c>
      <c r="X261" s="0" t="inlineStr">
        <is>
          <t>N/A</t>
        </is>
      </c>
      <c r="Y261" s="0" t="inlineStr">
        <is>
          <t>N/A</t>
        </is>
      </c>
      <c r="Z261" s="0" t="inlineStr">
        <is>
          <t>N/A</t>
        </is>
      </c>
      <c r="AA261" s="0" t="inlineStr">
        <is>
          <t>N/A</t>
        </is>
      </c>
    </row>
    <row r="262" ht="15.75" customHeight="1" s="51">
      <c r="A262" s="20" t="inlineStr">
        <is>
          <t>HES-025-10</t>
        </is>
      </c>
      <c r="B262" s="20" t="inlineStr">
        <is>
          <t>Hesperus</t>
        </is>
      </c>
      <c r="C262" s="20" t="inlineStr">
        <is>
          <t>Headphones &amp; Earbuds</t>
        </is>
      </c>
      <c r="D262" s="20" t="inlineStr">
        <is>
          <t>Headphones</t>
        </is>
      </c>
      <c r="E262" s="21" t="inlineStr">
        <is>
          <t>Hesperus Aria Audiophile Planar Headphones</t>
        </is>
      </c>
      <c r="F262" s="23" t="n">
        <v>845.99</v>
      </c>
      <c r="G262" s="20" t="inlineStr">
        <is>
          <t>the Aria; Hesperus Aria; Hseperus Aria; Aria headphones</t>
        </is>
      </c>
      <c r="H262" s="20" t="inlineStr">
        <is>
          <t>1 year limited</t>
        </is>
      </c>
      <c r="I262" s="20" t="inlineStr">
        <is>
          <t>CE, RoHS, Hi-Res Audio</t>
        </is>
      </c>
      <c r="J262" s="20" t="inlineStr">
        <is>
          <t>N/A</t>
        </is>
      </c>
      <c r="K262" s="20" t="inlineStr">
        <is>
          <t>N/A</t>
        </is>
      </c>
      <c r="L262" s="20" t="inlineStr">
        <is>
          <t>N/A</t>
        </is>
      </c>
      <c r="M262" s="20" t="inlineStr">
        <is>
          <t>N/A</t>
        </is>
      </c>
      <c r="N262" s="20" t="inlineStr">
        <is>
          <t>Detachable cable: 3.5mm, 6.35mm and 4.4mm balanced</t>
        </is>
      </c>
      <c r="O262" s="20" t="inlineStr">
        <is>
          <t>N/A</t>
        </is>
      </c>
      <c r="P262" s="20" t="inlineStr">
        <is>
          <t>N/A</t>
        </is>
      </c>
      <c r="Q262" s="24" t="n">
        <v>390</v>
      </c>
      <c r="R262" s="20" t="inlineStr">
        <is>
          <t>Lighter than Deimos Orbit Plus Audiophile Planar Headphones [DEI-005-10] (390 g vs 460 g); Lower price than Tartarus Pulse Ultra Audiophile Planar Headphones [TAR-017-10] ($845.99 vs $986.99)</t>
        </is>
      </c>
      <c r="S262" s="20" t="inlineStr">
        <is>
          <t>audiophile, home listening, studio</t>
        </is>
      </c>
      <c r="T262" s="0" t="inlineStr">
        <is>
          <t>low_stock</t>
        </is>
      </c>
      <c r="U262" s="0" t="n">
        <v>60</v>
      </c>
      <c r="V262" s="52" t="n">
        <v>921.99</v>
      </c>
      <c r="W262" s="0" t="inlineStr">
        <is>
          <t>2026-08-17</t>
        </is>
      </c>
      <c r="X262" s="0" t="inlineStr">
        <is>
          <t>N/A</t>
        </is>
      </c>
      <c r="Y262" s="0" t="inlineStr">
        <is>
          <t>N/A</t>
        </is>
      </c>
      <c r="Z262" s="0" t="inlineStr">
        <is>
          <t>N/A</t>
        </is>
      </c>
      <c r="AA262" s="0" t="inlineStr">
        <is>
          <t>N/A</t>
        </is>
      </c>
    </row>
    <row r="263" ht="15.75" customHeight="1" s="51">
      <c r="A263" s="38" t="inlineStr">
        <is>
          <t>MEL-026-01</t>
        </is>
      </c>
      <c r="B263" s="38" t="inlineStr">
        <is>
          <t>Melpomene</t>
        </is>
      </c>
      <c r="C263" s="38" t="inlineStr">
        <is>
          <t>Laptops</t>
        </is>
      </c>
      <c r="D263" s="38" t="inlineStr">
        <is>
          <t>Laptop</t>
        </is>
      </c>
      <c r="E263" s="39" t="inlineStr">
        <is>
          <t>Melpomene Strata Lite Chromebook</t>
        </is>
      </c>
      <c r="F263" s="40" t="n">
        <v>407.99</v>
      </c>
      <c r="G263" s="38" t="inlineStr">
        <is>
          <t>the Strata Lite; Melpomene Strata Lite; Mellpomene Strata Lite; Strata Lite laptop</t>
        </is>
      </c>
      <c r="H263" s="38" t="inlineStr">
        <is>
          <t>1 year limited</t>
        </is>
      </c>
      <c r="I263" s="38" t="inlineStr">
        <is>
          <t>FCC, CE, UL 62368-1, EPEAT Silver</t>
        </is>
      </c>
      <c r="J263" s="38" t="inlineStr">
        <is>
          <t>MediaTek Kompanio 520</t>
        </is>
      </c>
      <c r="K263" s="38" t="inlineStr">
        <is>
          <t>Arm Mali-G52 MC2</t>
        </is>
      </c>
      <c r="L263" s="38" t="inlineStr">
        <is>
          <t>IPS, 60Hz</t>
        </is>
      </c>
      <c r="M263" s="38" t="inlineStr">
        <is>
          <t>1366x768</t>
        </is>
      </c>
      <c r="N263" s="38" t="inlineStr">
        <is>
          <t>2x USB-C 3.2, 1x USB-A 3.2, HDMI 1.4, 3.5mm audio</t>
        </is>
      </c>
      <c r="O263" s="38" t="inlineStr">
        <is>
          <t>ChromeOS</t>
        </is>
      </c>
      <c r="P263" s="38" t="n">
        <v>12</v>
      </c>
      <c r="Q263" s="41" t="n">
        <v>1306</v>
      </c>
      <c r="R263" s="38" t="inlineStr">
        <is>
          <t>Lighter than Aristaeus Vertex X Chromebook [ARI-027-01] (1,306 g vs 1,367 g); Longer battery than Chronos Nimbus Plus Chromebook [CHR-050-01] (12 vs 9 hrs)</t>
        </is>
      </c>
      <c r="S263" s="38" t="inlineStr">
        <is>
          <t>school, kids, budget</t>
        </is>
      </c>
      <c r="T263" s="0" t="inlineStr">
        <is>
          <t>in_stock</t>
        </is>
      </c>
      <c r="U263" s="0" t="n">
        <v>15</v>
      </c>
      <c r="V263" s="52" t="n">
        <v>422.99</v>
      </c>
      <c r="W263" s="0" t="inlineStr">
        <is>
          <t>2026-08-12</t>
        </is>
      </c>
      <c r="X263" s="0" t="n">
        <v>8</v>
      </c>
      <c r="Y263" s="0" t="n">
        <v>128</v>
      </c>
      <c r="Z263" s="0" t="n">
        <v>14</v>
      </c>
      <c r="AA263" s="0" t="inlineStr">
        <is>
          <t>Yes</t>
        </is>
      </c>
    </row>
    <row r="264" ht="15.75" customHeight="1" s="51">
      <c r="A264" s="38" t="inlineStr">
        <is>
          <t>MEL-026-02</t>
        </is>
      </c>
      <c r="B264" s="38" t="inlineStr">
        <is>
          <t>Melpomene</t>
        </is>
      </c>
      <c r="C264" s="38" t="inlineStr">
        <is>
          <t>Laptops</t>
        </is>
      </c>
      <c r="D264" s="38" t="inlineStr">
        <is>
          <t>Laptop</t>
        </is>
      </c>
      <c r="E264" s="39" t="inlineStr">
        <is>
          <t>Melpomene Flux Air 15" Budget Laptop</t>
        </is>
      </c>
      <c r="F264" s="40" t="n">
        <v>473.99</v>
      </c>
      <c r="G264" s="38" t="inlineStr">
        <is>
          <t>the Flux Air; Melpomene Flux Air; Meelpomene Flux Air; Flux Air laptop</t>
        </is>
      </c>
      <c r="H264" s="38" t="inlineStr">
        <is>
          <t>1 year limited</t>
        </is>
      </c>
      <c r="I264" s="38" t="inlineStr">
        <is>
          <t>FCC, CE, UL 62368-1, Energy Star, EPEAT Bronze</t>
        </is>
      </c>
      <c r="J264" s="38" t="inlineStr">
        <is>
          <t>AMD Ryzen 5 8640HS</t>
        </is>
      </c>
      <c r="K264" s="38" t="inlineStr">
        <is>
          <t>AMD Radeon 760M</t>
        </is>
      </c>
      <c r="L264" s="38" t="inlineStr">
        <is>
          <t>IPS, 60Hz</t>
        </is>
      </c>
      <c r="M264" s="38" t="inlineStr">
        <is>
          <t>1920x1080</t>
        </is>
      </c>
      <c r="N264" s="38" t="inlineStr">
        <is>
          <t>2x USB4 (USB-C), 2x USB-A 3.2, HDMI 2.1, SD card, 3.5mm audio</t>
        </is>
      </c>
      <c r="O264" s="38" t="inlineStr">
        <is>
          <t>Windows 11 Home</t>
        </is>
      </c>
      <c r="P264" s="38" t="n">
        <v>7</v>
      </c>
      <c r="Q264" s="41" t="n">
        <v>1706</v>
      </c>
      <c r="R264" s="38" t="inlineStr">
        <is>
          <t>Lighter than Polyhymnia Aeon 15" Budget Laptop [POL-041-01] (1,706 g vs 1,758 g); Longer battery than Terpsichore Vertex 15" Budget Laptop [TER-039-01] (7 vs 6 hrs)</t>
        </is>
      </c>
      <c r="S264" s="38" t="inlineStr">
        <is>
          <t>budget, everyday, school</t>
        </is>
      </c>
      <c r="T264" s="0" t="inlineStr">
        <is>
          <t>in_stock</t>
        </is>
      </c>
      <c r="U264" s="0" t="n">
        <v>15</v>
      </c>
      <c r="V264" s="52" t="n">
        <v>534.99</v>
      </c>
      <c r="W264" s="0" t="inlineStr">
        <is>
          <t>2026-09-04</t>
        </is>
      </c>
      <c r="X264" s="0" t="n">
        <v>8</v>
      </c>
      <c r="Y264" s="0" t="n">
        <v>256</v>
      </c>
      <c r="Z264" s="0" t="n">
        <v>15.6</v>
      </c>
      <c r="AA264" s="0" t="inlineStr">
        <is>
          <t>No</t>
        </is>
      </c>
    </row>
    <row r="265" ht="15.75" customHeight="1" s="51">
      <c r="A265" s="38" t="inlineStr">
        <is>
          <t>MEL-026-03</t>
        </is>
      </c>
      <c r="B265" s="38" t="inlineStr">
        <is>
          <t>Melpomene</t>
        </is>
      </c>
      <c r="C265" s="38" t="inlineStr">
        <is>
          <t>Laptops</t>
        </is>
      </c>
      <c r="D265" s="38" t="inlineStr">
        <is>
          <t>Laptop</t>
        </is>
      </c>
      <c r="E265" s="39" t="inlineStr">
        <is>
          <t>Melpomene Spark Max 14" Business Laptop</t>
        </is>
      </c>
      <c r="F265" s="40" t="n">
        <v>901.99</v>
      </c>
      <c r="G265" s="38" t="inlineStr">
        <is>
          <t>the Spark Max; Melpomene Spark Max; Melopmene Spark Max; Spark Max laptop</t>
        </is>
      </c>
      <c r="H265" s="38" t="inlineStr">
        <is>
          <t>3 year limited, on-site service</t>
        </is>
      </c>
      <c r="I265" s="38" t="inlineStr">
        <is>
          <t>FCC, CE, UL 62368-1, Energy Star, EPEAT Bronze, TCO Certified, MIL-STD-810H</t>
        </is>
      </c>
      <c r="J265" s="38" t="inlineStr">
        <is>
          <t>Intel Core Ultra 5 125U</t>
        </is>
      </c>
      <c r="K265" s="38" t="inlineStr">
        <is>
          <t>Intel Graphics</t>
        </is>
      </c>
      <c r="L265" s="38" t="inlineStr">
        <is>
          <t>IPS anti-glare, 60Hz</t>
        </is>
      </c>
      <c r="M265" s="38" t="inlineStr">
        <is>
          <t>1920x1200</t>
        </is>
      </c>
      <c r="N265" s="38" t="inlineStr">
        <is>
          <t>2x Thunderbolt 4 (USB-C), 1x USB-A 3.2, HDMI 2.1, microSD, 3.5mm audio</t>
        </is>
      </c>
      <c r="O265" s="38" t="inlineStr">
        <is>
          <t>Windows 11 Pro</t>
        </is>
      </c>
      <c r="P265" s="38" t="n">
        <v>18</v>
      </c>
      <c r="Q265" s="41" t="n">
        <v>1393</v>
      </c>
      <c r="R265" s="38" t="inlineStr">
        <is>
          <t>Lower price than Terpsichore Blaze Lite 14" Business Laptop [TER-039-05] ($901.99 vs $1,467.99); Longer battery than Chronos Aeon Pro 14" Business Laptop [CHR-050-06] (18 vs 15 hrs)</t>
        </is>
      </c>
      <c r="S265" s="38" t="inlineStr">
        <is>
          <t>work, travel, remote meetings</t>
        </is>
      </c>
      <c r="T265" s="0" t="inlineStr">
        <is>
          <t>in_stock</t>
        </is>
      </c>
      <c r="U265" s="0" t="n">
        <v>15</v>
      </c>
      <c r="V265" s="52" t="n">
        <v>1000.99</v>
      </c>
      <c r="W265" s="0" t="inlineStr">
        <is>
          <t>2026-09-20</t>
        </is>
      </c>
      <c r="X265" s="0" t="n">
        <v>16</v>
      </c>
      <c r="Y265" s="0" t="n">
        <v>512</v>
      </c>
      <c r="Z265" s="0" t="n">
        <v>14</v>
      </c>
      <c r="AA265" s="0" t="inlineStr">
        <is>
          <t>No</t>
        </is>
      </c>
    </row>
    <row r="266" ht="15.75" customHeight="1" s="51">
      <c r="A266" s="38" t="inlineStr">
        <is>
          <t>MEL-026-04</t>
        </is>
      </c>
      <c r="B266" s="38" t="inlineStr">
        <is>
          <t>Melpomene</t>
        </is>
      </c>
      <c r="C266" s="38" t="inlineStr">
        <is>
          <t>Laptops</t>
        </is>
      </c>
      <c r="D266" s="38" t="inlineStr">
        <is>
          <t>Laptop</t>
        </is>
      </c>
      <c r="E266" s="39" t="inlineStr">
        <is>
          <t>Melpomene Nimbus Plus 2-in-1 Convertible</t>
        </is>
      </c>
      <c r="F266" s="40" t="n">
        <v>1690.99</v>
      </c>
      <c r="G266" s="38" t="inlineStr">
        <is>
          <t>the Nimbus Plus; Melpomene Nimbus Plus; Melpomenne Nimbus Plus; Nimbus Plus laptop</t>
        </is>
      </c>
      <c r="H266" s="38" t="inlineStr">
        <is>
          <t>2 year limited</t>
        </is>
      </c>
      <c r="I266" s="38" t="inlineStr">
        <is>
          <t>FCC, CE, UL 62368-1, Energy Star, EPEAT Silver</t>
        </is>
      </c>
      <c r="J266" s="38" t="inlineStr">
        <is>
          <t>AMD Ryzen 7 8845HS</t>
        </is>
      </c>
      <c r="K266" s="38" t="inlineStr">
        <is>
          <t>AMD Radeon 780M</t>
        </is>
      </c>
      <c r="L266" s="38" t="inlineStr">
        <is>
          <t>OLED touch, 60Hz</t>
        </is>
      </c>
      <c r="M266" s="38" t="inlineStr">
        <is>
          <t>2880x1800</t>
        </is>
      </c>
      <c r="N266" s="38" t="inlineStr">
        <is>
          <t>2x USB4 (USB-C), 2x USB-A 3.2, HDMI 2.1, SD card, 3.5mm audio</t>
        </is>
      </c>
      <c r="O266" s="38" t="inlineStr">
        <is>
          <t>Windows 11 Home</t>
        </is>
      </c>
      <c r="P266" s="38" t="n">
        <v>13</v>
      </c>
      <c r="Q266" s="41" t="n">
        <v>1341</v>
      </c>
      <c r="R266" s="38" t="inlineStr">
        <is>
          <t>Longer battery than Terpsichore Strata Max 2-in-1 Convertible [TER-039-04] (13 vs 11 hrs); Lighter than Auxo Vertex X 2-in-1 Convertible [AUX-038-05] (1,341 g vs 1,407 g)</t>
        </is>
      </c>
      <c r="S266" s="38" t="inlineStr">
        <is>
          <t>school, note-taking, travel</t>
        </is>
      </c>
      <c r="T266" s="0" t="inlineStr">
        <is>
          <t>in_stock</t>
        </is>
      </c>
      <c r="U266" s="0" t="n">
        <v>15</v>
      </c>
      <c r="V266" s="52" t="n">
        <v>1894.99</v>
      </c>
      <c r="W266" s="0" t="inlineStr">
        <is>
          <t>2026-09-11</t>
        </is>
      </c>
      <c r="X266" s="0" t="n">
        <v>16</v>
      </c>
      <c r="Y266" s="0" t="n">
        <v>1024</v>
      </c>
      <c r="Z266" s="0" t="n">
        <v>14</v>
      </c>
      <c r="AA266" s="0" t="inlineStr">
        <is>
          <t>Yes</t>
        </is>
      </c>
    </row>
    <row r="267" ht="15.75" customHeight="1" s="51">
      <c r="A267" s="38" t="inlineStr">
        <is>
          <t>MEL-026-05</t>
        </is>
      </c>
      <c r="B267" s="38" t="inlineStr">
        <is>
          <t>Melpomene</t>
        </is>
      </c>
      <c r="C267" s="38" t="inlineStr">
        <is>
          <t>Laptops</t>
        </is>
      </c>
      <c r="D267" s="38" t="inlineStr">
        <is>
          <t>Laptop</t>
        </is>
      </c>
      <c r="E267" s="39" t="inlineStr">
        <is>
          <t>Melpomene Pulse Lite 13" Ultrabook</t>
        </is>
      </c>
      <c r="F267" s="40" t="n">
        <v>1733.99</v>
      </c>
      <c r="G267" s="38" t="inlineStr">
        <is>
          <t>the Pulse Lite; Melpomene Pulse Lite; Melpomenne Pulse Lite; Pulse Lite laptop</t>
        </is>
      </c>
      <c r="H267" s="38" t="inlineStr">
        <is>
          <t>2 year limited</t>
        </is>
      </c>
      <c r="I267" s="38" t="inlineStr">
        <is>
          <t>FCC, CE, UL 62368-1, EPEAT Bronze</t>
        </is>
      </c>
      <c r="J267" s="38" t="inlineStr">
        <is>
          <t>AMD Ryzen 7 8845HS</t>
        </is>
      </c>
      <c r="K267" s="38" t="inlineStr">
        <is>
          <t>AMD Radeon 780M</t>
        </is>
      </c>
      <c r="L267" s="38" t="inlineStr">
        <is>
          <t>OLED, 90Hz</t>
        </is>
      </c>
      <c r="M267" s="38" t="inlineStr">
        <is>
          <t>2880x1800</t>
        </is>
      </c>
      <c r="N267" s="38" t="inlineStr">
        <is>
          <t>2x USB4 (USB-C), 2x USB-A 3.2, HDMI 2.1, SD card, 3.5mm audio</t>
        </is>
      </c>
      <c r="O267" s="38" t="inlineStr">
        <is>
          <t>Windows 11 Home</t>
        </is>
      </c>
      <c r="P267" s="38" t="n">
        <v>13</v>
      </c>
      <c r="Q267" s="41" t="n">
        <v>1193</v>
      </c>
      <c r="R267" s="38" t="inlineStr">
        <is>
          <t>Lighter than Polyhymnia Volt Plus 13" Ultrabook [POL-041-04] (1,193 g vs 1,237 g); Lower price than Homonoia Lumen 13" Ultrabook [HOM-033-04] ($1,733.99 vs $1,849.99)</t>
        </is>
      </c>
      <c r="S267" s="38" t="inlineStr">
        <is>
          <t>travel, school, work</t>
        </is>
      </c>
      <c r="T267" s="0" t="inlineStr">
        <is>
          <t>in_stock</t>
        </is>
      </c>
      <c r="U267" s="0" t="n">
        <v>15</v>
      </c>
      <c r="V267" s="52" t="n">
        <v>1989.99</v>
      </c>
      <c r="W267" s="0" t="inlineStr">
        <is>
          <t>2026-08-22</t>
        </is>
      </c>
      <c r="X267" s="0" t="n">
        <v>16</v>
      </c>
      <c r="Y267" s="0" t="n">
        <v>1024</v>
      </c>
      <c r="Z267" s="0" t="n">
        <v>13.3</v>
      </c>
      <c r="AA267" s="0" t="inlineStr">
        <is>
          <t>No</t>
        </is>
      </c>
    </row>
    <row r="268" ht="15.75" customHeight="1" s="51">
      <c r="A268" s="38" t="inlineStr">
        <is>
          <t>MEL-026-06</t>
        </is>
      </c>
      <c r="B268" s="38" t="inlineStr">
        <is>
          <t>Melpomene</t>
        </is>
      </c>
      <c r="C268" s="38" t="inlineStr">
        <is>
          <t>Laptops</t>
        </is>
      </c>
      <c r="D268" s="38" t="inlineStr">
        <is>
          <t>Laptop</t>
        </is>
      </c>
      <c r="E268" s="39" t="inlineStr">
        <is>
          <t>Melpomene Spark 16" Creator Laptop</t>
        </is>
      </c>
      <c r="F268" s="40" t="n">
        <v>2021.99</v>
      </c>
      <c r="G268" s="38" t="inlineStr">
        <is>
          <t>the Spark; Melpomene Spark; Meplomene Spark; Spark laptop</t>
        </is>
      </c>
      <c r="H268" s="38" t="inlineStr">
        <is>
          <t>1 year limited</t>
        </is>
      </c>
      <c r="I268" s="38" t="inlineStr">
        <is>
          <t>FCC, CE, UL 62368-1, EPEAT Bronze</t>
        </is>
      </c>
      <c r="J268" s="38" t="inlineStr">
        <is>
          <t>AMD Ryzen 9 7945HX</t>
        </is>
      </c>
      <c r="K268" s="38" t="inlineStr">
        <is>
          <t>NVIDIA GeForce RTX 4060 8GB Laptop GPU</t>
        </is>
      </c>
      <c r="L268" s="38" t="inlineStr">
        <is>
          <t>OLED, 120Hz</t>
        </is>
      </c>
      <c r="M268" s="38" t="inlineStr">
        <is>
          <t>3200x2000</t>
        </is>
      </c>
      <c r="N268" s="38" t="inlineStr">
        <is>
          <t>2x USB-C 3.2, 1x USB-A 3.2, HDMI 1.4, 3.5mm audio</t>
        </is>
      </c>
      <c r="O268" s="38" t="inlineStr">
        <is>
          <t>Windows 11 Home</t>
        </is>
      </c>
      <c r="P268" s="38" t="n">
        <v>8</v>
      </c>
      <c r="Q268" s="41" t="n">
        <v>2245</v>
      </c>
      <c r="R268" s="38" t="inlineStr">
        <is>
          <t>Lower price than Atropos Apex 16" Creator Laptop [ATR-035-09] ($2,021.99 vs $2,748.99); Longer battery than Boreas Echo Ultra 16" Creator Laptop [BOR-044-06] (8 vs 6 hrs)</t>
        </is>
      </c>
      <c r="S268" s="38" t="inlineStr">
        <is>
          <t>video editing, photo editing, content creation</t>
        </is>
      </c>
      <c r="T268" s="0" t="inlineStr">
        <is>
          <t>in_stock</t>
        </is>
      </c>
      <c r="U268" s="0" t="n">
        <v>15</v>
      </c>
      <c r="V268" s="52" t="n">
        <v>2204.99</v>
      </c>
      <c r="W268" s="0" t="inlineStr">
        <is>
          <t>2026-09-11</t>
        </is>
      </c>
      <c r="X268" s="0" t="n">
        <v>32</v>
      </c>
      <c r="Y268" s="0" t="n">
        <v>2048</v>
      </c>
      <c r="Z268" s="0" t="n">
        <v>16</v>
      </c>
      <c r="AA268" s="0" t="inlineStr">
        <is>
          <t>No</t>
        </is>
      </c>
    </row>
    <row r="269" ht="15.75" customHeight="1" s="51">
      <c r="A269" s="38" t="inlineStr">
        <is>
          <t>MEL-026-07</t>
        </is>
      </c>
      <c r="B269" s="38" t="inlineStr">
        <is>
          <t>Melpomene</t>
        </is>
      </c>
      <c r="C269" s="38" t="inlineStr">
        <is>
          <t>Laptops</t>
        </is>
      </c>
      <c r="D269" s="38" t="inlineStr">
        <is>
          <t>Laptop</t>
        </is>
      </c>
      <c r="E269" s="39" t="inlineStr">
        <is>
          <t>Melpomene Orbit X Mobile Workstation</t>
        </is>
      </c>
      <c r="F269" s="40" t="n">
        <v>2315.99</v>
      </c>
      <c r="G269" s="38" t="inlineStr">
        <is>
          <t>the Orbit X; Melpomene Orbit X; Melopmene Orbit X; Orbit X laptop</t>
        </is>
      </c>
      <c r="H269" s="38" t="inlineStr">
        <is>
          <t>3 year limited, on-site service</t>
        </is>
      </c>
      <c r="I269" s="38" t="inlineStr">
        <is>
          <t>FCC, CE, UL 62368-1, Energy Star, EPEAT Silver, TCO Certified, MIL-STD-810H</t>
        </is>
      </c>
      <c r="J269" s="38" t="inlineStr">
        <is>
          <t>AMD Ryzen 7 8845HS</t>
        </is>
      </c>
      <c r="K269" s="38" t="inlineStr">
        <is>
          <t>NVIDIA RTX 2000 Ada 8GB Laptop GPU</t>
        </is>
      </c>
      <c r="L269" s="38" t="inlineStr">
        <is>
          <t>IPS, 60Hz</t>
        </is>
      </c>
      <c r="M269" s="38" t="inlineStr">
        <is>
          <t>1920x1200</t>
        </is>
      </c>
      <c r="N269" s="38" t="inlineStr">
        <is>
          <t>2x USB-C 3.2, 1x USB-A 3.2, HDMI 1.4, 3.5mm audio</t>
        </is>
      </c>
      <c r="O269" s="38" t="inlineStr">
        <is>
          <t>Windows 11 Pro</t>
        </is>
      </c>
      <c r="P269" s="38" t="n">
        <v>9</v>
      </c>
      <c r="Q269" s="41" t="n">
        <v>2291</v>
      </c>
      <c r="R269" s="38" t="inlineStr">
        <is>
          <t>Lighter than Persephone Vibe Mobile Workstation [PER-036-08] (2,291 g vs 2,692 g); Longer battery than Chronos Blaze Lite Mobile Workstation [CHR-050-04] (9 vs 7 hrs)</t>
        </is>
      </c>
      <c r="S269" s="38" t="inlineStr">
        <is>
          <t>engineering, 3D rendering, data science</t>
        </is>
      </c>
      <c r="T269" s="0" t="inlineStr">
        <is>
          <t>in_stock</t>
        </is>
      </c>
      <c r="U269" s="0" t="n">
        <v>15</v>
      </c>
      <c r="V269" s="52" t="n">
        <v>2447.99</v>
      </c>
      <c r="W269" s="0" t="inlineStr">
        <is>
          <t>2026-08-25</t>
        </is>
      </c>
      <c r="X269" s="0" t="n">
        <v>32</v>
      </c>
      <c r="Y269" s="0" t="n">
        <v>2048</v>
      </c>
      <c r="Z269" s="0" t="n">
        <v>16</v>
      </c>
      <c r="AA269" s="0" t="inlineStr">
        <is>
          <t>No</t>
        </is>
      </c>
    </row>
    <row r="270" ht="15.75" customHeight="1" s="51">
      <c r="A270" s="38" t="inlineStr">
        <is>
          <t>MEL-026-08</t>
        </is>
      </c>
      <c r="B270" s="38" t="inlineStr">
        <is>
          <t>Melpomene</t>
        </is>
      </c>
      <c r="C270" s="38" t="inlineStr">
        <is>
          <t>Laptops</t>
        </is>
      </c>
      <c r="D270" s="38" t="inlineStr">
        <is>
          <t>Laptop</t>
        </is>
      </c>
      <c r="E270" s="39" t="inlineStr">
        <is>
          <t>Melpomene Nova Plus Dual-Screen Laptop</t>
        </is>
      </c>
      <c r="F270" s="40" t="n">
        <v>2528.99</v>
      </c>
      <c r="G270" s="38" t="inlineStr">
        <is>
          <t>the Nova Plus; Melpomene Nova Plus; Melpoemne Nova Plus; Nova Plus laptop</t>
        </is>
      </c>
      <c r="H270" s="38" t="inlineStr">
        <is>
          <t>2 year limited</t>
        </is>
      </c>
      <c r="I270" s="38" t="inlineStr">
        <is>
          <t>FCC, CE, UL 62368-1, EPEAT Gold</t>
        </is>
      </c>
      <c r="J270" s="38" t="inlineStr">
        <is>
          <t>AMD Ryzen 7 8845HS</t>
        </is>
      </c>
      <c r="K270" s="38" t="inlineStr">
        <is>
          <t>AMD Radeon 780M</t>
        </is>
      </c>
      <c r="L270" s="38" t="inlineStr">
        <is>
          <t>Dual OLED touch, 120Hz</t>
        </is>
      </c>
      <c r="M270" s="38" t="inlineStr">
        <is>
          <t>2x 2880x1800</t>
        </is>
      </c>
      <c r="N270" s="38" t="inlineStr">
        <is>
          <t>2x USB4 (USB-C), 2x USB-A 3.2, HDMI 2.1, SD card, 3.5mm audio</t>
        </is>
      </c>
      <c r="O270" s="38" t="inlineStr">
        <is>
          <t>Windows 11 Home</t>
        </is>
      </c>
      <c r="P270" s="38" t="n">
        <v>8</v>
      </c>
      <c r="Q270" s="41" t="n">
        <v>1818</v>
      </c>
      <c r="R270" s="38" t="inlineStr">
        <is>
          <t>Longer battery than Rhea Drift SE Dual-Screen Laptop [RHE-047-06] (8 vs 7 hrs); Lower price than Auxo Arc Air Dual-Screen Laptop [AUX-038-09] ($2,528.99 vs $2,639.99)</t>
        </is>
      </c>
      <c r="S270" s="38" t="inlineStr">
        <is>
          <t>multitasking, productivity, content creation</t>
        </is>
      </c>
      <c r="T270" s="0" t="inlineStr">
        <is>
          <t>in_stock</t>
        </is>
      </c>
      <c r="U270" s="0" t="n">
        <v>15</v>
      </c>
      <c r="V270" s="52" t="n">
        <v>2898.99</v>
      </c>
      <c r="W270" s="0" t="inlineStr">
        <is>
          <t>2026-08-19</t>
        </is>
      </c>
      <c r="X270" s="0" t="n">
        <v>32</v>
      </c>
      <c r="Y270" s="0" t="n">
        <v>2048</v>
      </c>
      <c r="Z270" s="0" t="n">
        <v>14</v>
      </c>
      <c r="AA270" s="0" t="inlineStr">
        <is>
          <t>Yes</t>
        </is>
      </c>
    </row>
    <row r="271" ht="15.75" customHeight="1" s="51">
      <c r="A271" s="38" t="inlineStr">
        <is>
          <t>MEL-026-09</t>
        </is>
      </c>
      <c r="B271" s="38" t="inlineStr">
        <is>
          <t>Melpomene</t>
        </is>
      </c>
      <c r="C271" s="38" t="inlineStr">
        <is>
          <t>Laptops</t>
        </is>
      </c>
      <c r="D271" s="38" t="inlineStr">
        <is>
          <t>Laptop</t>
        </is>
      </c>
      <c r="E271" s="39" t="inlineStr">
        <is>
          <t>Melpomene Crest SE Rugged Laptop</t>
        </is>
      </c>
      <c r="F271" s="40" t="n">
        <v>2684.99</v>
      </c>
      <c r="G271" s="38" t="inlineStr">
        <is>
          <t>the Crest SE; Melpomene Crest SE; Melppomene Crest SE; Crest SE laptop</t>
        </is>
      </c>
      <c r="H271" s="38" t="inlineStr">
        <is>
          <t>3 year limited, accidental damage</t>
        </is>
      </c>
      <c r="I271" s="38" t="inlineStr">
        <is>
          <t>FCC, CE, UL 62368-1, Energy Star, EPEAT Gold, MIL-STD-810H, IP65</t>
        </is>
      </c>
      <c r="J271" s="38" t="inlineStr">
        <is>
          <t>Qualcomm Snapdragon X Elite X1E-78-100</t>
        </is>
      </c>
      <c r="K271" s="38" t="inlineStr">
        <is>
          <t>Qualcomm Adreno X1-85</t>
        </is>
      </c>
      <c r="L271" s="38" t="inlineStr">
        <is>
          <t>IPS sunlight-readable 1000 nits, touch</t>
        </is>
      </c>
      <c r="M271" s="38" t="inlineStr">
        <is>
          <t>1920x1080</t>
        </is>
      </c>
      <c r="N271" s="38" t="inlineStr">
        <is>
          <t>2x USB4 (USB-C), 1x USB-A 3.2, 3.5mm audio, RJ-45 Ethernet, serial (RS-232), smart card reader</t>
        </is>
      </c>
      <c r="O271" s="38" t="inlineStr">
        <is>
          <t>Windows 11 Pro</t>
        </is>
      </c>
      <c r="P271" s="38" t="n">
        <v>9</v>
      </c>
      <c r="Q271" s="41" t="n">
        <v>2494</v>
      </c>
      <c r="R271" s="38" t="inlineStr">
        <is>
          <t>Lighter than Selene Drift X Rugged Laptop [SEL-034-10] (2,494 g vs 2,960 g); Lower price than Boreas Strata Rugged Laptop [BOR-044-10] ($2,684.99 vs $3,411.99)</t>
        </is>
      </c>
      <c r="S271" s="38" t="inlineStr">
        <is>
          <t>fieldwork, outdoor, industrial</t>
        </is>
      </c>
      <c r="T271" s="0" t="inlineStr">
        <is>
          <t>in_stock</t>
        </is>
      </c>
      <c r="U271" s="0" t="n">
        <v>15</v>
      </c>
      <c r="V271" s="52" t="n">
        <v>2774.99</v>
      </c>
      <c r="W271" s="0" t="inlineStr">
        <is>
          <t>2026-09-13</t>
        </is>
      </c>
      <c r="X271" s="0" t="n">
        <v>32</v>
      </c>
      <c r="Y271" s="0" t="n">
        <v>2048</v>
      </c>
      <c r="Z271" s="0" t="n">
        <v>16</v>
      </c>
      <c r="AA271" s="0" t="inlineStr">
        <is>
          <t>Yes</t>
        </is>
      </c>
    </row>
    <row r="272" ht="15.75" customHeight="1" s="51">
      <c r="A272" s="38" t="inlineStr">
        <is>
          <t>MEL-026-10</t>
        </is>
      </c>
      <c r="B272" s="38" t="inlineStr">
        <is>
          <t>Melpomene</t>
        </is>
      </c>
      <c r="C272" s="38" t="inlineStr">
        <is>
          <t>Laptops</t>
        </is>
      </c>
      <c r="D272" s="38" t="inlineStr">
        <is>
          <t>Laptop</t>
        </is>
      </c>
      <c r="E272" s="39" t="inlineStr">
        <is>
          <t>Melpomene Strata 17" Gaming Laptop</t>
        </is>
      </c>
      <c r="F272" s="40" t="n">
        <v>2857.99</v>
      </c>
      <c r="G272" s="38" t="inlineStr">
        <is>
          <t>the Strata; Melpomene Strata; Mellpomene Strata; Strata laptop</t>
        </is>
      </c>
      <c r="H272" s="38" t="inlineStr">
        <is>
          <t>1 year limited</t>
        </is>
      </c>
      <c r="I272" s="38" t="inlineStr">
        <is>
          <t>FCC, CE, UL 62368-1, Energy Star, EPEAT Silver</t>
        </is>
      </c>
      <c r="J272" s="38" t="inlineStr">
        <is>
          <t>AMD Ryzen 9 7945HX</t>
        </is>
      </c>
      <c r="K272" s="38" t="inlineStr">
        <is>
          <t>NVIDIA GeForce RTX 4080 12GB Laptop GPU</t>
        </is>
      </c>
      <c r="L272" s="38" t="inlineStr">
        <is>
          <t>Mini-LED, 240Hz</t>
        </is>
      </c>
      <c r="M272" s="38" t="inlineStr">
        <is>
          <t>2560x1600</t>
        </is>
      </c>
      <c r="N272" s="38" t="inlineStr">
        <is>
          <t>1x USB4, 3x USB-A 3.2, HDMI 2.1, RJ-45 Ethernet, 3.5mm audio</t>
        </is>
      </c>
      <c r="O272" s="38" t="inlineStr">
        <is>
          <t>Windows 11 Home</t>
        </is>
      </c>
      <c r="P272" s="38" t="n">
        <v>5</v>
      </c>
      <c r="Q272" s="41" t="n">
        <v>3228</v>
      </c>
      <c r="R272" s="38" t="inlineStr">
        <is>
          <t>Lighter than Auxo Pulse Ultra 17" Gaming Laptop [AUX-038-08] (3,228 g vs 3,322 g); Longer battery than Demeter Aeon Plus 17" Gaming Laptop [DEM-028-04] (5 vs 4 hrs)</t>
        </is>
      </c>
      <c r="S272" s="38" t="inlineStr">
        <is>
          <t>gaming, streaming, content creation</t>
        </is>
      </c>
      <c r="T272" s="0" t="inlineStr">
        <is>
          <t>in_stock</t>
        </is>
      </c>
      <c r="U272" s="0" t="n">
        <v>15</v>
      </c>
      <c r="V272" s="52" t="n">
        <v>2958.99</v>
      </c>
      <c r="W272" s="0" t="inlineStr">
        <is>
          <t>2026-08-21</t>
        </is>
      </c>
      <c r="X272" s="0" t="n">
        <v>32</v>
      </c>
      <c r="Y272" s="0" t="n">
        <v>2048</v>
      </c>
      <c r="Z272" s="0" t="n">
        <v>17.3</v>
      </c>
      <c r="AA272" s="0" t="inlineStr">
        <is>
          <t>No</t>
        </is>
      </c>
    </row>
    <row r="273" ht="15.75" customHeight="1" s="51">
      <c r="A273" s="38" t="inlineStr">
        <is>
          <t>ARI-027-01</t>
        </is>
      </c>
      <c r="B273" s="38" t="inlineStr">
        <is>
          <t>Aristaeus</t>
        </is>
      </c>
      <c r="C273" s="38" t="inlineStr">
        <is>
          <t>Laptops</t>
        </is>
      </c>
      <c r="D273" s="38" t="inlineStr">
        <is>
          <t>Laptop</t>
        </is>
      </c>
      <c r="E273" s="39" t="inlineStr">
        <is>
          <t>Aristaeus Vertex X Chromebook</t>
        </is>
      </c>
      <c r="F273" s="40" t="n">
        <v>469.99</v>
      </c>
      <c r="G273" s="38" t="inlineStr">
        <is>
          <t>the Vertex X; Aristaeus Vertex X; Aristaues Vertex X; Vertex X laptop</t>
        </is>
      </c>
      <c r="H273" s="38" t="inlineStr">
        <is>
          <t>1 year limited</t>
        </is>
      </c>
      <c r="I273" s="38" t="inlineStr">
        <is>
          <t>FCC, CE, UL 62368-1, EPEAT Bronze</t>
        </is>
      </c>
      <c r="J273" s="38" t="inlineStr">
        <is>
          <t>MediaTek Kompanio 520</t>
        </is>
      </c>
      <c r="K273" s="38" t="inlineStr">
        <is>
          <t>Arm Mali-G52 MC2</t>
        </is>
      </c>
      <c r="L273" s="38" t="inlineStr">
        <is>
          <t>IPS, 60Hz</t>
        </is>
      </c>
      <c r="M273" s="38" t="inlineStr">
        <is>
          <t>1920x1080</t>
        </is>
      </c>
      <c r="N273" s="38" t="inlineStr">
        <is>
          <t>2x USB-C 3.2, 1x USB-A 3.2, HDMI 1.4, 3.5mm audio</t>
        </is>
      </c>
      <c r="O273" s="38" t="inlineStr">
        <is>
          <t>ChromeOS</t>
        </is>
      </c>
      <c r="P273" s="38" t="n">
        <v>9</v>
      </c>
      <c r="Q273" s="41" t="n">
        <v>1367</v>
      </c>
      <c r="R273" s="38" t="inlineStr">
        <is>
          <t>Lower price than Atropos Blaze Plus Chromebook [ATR-035-02] ($469.99 vs $579.99); Lighter than Chronos Nimbus Plus Chromebook [CHR-050-01] (1,367 g vs 1,434 g)</t>
        </is>
      </c>
      <c r="S273" s="38" t="inlineStr">
        <is>
          <t>school, kids, budget</t>
        </is>
      </c>
      <c r="T273" s="0" t="inlineStr">
        <is>
          <t>in_stock</t>
        </is>
      </c>
      <c r="U273" s="0" t="n">
        <v>30</v>
      </c>
      <c r="V273" s="52" t="n">
        <v>512.99</v>
      </c>
      <c r="W273" s="0" t="inlineStr">
        <is>
          <t>2026-08-24</t>
        </is>
      </c>
      <c r="X273" s="0" t="n">
        <v>8</v>
      </c>
      <c r="Y273" s="0" t="n">
        <v>128</v>
      </c>
      <c r="Z273" s="0" t="n">
        <v>14</v>
      </c>
      <c r="AA273" s="0" t="inlineStr">
        <is>
          <t>No</t>
        </is>
      </c>
    </row>
    <row r="274" ht="15.75" customHeight="1" s="51">
      <c r="A274" s="38" t="inlineStr">
        <is>
          <t>ARI-027-02</t>
        </is>
      </c>
      <c r="B274" s="38" t="inlineStr">
        <is>
          <t>Aristaeus</t>
        </is>
      </c>
      <c r="C274" s="38" t="inlineStr">
        <is>
          <t>Laptops</t>
        </is>
      </c>
      <c r="D274" s="38" t="inlineStr">
        <is>
          <t>Laptop</t>
        </is>
      </c>
      <c r="E274" s="39" t="inlineStr">
        <is>
          <t>Aristaeus Axis 15" Budget Laptop</t>
        </is>
      </c>
      <c r="F274" s="40" t="n">
        <v>572.99</v>
      </c>
      <c r="G274" s="38" t="inlineStr">
        <is>
          <t>the Axis; Aristaeus Axis; Aritsaeus Axis; Axis laptop</t>
        </is>
      </c>
      <c r="H274" s="38" t="inlineStr">
        <is>
          <t>2 year limited</t>
        </is>
      </c>
      <c r="I274" s="38" t="inlineStr">
        <is>
          <t>FCC, CE, UL 62368-1, Energy Star, EPEAT Silver</t>
        </is>
      </c>
      <c r="J274" s="38" t="inlineStr">
        <is>
          <t>AMD Ryzen 5 8640HS</t>
        </is>
      </c>
      <c r="K274" s="38" t="inlineStr">
        <is>
          <t>AMD Radeon 760M</t>
        </is>
      </c>
      <c r="L274" s="38" t="inlineStr">
        <is>
          <t>IPS, 60Hz</t>
        </is>
      </c>
      <c r="M274" s="38" t="inlineStr">
        <is>
          <t>1920x1080</t>
        </is>
      </c>
      <c r="N274" s="38" t="inlineStr">
        <is>
          <t>2x USB4 (USB-C), 2x USB-A 3.2, HDMI 2.1, SD card, 3.5mm audio</t>
        </is>
      </c>
      <c r="O274" s="38" t="inlineStr">
        <is>
          <t>Windows 11 Home</t>
        </is>
      </c>
      <c r="P274" s="38" t="n">
        <v>8</v>
      </c>
      <c r="Q274" s="41" t="n">
        <v>1606</v>
      </c>
      <c r="R274" s="38" t="inlineStr">
        <is>
          <t>Longer battery than Aeolus Echo Plus 15" Budget Laptop [AEO-031-01] (8 vs 7 hrs); Lower price than Heracles Nova Max 15" Budget Laptop [HER-037-02] ($572.99 vs $593.99)</t>
        </is>
      </c>
      <c r="S274" s="38" t="inlineStr">
        <is>
          <t>budget, everyday, school</t>
        </is>
      </c>
      <c r="T274" s="0" t="inlineStr">
        <is>
          <t>in_stock</t>
        </is>
      </c>
      <c r="U274" s="0" t="n">
        <v>30</v>
      </c>
      <c r="V274" s="52" t="n">
        <v>612.99</v>
      </c>
      <c r="W274" s="0" t="inlineStr">
        <is>
          <t>2026-09-21</t>
        </is>
      </c>
      <c r="X274" s="0" t="n">
        <v>16</v>
      </c>
      <c r="Y274" s="0" t="n">
        <v>512</v>
      </c>
      <c r="Z274" s="0" t="n">
        <v>15.6</v>
      </c>
      <c r="AA274" s="0" t="inlineStr">
        <is>
          <t>No</t>
        </is>
      </c>
    </row>
    <row r="275" ht="15.75" customHeight="1" s="51">
      <c r="A275" s="38" t="inlineStr">
        <is>
          <t>ARI-027-03</t>
        </is>
      </c>
      <c r="B275" s="38" t="inlineStr">
        <is>
          <t>Aristaeus</t>
        </is>
      </c>
      <c r="C275" s="38" t="inlineStr">
        <is>
          <t>Laptops</t>
        </is>
      </c>
      <c r="D275" s="38" t="inlineStr">
        <is>
          <t>Laptop</t>
        </is>
      </c>
      <c r="E275" s="39" t="inlineStr">
        <is>
          <t>Aristaeus Pulse Student Laptop</t>
        </is>
      </c>
      <c r="F275" s="40" t="n">
        <v>760.99</v>
      </c>
      <c r="G275" s="38" t="inlineStr">
        <is>
          <t>the Pulse; Aristaeus Pulse; Airstaeus Pulse; Pulse laptop</t>
        </is>
      </c>
      <c r="H275" s="38" t="inlineStr">
        <is>
          <t>2 year limited</t>
        </is>
      </c>
      <c r="I275" s="38" t="inlineStr">
        <is>
          <t>FCC, CE, UL 62368-1, EPEAT Silver</t>
        </is>
      </c>
      <c r="J275" s="38" t="inlineStr">
        <is>
          <t>AMD Ryzen 5 8640HS</t>
        </is>
      </c>
      <c r="K275" s="38" t="inlineStr">
        <is>
          <t>AMD Radeon 760M</t>
        </is>
      </c>
      <c r="L275" s="38" t="inlineStr">
        <is>
          <t>IPS, 60Hz</t>
        </is>
      </c>
      <c r="M275" s="38" t="inlineStr">
        <is>
          <t>1920x1080</t>
        </is>
      </c>
      <c r="N275" s="38" t="inlineStr">
        <is>
          <t>2x USB4 (USB-C), 2x USB-A 3.2, HDMI 2.1, SD card, 3.5mm audio</t>
        </is>
      </c>
      <c r="O275" s="38" t="inlineStr">
        <is>
          <t>Windows 11 Home</t>
        </is>
      </c>
      <c r="P275" s="38" t="n">
        <v>11</v>
      </c>
      <c r="Q275" s="41" t="n">
        <v>1488</v>
      </c>
      <c r="R275" s="38" t="inlineStr">
        <is>
          <t>Longer battery than Thallo Echo Pro Student Laptop [THA-046-01] (11 vs 10 hrs); Lighter than Boreas Crest Lite Student Laptop [BOR-044-02] (1,488 g vs 1,646 g)</t>
        </is>
      </c>
      <c r="S275" s="38" t="inlineStr">
        <is>
          <t>school, everyday, budget</t>
        </is>
      </c>
      <c r="T275" s="0" t="inlineStr">
        <is>
          <t>in_stock</t>
        </is>
      </c>
      <c r="U275" s="0" t="n">
        <v>30</v>
      </c>
      <c r="V275" s="52" t="n">
        <v>804.99</v>
      </c>
      <c r="W275" s="0" t="inlineStr">
        <is>
          <t>2026-08-11</t>
        </is>
      </c>
      <c r="X275" s="0" t="n">
        <v>16</v>
      </c>
      <c r="Y275" s="0" t="n">
        <v>512</v>
      </c>
      <c r="Z275" s="0" t="n">
        <v>14</v>
      </c>
      <c r="AA275" s="0" t="inlineStr">
        <is>
          <t>No</t>
        </is>
      </c>
    </row>
    <row r="276" ht="15.75" customHeight="1" s="51">
      <c r="A276" s="38" t="inlineStr">
        <is>
          <t>ARI-027-04</t>
        </is>
      </c>
      <c r="B276" s="38" t="inlineStr">
        <is>
          <t>Aristaeus</t>
        </is>
      </c>
      <c r="C276" s="38" t="inlineStr">
        <is>
          <t>Laptops</t>
        </is>
      </c>
      <c r="D276" s="38" t="inlineStr">
        <is>
          <t>Laptop</t>
        </is>
      </c>
      <c r="E276" s="39" t="inlineStr">
        <is>
          <t>Aristaeus Sable 13" Ultrabook</t>
        </is>
      </c>
      <c r="F276" s="40" t="n">
        <v>1462.99</v>
      </c>
      <c r="G276" s="38" t="inlineStr">
        <is>
          <t>the Sable; Aristaeus Sable; Arisateus Sable; Sable laptop</t>
        </is>
      </c>
      <c r="H276" s="38" t="inlineStr">
        <is>
          <t>1 year limited</t>
        </is>
      </c>
      <c r="I276" s="38" t="inlineStr">
        <is>
          <t>FCC, CE, UL 62368-1, EPEAT Gold</t>
        </is>
      </c>
      <c r="J276" s="38" t="inlineStr">
        <is>
          <t>AMD Ryzen AI 9 HX 370</t>
        </is>
      </c>
      <c r="K276" s="38" t="inlineStr">
        <is>
          <t>AMD Radeon 890M</t>
        </is>
      </c>
      <c r="L276" s="38" t="inlineStr">
        <is>
          <t>OLED, 90Hz</t>
        </is>
      </c>
      <c r="M276" s="38" t="inlineStr">
        <is>
          <t>2880x1800</t>
        </is>
      </c>
      <c r="N276" s="38" t="inlineStr">
        <is>
          <t>2x USB4 (USB-C), 2x USB-A 3.2, HDMI 2.1, SD card, 3.5mm audio</t>
        </is>
      </c>
      <c r="O276" s="38" t="inlineStr">
        <is>
          <t>Windows 11 Home</t>
        </is>
      </c>
      <c r="P276" s="38" t="n">
        <v>13</v>
      </c>
      <c r="Q276" s="41" t="n">
        <v>1179</v>
      </c>
      <c r="R276" s="38" t="inlineStr">
        <is>
          <t>Lighter than Polyhymnia Volt Plus 13" Ultrabook [POL-041-04] (1,179 g vs 1,237 g); Lower price than Homonoia Lumen 13" Ultrabook [HOM-033-04] ($1,462.99 vs $1,849.99)</t>
        </is>
      </c>
      <c r="S276" s="38" t="inlineStr">
        <is>
          <t>travel, school, work</t>
        </is>
      </c>
      <c r="T276" s="0" t="inlineStr">
        <is>
          <t>in_stock</t>
        </is>
      </c>
      <c r="U276" s="0" t="n">
        <v>30</v>
      </c>
      <c r="V276" s="52" t="n">
        <v>1615.99</v>
      </c>
      <c r="W276" s="0" t="inlineStr">
        <is>
          <t>2026-08-05</t>
        </is>
      </c>
      <c r="X276" s="0" t="n">
        <v>16</v>
      </c>
      <c r="Y276" s="0" t="n">
        <v>1024</v>
      </c>
      <c r="Z276" s="0" t="n">
        <v>13.3</v>
      </c>
      <c r="AA276" s="0" t="inlineStr">
        <is>
          <t>No</t>
        </is>
      </c>
    </row>
    <row r="277" ht="15.75" customHeight="1" s="51">
      <c r="A277" s="38" t="inlineStr">
        <is>
          <t>ARI-027-05</t>
        </is>
      </c>
      <c r="B277" s="38" t="inlineStr">
        <is>
          <t>Aristaeus</t>
        </is>
      </c>
      <c r="C277" s="38" t="inlineStr">
        <is>
          <t>Laptops</t>
        </is>
      </c>
      <c r="D277" s="38" t="inlineStr">
        <is>
          <t>Laptop</t>
        </is>
      </c>
      <c r="E277" s="39" t="inlineStr">
        <is>
          <t>Aristaeus Volt Plus 15" Ultrabook</t>
        </is>
      </c>
      <c r="F277" s="40" t="n">
        <v>1598.99</v>
      </c>
      <c r="G277" s="38" t="inlineStr">
        <is>
          <t>the Volt Plus; Aristaeus Volt Plus; Ariistaeus Volt Plus; Volt Plus laptop</t>
        </is>
      </c>
      <c r="H277" s="38" t="inlineStr">
        <is>
          <t>1 year limited</t>
        </is>
      </c>
      <c r="I277" s="38" t="inlineStr">
        <is>
          <t>FCC, CE, UL 62368-1, Energy Star, EPEAT Silver</t>
        </is>
      </c>
      <c r="J277" s="38" t="inlineStr">
        <is>
          <t>Intel Core Ultra 5 125U</t>
        </is>
      </c>
      <c r="K277" s="38" t="inlineStr">
        <is>
          <t>Intel Graphics</t>
        </is>
      </c>
      <c r="L277" s="38" t="inlineStr">
        <is>
          <t>IPS, 60Hz</t>
        </is>
      </c>
      <c r="M277" s="38" t="inlineStr">
        <is>
          <t>1920x1200</t>
        </is>
      </c>
      <c r="N277" s="38" t="inlineStr">
        <is>
          <t>2x Thunderbolt 4 (USB-C), 1x USB-A 3.2, HDMI 2.1, microSD, 3.5mm audio</t>
        </is>
      </c>
      <c r="O277" s="38" t="inlineStr">
        <is>
          <t>Windows 11 Home</t>
        </is>
      </c>
      <c r="P277" s="38" t="n">
        <v>10</v>
      </c>
      <c r="Q277" s="41" t="n">
        <v>1720</v>
      </c>
      <c r="R277" s="38" t="inlineStr">
        <is>
          <t>Lower price than Hygieia Orbit SE 15" Ultrabook [HYG-048-05] ($1,598.99 vs $1,633.99); Lighter than Terpsichore Arc Plus 15" Ultrabook [TER-039-06] (1,720 g vs 1,738 g)</t>
        </is>
      </c>
      <c r="S277" s="38" t="inlineStr">
        <is>
          <t>work, school, everyday</t>
        </is>
      </c>
      <c r="T277" s="0" t="inlineStr">
        <is>
          <t>in_stock</t>
        </is>
      </c>
      <c r="U277" s="0" t="n">
        <v>30</v>
      </c>
      <c r="V277" s="52" t="n">
        <v>1778.99</v>
      </c>
      <c r="W277" s="0" t="inlineStr">
        <is>
          <t>2026-08-10</t>
        </is>
      </c>
      <c r="X277" s="0" t="n">
        <v>16</v>
      </c>
      <c r="Y277" s="0" t="n">
        <v>1024</v>
      </c>
      <c r="Z277" s="0" t="n">
        <v>15.6</v>
      </c>
      <c r="AA277" s="0" t="inlineStr">
        <is>
          <t>No</t>
        </is>
      </c>
    </row>
    <row r="278" ht="15.75" customHeight="1" s="51">
      <c r="A278" s="38" t="inlineStr">
        <is>
          <t>ARI-027-06</t>
        </is>
      </c>
      <c r="B278" s="38" t="inlineStr">
        <is>
          <t>Aristaeus</t>
        </is>
      </c>
      <c r="C278" s="38" t="inlineStr">
        <is>
          <t>Laptops</t>
        </is>
      </c>
      <c r="D278" s="38" t="inlineStr">
        <is>
          <t>Laptop</t>
        </is>
      </c>
      <c r="E278" s="39" t="inlineStr">
        <is>
          <t>Aristaeus Wave Max 14" Business Laptop</t>
        </is>
      </c>
      <c r="F278" s="40" t="n">
        <v>1656.99</v>
      </c>
      <c r="G278" s="38" t="inlineStr">
        <is>
          <t>the Wave Max; Aristaeus Wave Max; Ariistaeus Wave Max; Wave Max laptop</t>
        </is>
      </c>
      <c r="H278" s="38" t="inlineStr">
        <is>
          <t>3 year limited, on-site service</t>
        </is>
      </c>
      <c r="I278" s="38" t="inlineStr">
        <is>
          <t>FCC, CE, UL 62368-1, Energy Star, EPEAT Gold, TCO Certified, MIL-STD-810H</t>
        </is>
      </c>
      <c r="J278" s="38" t="inlineStr">
        <is>
          <t>Intel Core Ultra 7 155H</t>
        </is>
      </c>
      <c r="K278" s="38" t="inlineStr">
        <is>
          <t>Intel Arc Graphics</t>
        </is>
      </c>
      <c r="L278" s="38" t="inlineStr">
        <is>
          <t>OLED, 60Hz</t>
        </is>
      </c>
      <c r="M278" s="38" t="inlineStr">
        <is>
          <t>2880x1800</t>
        </is>
      </c>
      <c r="N278" s="38" t="inlineStr">
        <is>
          <t>2x Thunderbolt 4 (USB-C), 1x USB-A 3.2, HDMI 2.1, microSD, 3.5mm audio</t>
        </is>
      </c>
      <c r="O278" s="38" t="inlineStr">
        <is>
          <t>Windows 11 Pro</t>
        </is>
      </c>
      <c r="P278" s="38" t="n">
        <v>17</v>
      </c>
      <c r="Q278" s="41" t="n">
        <v>1176</v>
      </c>
      <c r="R278" s="38" t="inlineStr">
        <is>
          <t>Lighter than Heracles Apex SE 14" Business Laptop [HER-037-04] (1,176 g vs 1,345 g); Longer battery than Zephyrus Core Lite 14" Business Laptop [ZEP-032-04] (17 vs 16 hrs)</t>
        </is>
      </c>
      <c r="S278" s="38" t="inlineStr">
        <is>
          <t>work, travel, remote meetings</t>
        </is>
      </c>
      <c r="T278" s="0" t="inlineStr">
        <is>
          <t>low_stock</t>
        </is>
      </c>
      <c r="U278" s="0" t="n">
        <v>30</v>
      </c>
      <c r="V278" s="52" t="n">
        <v>1779.99</v>
      </c>
      <c r="W278" s="0" t="inlineStr">
        <is>
          <t>2026-09-18</t>
        </is>
      </c>
      <c r="X278" s="0" t="n">
        <v>16</v>
      </c>
      <c r="Y278" s="0" t="n">
        <v>1024</v>
      </c>
      <c r="Z278" s="0" t="n">
        <v>14</v>
      </c>
      <c r="AA278" s="0" t="inlineStr">
        <is>
          <t>No</t>
        </is>
      </c>
    </row>
    <row r="279" ht="15.75" customHeight="1" s="51">
      <c r="A279" s="38" t="inlineStr">
        <is>
          <t>ARI-027-07</t>
        </is>
      </c>
      <c r="B279" s="38" t="inlineStr">
        <is>
          <t>Aristaeus</t>
        </is>
      </c>
      <c r="C279" s="38" t="inlineStr">
        <is>
          <t>Laptops</t>
        </is>
      </c>
      <c r="D279" s="38" t="inlineStr">
        <is>
          <t>Laptop</t>
        </is>
      </c>
      <c r="E279" s="39" t="inlineStr">
        <is>
          <t>Aristaeus Vertex Rugged Laptop</t>
        </is>
      </c>
      <c r="F279" s="40" t="n">
        <v>1668.99</v>
      </c>
      <c r="G279" s="38" t="inlineStr">
        <is>
          <t>the Vertex; Aristaeus Vertex; Aritsaeus Vertex; Vertex laptop</t>
        </is>
      </c>
      <c r="H279" s="38" t="inlineStr">
        <is>
          <t>3 year limited, accidental damage</t>
        </is>
      </c>
      <c r="I279" s="38" t="inlineStr">
        <is>
          <t>FCC, CE, UL 62368-1, Energy Star, EPEAT Bronze, MIL-STD-810H, IP65</t>
        </is>
      </c>
      <c r="J279" s="38" t="inlineStr">
        <is>
          <t>AMD Ryzen 5 8640HS</t>
        </is>
      </c>
      <c r="K279" s="38" t="inlineStr">
        <is>
          <t>AMD Radeon 760M</t>
        </is>
      </c>
      <c r="L279" s="38" t="inlineStr">
        <is>
          <t>IPS sunlight-readable 1000 nits, touch</t>
        </is>
      </c>
      <c r="M279" s="38" t="inlineStr">
        <is>
          <t>1920x1080</t>
        </is>
      </c>
      <c r="N279" s="38" t="inlineStr">
        <is>
          <t>2x USB-C 3.2, 1x USB-A 3.2, HDMI 1.4, 3.5mm audio, RJ-45 Ethernet, serial (RS-232), smart card reader</t>
        </is>
      </c>
      <c r="O279" s="38" t="inlineStr">
        <is>
          <t>Windows 11 Pro</t>
        </is>
      </c>
      <c r="P279" s="38" t="n">
        <v>8</v>
      </c>
      <c r="Q279" s="41" t="n">
        <v>2808</v>
      </c>
      <c r="R279" s="38" t="inlineStr">
        <is>
          <t>Lower price than Boreas Strata Rugged Laptop [BOR-044-10] ($1,668.99 vs $3,411.99); Lighter than Zephyrus Drift X Rugged Laptop [ZEP-032-10] (2,808 g vs 3,477 g)</t>
        </is>
      </c>
      <c r="S279" s="38" t="inlineStr">
        <is>
          <t>fieldwork, outdoor, industrial</t>
        </is>
      </c>
      <c r="T279" s="0" t="inlineStr">
        <is>
          <t>in_stock</t>
        </is>
      </c>
      <c r="U279" s="0" t="n">
        <v>30</v>
      </c>
      <c r="V279" s="52" t="n">
        <v>1882.99</v>
      </c>
      <c r="W279" s="0" t="inlineStr">
        <is>
          <t>2026-08-30</t>
        </is>
      </c>
      <c r="X279" s="0" t="n">
        <v>16</v>
      </c>
      <c r="Y279" s="0" t="n">
        <v>1024</v>
      </c>
      <c r="Z279" s="0" t="n">
        <v>17.3</v>
      </c>
      <c r="AA279" s="0" t="inlineStr">
        <is>
          <t>Yes</t>
        </is>
      </c>
    </row>
    <row r="280" ht="15.75" customHeight="1" s="51">
      <c r="A280" s="38" t="inlineStr">
        <is>
          <t>ARI-027-08</t>
        </is>
      </c>
      <c r="B280" s="38" t="inlineStr">
        <is>
          <t>Aristaeus</t>
        </is>
      </c>
      <c r="C280" s="38" t="inlineStr">
        <is>
          <t>Laptops</t>
        </is>
      </c>
      <c r="D280" s="38" t="inlineStr">
        <is>
          <t>Laptop</t>
        </is>
      </c>
      <c r="E280" s="39" t="inlineStr">
        <is>
          <t>Aristaeus Vibe Pro Dual-Screen Laptop</t>
        </is>
      </c>
      <c r="F280" s="40" t="n">
        <v>2080.99</v>
      </c>
      <c r="G280" s="38" t="inlineStr">
        <is>
          <t>the Vibe Pro; Aristaeus Vibe Pro; Arisateus Vibe Pro; Vibe Pro laptop</t>
        </is>
      </c>
      <c r="H280" s="38" t="inlineStr">
        <is>
          <t>1 year limited</t>
        </is>
      </c>
      <c r="I280" s="38" t="inlineStr">
        <is>
          <t>FCC, CE, UL 62368-1, EPEAT Silver</t>
        </is>
      </c>
      <c r="J280" s="38" t="inlineStr">
        <is>
          <t>Qualcomm Snapdragon X Plus X1P-42-100</t>
        </is>
      </c>
      <c r="K280" s="38" t="inlineStr">
        <is>
          <t>Qualcomm Adreno X1-45</t>
        </is>
      </c>
      <c r="L280" s="38" t="inlineStr">
        <is>
          <t>Dual OLED touch, 120Hz</t>
        </is>
      </c>
      <c r="M280" s="38" t="inlineStr">
        <is>
          <t>2x 2880x1800</t>
        </is>
      </c>
      <c r="N280" s="38" t="inlineStr">
        <is>
          <t>2x USB4 (USB-C), 1x USB-A 3.2, 3.5mm audio</t>
        </is>
      </c>
      <c r="O280" s="38" t="inlineStr">
        <is>
          <t>Windows 11 Home</t>
        </is>
      </c>
      <c r="P280" s="38" t="n">
        <v>10</v>
      </c>
      <c r="Q280" s="41" t="n">
        <v>1855</v>
      </c>
      <c r="R280" s="38" t="inlineStr">
        <is>
          <t>Longer battery than Polyhymnia Aeon Ultra Dual-Screen Laptop [POL-041-08] (10 vs 8 hrs); Lower price than Homonoia Flux Dual-Screen Laptop [HOM-033-09] ($2,080.99 vs $2,275.99)</t>
        </is>
      </c>
      <c r="S280" s="38" t="inlineStr">
        <is>
          <t>multitasking, productivity, content creation</t>
        </is>
      </c>
      <c r="T280" s="0" t="inlineStr">
        <is>
          <t>in_stock</t>
        </is>
      </c>
      <c r="U280" s="0" t="n">
        <v>30</v>
      </c>
      <c r="V280" s="52" t="n">
        <v>2342.99</v>
      </c>
      <c r="W280" s="0" t="inlineStr">
        <is>
          <t>2026-08-28</t>
        </is>
      </c>
      <c r="X280" s="0" t="n">
        <v>32</v>
      </c>
      <c r="Y280" s="0" t="n">
        <v>2048</v>
      </c>
      <c r="Z280" s="0" t="n">
        <v>14</v>
      </c>
      <c r="AA280" s="0" t="inlineStr">
        <is>
          <t>Yes</t>
        </is>
      </c>
    </row>
    <row r="281" ht="15.75" customHeight="1" s="51">
      <c r="A281" s="38" t="inlineStr">
        <is>
          <t>ARI-027-09</t>
        </is>
      </c>
      <c r="B281" s="38" t="inlineStr">
        <is>
          <t>Aristaeus</t>
        </is>
      </c>
      <c r="C281" s="38" t="inlineStr">
        <is>
          <t>Laptops</t>
        </is>
      </c>
      <c r="D281" s="38" t="inlineStr">
        <is>
          <t>Laptop</t>
        </is>
      </c>
      <c r="E281" s="39" t="inlineStr">
        <is>
          <t>Aristaeus Sable Lite 15" Gaming Laptop</t>
        </is>
      </c>
      <c r="F281" s="40" t="n">
        <v>2394.99</v>
      </c>
      <c r="G281" s="38" t="inlineStr">
        <is>
          <t>the Sable Lite; Aristaeus Sable Lite; Airstaeus Sable Lite; Sable Lite laptop</t>
        </is>
      </c>
      <c r="H281" s="38" t="inlineStr">
        <is>
          <t>2 year limited</t>
        </is>
      </c>
      <c r="I281" s="38" t="inlineStr">
        <is>
          <t>FCC, CE, UL 62368-1, Energy Star, EPEAT Gold</t>
        </is>
      </c>
      <c r="J281" s="38" t="inlineStr">
        <is>
          <t>AMD Ryzen 9 7945HX</t>
        </is>
      </c>
      <c r="K281" s="38" t="inlineStr">
        <is>
          <t>NVIDIA GeForce RTX 4070 8GB Laptop GPU</t>
        </is>
      </c>
      <c r="L281" s="38" t="inlineStr">
        <is>
          <t>IPS, 240Hz</t>
        </is>
      </c>
      <c r="M281" s="38" t="inlineStr">
        <is>
          <t>2560x1600</t>
        </is>
      </c>
      <c r="N281" s="38" t="inlineStr">
        <is>
          <t>1x USB4, 3x USB-A 3.2, HDMI 2.1, RJ-45 Ethernet, 3.5mm audio</t>
        </is>
      </c>
      <c r="O281" s="38" t="inlineStr">
        <is>
          <t>Windows 11 Home</t>
        </is>
      </c>
      <c r="P281" s="38" t="n">
        <v>7</v>
      </c>
      <c r="Q281" s="41" t="n">
        <v>2222</v>
      </c>
      <c r="R281" s="38" t="inlineStr">
        <is>
          <t>Lighter than Dolos Volt Pro 15" Gaming Laptop [DOL-045-08] (2,222 g vs 2,246 g); Longer battery than Boreas Titan 15" Gaming Laptop [BOR-044-05] (7 vs 4 hrs)</t>
        </is>
      </c>
      <c r="S281" s="38" t="inlineStr">
        <is>
          <t>gaming, streaming</t>
        </is>
      </c>
      <c r="T281" s="0" t="inlineStr">
        <is>
          <t>out_of_stock</t>
        </is>
      </c>
      <c r="U281" s="0" t="n">
        <v>30</v>
      </c>
      <c r="V281" s="52" t="n">
        <v>2488.99</v>
      </c>
      <c r="W281" s="0" t="inlineStr">
        <is>
          <t>2026-09-15</t>
        </is>
      </c>
      <c r="X281" s="0" t="n">
        <v>32</v>
      </c>
      <c r="Y281" s="0" t="n">
        <v>2048</v>
      </c>
      <c r="Z281" s="0" t="n">
        <v>15.6</v>
      </c>
      <c r="AA281" s="0" t="inlineStr">
        <is>
          <t>No</t>
        </is>
      </c>
    </row>
    <row r="282" ht="15.75" customHeight="1" s="51">
      <c r="A282" s="38" t="inlineStr">
        <is>
          <t>ARI-027-10</t>
        </is>
      </c>
      <c r="B282" s="38" t="inlineStr">
        <is>
          <t>Aristaeus</t>
        </is>
      </c>
      <c r="C282" s="38" t="inlineStr">
        <is>
          <t>Laptops</t>
        </is>
      </c>
      <c r="D282" s="38" t="inlineStr">
        <is>
          <t>Laptop</t>
        </is>
      </c>
      <c r="E282" s="39" t="inlineStr">
        <is>
          <t>Aristaeus Wave Mobile Workstation</t>
        </is>
      </c>
      <c r="F282" s="40" t="n">
        <v>2494.99</v>
      </c>
      <c r="G282" s="38" t="inlineStr">
        <is>
          <t>the Wave; Aristaeus Wave; Airstaeus Wave; Wave laptop</t>
        </is>
      </c>
      <c r="H282" s="38" t="inlineStr">
        <is>
          <t>3 year limited, on-site service</t>
        </is>
      </c>
      <c r="I282" s="38" t="inlineStr">
        <is>
          <t>FCC, CE, UL 62368-1, Energy Star, EPEAT Gold, TCO Certified, MIL-STD-810H</t>
        </is>
      </c>
      <c r="J282" s="38" t="inlineStr">
        <is>
          <t>Intel Core Ultra 7 155H</t>
        </is>
      </c>
      <c r="K282" s="38" t="inlineStr">
        <is>
          <t>NVIDIA RTX 2000 Ada 8GB Laptop GPU</t>
        </is>
      </c>
      <c r="L282" s="38" t="inlineStr">
        <is>
          <t>IPS, 60Hz</t>
        </is>
      </c>
      <c r="M282" s="38" t="inlineStr">
        <is>
          <t>1920x1200</t>
        </is>
      </c>
      <c r="N282" s="38" t="inlineStr">
        <is>
          <t>2x Thunderbolt 4 (USB-C), 1x USB-A 3.2, HDMI 2.1, microSD, 3.5mm audio</t>
        </is>
      </c>
      <c r="O282" s="38" t="inlineStr">
        <is>
          <t>Windows 11 Pro</t>
        </is>
      </c>
      <c r="P282" s="38" t="n">
        <v>5</v>
      </c>
      <c r="Q282" s="41" t="n">
        <v>2250</v>
      </c>
      <c r="R282" s="38" t="inlineStr">
        <is>
          <t>Lighter than Persephone Vibe Mobile Workstation [PER-036-08] (2,250 g vs 2,692 g); Lower price than Dolos Nova Plus Mobile Workstation [DOL-045-10] ($2,494.99 vs $3,379.99)</t>
        </is>
      </c>
      <c r="S282" s="38" t="inlineStr">
        <is>
          <t>engineering, 3D rendering, data science</t>
        </is>
      </c>
      <c r="T282" s="0" t="inlineStr">
        <is>
          <t>in_stock</t>
        </is>
      </c>
      <c r="U282" s="0" t="n">
        <v>30</v>
      </c>
      <c r="V282" s="52" t="n">
        <v>2821.99</v>
      </c>
      <c r="W282" s="0" t="inlineStr">
        <is>
          <t>2026-08-16</t>
        </is>
      </c>
      <c r="X282" s="0" t="n">
        <v>32</v>
      </c>
      <c r="Y282" s="0" t="n">
        <v>2048</v>
      </c>
      <c r="Z282" s="0" t="n">
        <v>16</v>
      </c>
      <c r="AA282" s="0" t="inlineStr">
        <is>
          <t>No</t>
        </is>
      </c>
    </row>
    <row r="283" ht="15.75" customHeight="1" s="51">
      <c r="A283" s="38" t="inlineStr">
        <is>
          <t>DEM-028-01</t>
        </is>
      </c>
      <c r="B283" s="38" t="inlineStr">
        <is>
          <t>Demeter</t>
        </is>
      </c>
      <c r="C283" s="38" t="inlineStr">
        <is>
          <t>Laptops</t>
        </is>
      </c>
      <c r="D283" s="38" t="inlineStr">
        <is>
          <t>Laptop</t>
        </is>
      </c>
      <c r="E283" s="39" t="inlineStr">
        <is>
          <t>Demeter Prism Max Chromebook</t>
        </is>
      </c>
      <c r="F283" s="40" t="n">
        <v>492.99</v>
      </c>
      <c r="G283" s="38" t="inlineStr">
        <is>
          <t>the Prism Max; Demeter Prism Max; Demetter Prism Max; Prism Max laptop</t>
        </is>
      </c>
      <c r="H283" s="38" t="inlineStr">
        <is>
          <t>1 year limited</t>
        </is>
      </c>
      <c r="I283" s="38" t="inlineStr">
        <is>
          <t>FCC, CE, UL 62368-1, EPEAT Silver</t>
        </is>
      </c>
      <c r="J283" s="38" t="inlineStr">
        <is>
          <t>MediaTek Kompanio 520</t>
        </is>
      </c>
      <c r="K283" s="38" t="inlineStr">
        <is>
          <t>Arm Mali-G52 MC2</t>
        </is>
      </c>
      <c r="L283" s="38" t="inlineStr">
        <is>
          <t>IPS, 60Hz</t>
        </is>
      </c>
      <c r="M283" s="38" t="inlineStr">
        <is>
          <t>1920x1080</t>
        </is>
      </c>
      <c r="N283" s="38" t="inlineStr">
        <is>
          <t>2x USB-C 3.2, 1x USB-A 3.2, HDMI 1.4, 3.5mm audio</t>
        </is>
      </c>
      <c r="O283" s="38" t="inlineStr">
        <is>
          <t>ChromeOS</t>
        </is>
      </c>
      <c r="P283" s="38" t="n">
        <v>10</v>
      </c>
      <c r="Q283" s="41" t="n">
        <v>1299</v>
      </c>
      <c r="R283" s="38" t="inlineStr">
        <is>
          <t>Lighter than Momus Prism Chromebook [MOM-043-01] (1,299 g vs 1,421 g); Lower price than Thanatos Pulse Lite Chromebook [THA-049-03] ($492.99 vs $685.99)</t>
        </is>
      </c>
      <c r="S283" s="38" t="inlineStr">
        <is>
          <t>school, kids, budget</t>
        </is>
      </c>
      <c r="T283" s="0" t="inlineStr">
        <is>
          <t>in_stock</t>
        </is>
      </c>
      <c r="U283" s="0" t="n">
        <v>60</v>
      </c>
      <c r="V283" s="52" t="n">
        <v>528.99</v>
      </c>
      <c r="W283" s="0" t="inlineStr">
        <is>
          <t>2026-08-16</t>
        </is>
      </c>
      <c r="X283" s="0" t="n">
        <v>8</v>
      </c>
      <c r="Y283" s="0" t="n">
        <v>128</v>
      </c>
      <c r="Z283" s="0" t="n">
        <v>11.6</v>
      </c>
      <c r="AA283" s="0" t="inlineStr">
        <is>
          <t>No</t>
        </is>
      </c>
    </row>
    <row r="284" ht="15.75" customHeight="1" s="51">
      <c r="A284" s="38" t="inlineStr">
        <is>
          <t>DEM-028-02</t>
        </is>
      </c>
      <c r="B284" s="38" t="inlineStr">
        <is>
          <t>Demeter</t>
        </is>
      </c>
      <c r="C284" s="38" t="inlineStr">
        <is>
          <t>Laptops</t>
        </is>
      </c>
      <c r="D284" s="38" t="inlineStr">
        <is>
          <t>Laptop</t>
        </is>
      </c>
      <c r="E284" s="39" t="inlineStr">
        <is>
          <t>Demeter Lumen Plus Student Laptop</t>
        </is>
      </c>
      <c r="F284" s="40" t="n">
        <v>493.99</v>
      </c>
      <c r="G284" s="38" t="inlineStr">
        <is>
          <t>the Lumen Plus; Demeter Lumen Plus; Demeterr Lumen Plus; Lumen Plus laptop</t>
        </is>
      </c>
      <c r="H284" s="38" t="inlineStr">
        <is>
          <t>1 year limited</t>
        </is>
      </c>
      <c r="I284" s="38" t="inlineStr">
        <is>
          <t>FCC, CE, UL 62368-1, Energy Star, EPEAT Gold</t>
        </is>
      </c>
      <c r="J284" s="38" t="inlineStr">
        <is>
          <t>AMD Ryzen 3 7320U</t>
        </is>
      </c>
      <c r="K284" s="38" t="inlineStr">
        <is>
          <t>AMD Radeon 610M</t>
        </is>
      </c>
      <c r="L284" s="38" t="inlineStr">
        <is>
          <t>IPS, 60Hz</t>
        </is>
      </c>
      <c r="M284" s="38" t="inlineStr">
        <is>
          <t>1920x1080</t>
        </is>
      </c>
      <c r="N284" s="38" t="inlineStr">
        <is>
          <t>2x USB-C 3.2, 1x USB-A 3.2, HDMI 1.4, 3.5mm audio</t>
        </is>
      </c>
      <c r="O284" s="38" t="inlineStr">
        <is>
          <t>Windows 11 Home</t>
        </is>
      </c>
      <c r="P284" s="38" t="n">
        <v>9</v>
      </c>
      <c r="Q284" s="41" t="n">
        <v>1541</v>
      </c>
      <c r="R284" s="38" t="inlineStr">
        <is>
          <t>Longer battery than Thalia Nova Lite Student Laptop [THA-030-02] (9 vs 8 hrs); Lower price than Zephyrus Zen Pro Student Laptop [ZEP-032-03] ($493.99 vs $700.99)</t>
        </is>
      </c>
      <c r="S284" s="38" t="inlineStr">
        <is>
          <t>school, everyday, budget</t>
        </is>
      </c>
      <c r="T284" s="0" t="inlineStr">
        <is>
          <t>in_stock</t>
        </is>
      </c>
      <c r="U284" s="0" t="n">
        <v>60</v>
      </c>
      <c r="V284" s="52" t="n">
        <v>520.99</v>
      </c>
      <c r="W284" s="0" t="inlineStr">
        <is>
          <t>2026-08-05</t>
        </is>
      </c>
      <c r="X284" s="0" t="n">
        <v>8</v>
      </c>
      <c r="Y284" s="0" t="n">
        <v>256</v>
      </c>
      <c r="Z284" s="0" t="n">
        <v>14</v>
      </c>
      <c r="AA284" s="0" t="inlineStr">
        <is>
          <t>No</t>
        </is>
      </c>
    </row>
    <row r="285" ht="15.75" customHeight="1" s="51">
      <c r="A285" s="38" t="inlineStr">
        <is>
          <t>DEM-028-03</t>
        </is>
      </c>
      <c r="B285" s="38" t="inlineStr">
        <is>
          <t>Demeter</t>
        </is>
      </c>
      <c r="C285" s="38" t="inlineStr">
        <is>
          <t>Laptops</t>
        </is>
      </c>
      <c r="D285" s="38" t="inlineStr">
        <is>
          <t>Laptop</t>
        </is>
      </c>
      <c r="E285" s="39" t="inlineStr">
        <is>
          <t>Demeter Halo SE 15" Ultrabook</t>
        </is>
      </c>
      <c r="F285" s="40" t="n">
        <v>1616.99</v>
      </c>
      <c r="G285" s="38" t="inlineStr">
        <is>
          <t>the Halo SE; Demeter Halo SE; Demetter Halo SE; Halo SE laptop</t>
        </is>
      </c>
      <c r="H285" s="38" t="inlineStr">
        <is>
          <t>1 year limited</t>
        </is>
      </c>
      <c r="I285" s="38" t="inlineStr">
        <is>
          <t>FCC, CE, UL 62368-1, Energy Star, EPEAT Silver</t>
        </is>
      </c>
      <c r="J285" s="38" t="inlineStr">
        <is>
          <t>Intel Core Ultra 5 125U</t>
        </is>
      </c>
      <c r="K285" s="38" t="inlineStr">
        <is>
          <t>Intel Graphics</t>
        </is>
      </c>
      <c r="L285" s="38" t="inlineStr">
        <is>
          <t>IPS, 60Hz</t>
        </is>
      </c>
      <c r="M285" s="38" t="inlineStr">
        <is>
          <t>1920x1200</t>
        </is>
      </c>
      <c r="N285" s="38" t="inlineStr">
        <is>
          <t>2x Thunderbolt 4 (USB-C), 1x USB-A 3.2, HDMI 2.1, microSD, 3.5mm audio</t>
        </is>
      </c>
      <c r="O285" s="38" t="inlineStr">
        <is>
          <t>Windows 11 Home</t>
        </is>
      </c>
      <c r="P285" s="38" t="n">
        <v>18</v>
      </c>
      <c r="Q285" s="41" t="n">
        <v>1447</v>
      </c>
      <c r="R285" s="38" t="inlineStr">
        <is>
          <t>Lighter than Zephyrus Nova Pro 15" Ultrabook [ZEP-032-07] (1,447 g vs 1,553 g); Longer battery than Polyhymnia Zen X 15" Ultrabook [POL-041-05] (18 vs 14 hrs)</t>
        </is>
      </c>
      <c r="S285" s="38" t="inlineStr">
        <is>
          <t>work, school, everyday</t>
        </is>
      </c>
      <c r="T285" s="0" t="inlineStr">
        <is>
          <t>low_stock</t>
        </is>
      </c>
      <c r="U285" s="0" t="n">
        <v>60</v>
      </c>
      <c r="V285" s="52" t="n">
        <v>1823.99</v>
      </c>
      <c r="W285" s="0" t="inlineStr">
        <is>
          <t>2026-09-20</t>
        </is>
      </c>
      <c r="X285" s="0" t="n">
        <v>16</v>
      </c>
      <c r="Y285" s="0" t="n">
        <v>1024</v>
      </c>
      <c r="Z285" s="0" t="n">
        <v>15.6</v>
      </c>
      <c r="AA285" s="0" t="inlineStr">
        <is>
          <t>No</t>
        </is>
      </c>
    </row>
    <row r="286" ht="15.75" customHeight="1" s="51">
      <c r="A286" s="38" t="inlineStr">
        <is>
          <t>DEM-028-04</t>
        </is>
      </c>
      <c r="B286" s="38" t="inlineStr">
        <is>
          <t>Demeter</t>
        </is>
      </c>
      <c r="C286" s="38" t="inlineStr">
        <is>
          <t>Laptops</t>
        </is>
      </c>
      <c r="D286" s="38" t="inlineStr">
        <is>
          <t>Laptop</t>
        </is>
      </c>
      <c r="E286" s="39" t="inlineStr">
        <is>
          <t>Demeter Aeon Plus 17" Gaming Laptop</t>
        </is>
      </c>
      <c r="F286" s="40" t="n">
        <v>1800.99</v>
      </c>
      <c r="G286" s="38" t="inlineStr">
        <is>
          <t>the Aeon Plus; Demeter Aeon Plus; Demeeter Aeon Plus; Aeon Plus laptop</t>
        </is>
      </c>
      <c r="H286" s="38" t="inlineStr">
        <is>
          <t>1 year limited</t>
        </is>
      </c>
      <c r="I286" s="38" t="inlineStr">
        <is>
          <t>FCC, CE, UL 62368-1, Energy Star, EPEAT Gold</t>
        </is>
      </c>
      <c r="J286" s="38" t="inlineStr">
        <is>
          <t>Intel Core i9-14900HX</t>
        </is>
      </c>
      <c r="K286" s="38" t="inlineStr">
        <is>
          <t>NVIDIA GeForce RTX 4070 8GB Laptop GPU</t>
        </is>
      </c>
      <c r="L286" s="38" t="inlineStr">
        <is>
          <t>IPS, 240Hz</t>
        </is>
      </c>
      <c r="M286" s="38" t="inlineStr">
        <is>
          <t>2560x1600</t>
        </is>
      </c>
      <c r="N286" s="38" t="inlineStr">
        <is>
          <t>1x Thunderbolt 4, 3x USB-A 3.2, HDMI 2.1, RJ-45 Ethernet, 3.5mm audio</t>
        </is>
      </c>
      <c r="O286" s="38" t="inlineStr">
        <is>
          <t>Windows 11 Home</t>
        </is>
      </c>
      <c r="P286" s="38" t="n">
        <v>4</v>
      </c>
      <c r="Q286" s="41" t="n">
        <v>3008</v>
      </c>
      <c r="R286" s="38" t="inlineStr">
        <is>
          <t>Lower price than Terpsichore Nova Air 17" Gaming Laptop [TER-039-08] ($1,800.99 vs $2,186.99); Lighter than Chronos Onyx 17" Gaming Laptop [CHR-050-09] (3,008 g vs 3,314 g)</t>
        </is>
      </c>
      <c r="S286" s="38" t="inlineStr">
        <is>
          <t>gaming, streaming, content creation</t>
        </is>
      </c>
      <c r="T286" s="0" t="inlineStr">
        <is>
          <t>in_stock</t>
        </is>
      </c>
      <c r="U286" s="0" t="n">
        <v>60</v>
      </c>
      <c r="V286" s="52" t="n">
        <v>1857.99</v>
      </c>
      <c r="W286" s="0" t="inlineStr">
        <is>
          <t>2026-09-02</t>
        </is>
      </c>
      <c r="X286" s="0" t="n">
        <v>32</v>
      </c>
      <c r="Y286" s="0" t="n">
        <v>1024</v>
      </c>
      <c r="Z286" s="0" t="n">
        <v>17.3</v>
      </c>
      <c r="AA286" s="0" t="inlineStr">
        <is>
          <t>No</t>
        </is>
      </c>
    </row>
    <row r="287" ht="15.75" customHeight="1" s="51">
      <c r="A287" s="38" t="inlineStr">
        <is>
          <t>DEM-028-05</t>
        </is>
      </c>
      <c r="B287" s="38" t="inlineStr">
        <is>
          <t>Demeter</t>
        </is>
      </c>
      <c r="C287" s="38" t="inlineStr">
        <is>
          <t>Laptops</t>
        </is>
      </c>
      <c r="D287" s="38" t="inlineStr">
        <is>
          <t>Laptop</t>
        </is>
      </c>
      <c r="E287" s="39" t="inlineStr">
        <is>
          <t>Demeter Prism SE 14" Business Laptop</t>
        </is>
      </c>
      <c r="F287" s="40" t="n">
        <v>1951.99</v>
      </c>
      <c r="G287" s="38" t="inlineStr">
        <is>
          <t>the Prism SE; Demeter Prism SE; Demeeter Prism SE; Prism SE laptop</t>
        </is>
      </c>
      <c r="H287" s="38" t="inlineStr">
        <is>
          <t>3 year limited, on-site service</t>
        </is>
      </c>
      <c r="I287" s="38" t="inlineStr">
        <is>
          <t>FCC, CE, UL 62368-1, Energy Star, EPEAT Gold, TCO Certified, MIL-STD-810H</t>
        </is>
      </c>
      <c r="J287" s="38" t="inlineStr">
        <is>
          <t>Intel Core Ultra 7 155H</t>
        </is>
      </c>
      <c r="K287" s="38" t="inlineStr">
        <is>
          <t>Intel Arc Graphics</t>
        </is>
      </c>
      <c r="L287" s="38" t="inlineStr">
        <is>
          <t>OLED, 60Hz</t>
        </is>
      </c>
      <c r="M287" s="38" t="inlineStr">
        <is>
          <t>2880x1800</t>
        </is>
      </c>
      <c r="N287" s="38" t="inlineStr">
        <is>
          <t>2x Thunderbolt 4 (USB-C), 1x USB-A 3.2, HDMI 2.1, microSD, 3.5mm audio</t>
        </is>
      </c>
      <c r="O287" s="38" t="inlineStr">
        <is>
          <t>Windows 11 Pro</t>
        </is>
      </c>
      <c r="P287" s="38" t="n">
        <v>18</v>
      </c>
      <c r="Q287" s="41" t="n">
        <v>1364</v>
      </c>
      <c r="R287" s="38" t="inlineStr">
        <is>
          <t>Longer battery than Selene Crest Air 14" Business Laptop [SEL-034-05] (18 vs 15 hrs); Lighter than Aeolus Apex Air 14" Business Laptop [AEO-031-05] (1,364 g vs 1,428 g)</t>
        </is>
      </c>
      <c r="S287" s="38" t="inlineStr">
        <is>
          <t>work, travel, remote meetings</t>
        </is>
      </c>
      <c r="T287" s="0" t="inlineStr">
        <is>
          <t>in_stock</t>
        </is>
      </c>
      <c r="U287" s="0" t="n">
        <v>60</v>
      </c>
      <c r="V287" s="52" t="n">
        <v>2185.99</v>
      </c>
      <c r="W287" s="0" t="inlineStr">
        <is>
          <t>2026-09-10</t>
        </is>
      </c>
      <c r="X287" s="0" t="n">
        <v>16</v>
      </c>
      <c r="Y287" s="0" t="n">
        <v>1024</v>
      </c>
      <c r="Z287" s="0" t="n">
        <v>14</v>
      </c>
      <c r="AA287" s="0" t="inlineStr">
        <is>
          <t>No</t>
        </is>
      </c>
    </row>
    <row r="288" ht="15.75" customHeight="1" s="51">
      <c r="A288" s="38" t="inlineStr">
        <is>
          <t>DEM-028-06</t>
        </is>
      </c>
      <c r="B288" s="38" t="inlineStr">
        <is>
          <t>Demeter</t>
        </is>
      </c>
      <c r="C288" s="38" t="inlineStr">
        <is>
          <t>Laptops</t>
        </is>
      </c>
      <c r="D288" s="38" t="inlineStr">
        <is>
          <t>Laptop</t>
        </is>
      </c>
      <c r="E288" s="39" t="inlineStr">
        <is>
          <t>Demeter Core Ultra 15" Gaming Laptop</t>
        </is>
      </c>
      <c r="F288" s="40" t="n">
        <v>2411.99</v>
      </c>
      <c r="G288" s="38" t="inlineStr">
        <is>
          <t>the Core Ultra; Demeter Core Ultra; Demeteer Core Ultra; Core Ultra laptop</t>
        </is>
      </c>
      <c r="H288" s="38" t="inlineStr">
        <is>
          <t>2 year limited</t>
        </is>
      </c>
      <c r="I288" s="38" t="inlineStr">
        <is>
          <t>FCC, CE, UL 62368-1, Energy Star, EPEAT Silver</t>
        </is>
      </c>
      <c r="J288" s="38" t="inlineStr">
        <is>
          <t>Intel Core i9-14900HX</t>
        </is>
      </c>
      <c r="K288" s="38" t="inlineStr">
        <is>
          <t>NVIDIA GeForce RTX 4070 8GB Laptop GPU</t>
        </is>
      </c>
      <c r="L288" s="38" t="inlineStr">
        <is>
          <t>IPS, 240Hz</t>
        </is>
      </c>
      <c r="M288" s="38" t="inlineStr">
        <is>
          <t>2560x1600</t>
        </is>
      </c>
      <c r="N288" s="38" t="inlineStr">
        <is>
          <t>1x Thunderbolt 4, 3x USB-A 3.2, HDMI 2.1, RJ-45 Ethernet, 3.5mm audio</t>
        </is>
      </c>
      <c r="O288" s="38" t="inlineStr">
        <is>
          <t>Windows 11 Home</t>
        </is>
      </c>
      <c r="P288" s="38" t="n">
        <v>6</v>
      </c>
      <c r="Q288" s="41" t="n">
        <v>2350</v>
      </c>
      <c r="R288" s="38" t="inlineStr">
        <is>
          <t>Longer battery than Homonoia Zen 15" Gaming Laptop [HOM-033-08] (6 vs 4 hrs); Lower price than Thanatos Strata Plus 15" Gaming Laptop [THA-049-08] ($2,411.99 vs $2,486.99)</t>
        </is>
      </c>
      <c r="S288" s="38" t="inlineStr">
        <is>
          <t>gaming, streaming</t>
        </is>
      </c>
      <c r="T288" s="0" t="inlineStr">
        <is>
          <t>low_stock</t>
        </is>
      </c>
      <c r="U288" s="0" t="n">
        <v>60</v>
      </c>
      <c r="V288" s="52" t="n">
        <v>2638.99</v>
      </c>
      <c r="W288" s="0" t="inlineStr">
        <is>
          <t>2026-08-30</t>
        </is>
      </c>
      <c r="X288" s="0" t="n">
        <v>32</v>
      </c>
      <c r="Y288" s="0" t="n">
        <v>2048</v>
      </c>
      <c r="Z288" s="0" t="n">
        <v>15.6</v>
      </c>
      <c r="AA288" s="0" t="inlineStr">
        <is>
          <t>No</t>
        </is>
      </c>
    </row>
    <row r="289" ht="15.75" customHeight="1" s="51">
      <c r="A289" s="38" t="inlineStr">
        <is>
          <t>DEM-028-07</t>
        </is>
      </c>
      <c r="B289" s="38" t="inlineStr">
        <is>
          <t>Demeter</t>
        </is>
      </c>
      <c r="C289" s="38" t="inlineStr">
        <is>
          <t>Laptops</t>
        </is>
      </c>
      <c r="D289" s="38" t="inlineStr">
        <is>
          <t>Laptop</t>
        </is>
      </c>
      <c r="E289" s="39" t="inlineStr">
        <is>
          <t>Demeter Apex 16" Creator Laptop</t>
        </is>
      </c>
      <c r="F289" s="40" t="n">
        <v>2443.99</v>
      </c>
      <c r="G289" s="38" t="inlineStr">
        <is>
          <t>the Apex; Demeter Apex; Demeterr Apex; Apex laptop</t>
        </is>
      </c>
      <c r="H289" s="38" t="inlineStr">
        <is>
          <t>1 year limited</t>
        </is>
      </c>
      <c r="I289" s="38" t="inlineStr">
        <is>
          <t>FCC, CE, UL 62368-1, EPEAT Gold</t>
        </is>
      </c>
      <c r="J289" s="38" t="inlineStr">
        <is>
          <t>Intel Core i9-14900HX</t>
        </is>
      </c>
      <c r="K289" s="38" t="inlineStr">
        <is>
          <t>NVIDIA GeForce RTX 4070 8GB Laptop GPU</t>
        </is>
      </c>
      <c r="L289" s="38" t="inlineStr">
        <is>
          <t>OLED, 120Hz</t>
        </is>
      </c>
      <c r="M289" s="38" t="inlineStr">
        <is>
          <t>3200x2000</t>
        </is>
      </c>
      <c r="N289" s="38" t="inlineStr">
        <is>
          <t>2x Thunderbolt 4 (USB-C), 1x USB-A 3.2, HDMI 2.1, microSD, 3.5mm audio</t>
        </is>
      </c>
      <c r="O289" s="38" t="inlineStr">
        <is>
          <t>Windows 11 Home</t>
        </is>
      </c>
      <c r="P289" s="38" t="n">
        <v>6</v>
      </c>
      <c r="Q289" s="41" t="n">
        <v>2066</v>
      </c>
      <c r="R289" s="38" t="inlineStr">
        <is>
          <t>Lighter than Priapus Prism Air 16" Creator Laptop [PRI-042-08] (2,066 g vs 2,169 g); Lower price than Homonoia Aeon 16" Creator Laptop [HOM-033-10] ($2,443.99 vs $2,633.99)</t>
        </is>
      </c>
      <c r="S289" s="38" t="inlineStr">
        <is>
          <t>video editing, photo editing, content creation</t>
        </is>
      </c>
      <c r="T289" s="0" t="inlineStr">
        <is>
          <t>in_stock</t>
        </is>
      </c>
      <c r="U289" s="0" t="n">
        <v>60</v>
      </c>
      <c r="V289" s="52" t="n">
        <v>2594.99</v>
      </c>
      <c r="W289" s="0" t="inlineStr">
        <is>
          <t>2026-08-23</t>
        </is>
      </c>
      <c r="X289" s="0" t="n">
        <v>32</v>
      </c>
      <c r="Y289" s="0" t="n">
        <v>2048</v>
      </c>
      <c r="Z289" s="0" t="n">
        <v>16</v>
      </c>
      <c r="AA289" s="0" t="inlineStr">
        <is>
          <t>No</t>
        </is>
      </c>
    </row>
    <row r="290" ht="15.75" customHeight="1" s="51">
      <c r="A290" s="38" t="inlineStr">
        <is>
          <t>DEM-028-08</t>
        </is>
      </c>
      <c r="B290" s="38" t="inlineStr">
        <is>
          <t>Demeter</t>
        </is>
      </c>
      <c r="C290" s="38" t="inlineStr">
        <is>
          <t>Laptops</t>
        </is>
      </c>
      <c r="D290" s="38" t="inlineStr">
        <is>
          <t>Laptop</t>
        </is>
      </c>
      <c r="E290" s="39" t="inlineStr">
        <is>
          <t>Demeter Titan Lite Dual-Screen Laptop</t>
        </is>
      </c>
      <c r="F290" s="40" t="n">
        <v>2585.99</v>
      </c>
      <c r="G290" s="38" t="inlineStr">
        <is>
          <t>the Titan Lite; Demeter Titan Lite; Deemter Titan Lite; Titan Lite laptop</t>
        </is>
      </c>
      <c r="H290" s="38" t="inlineStr">
        <is>
          <t>2 year limited</t>
        </is>
      </c>
      <c r="I290" s="38" t="inlineStr">
        <is>
          <t>FCC, CE, UL 62368-1, Energy Star, EPEAT Bronze</t>
        </is>
      </c>
      <c r="J290" s="38" t="inlineStr">
        <is>
          <t>AMD Ryzen AI 9 HX 370</t>
        </is>
      </c>
      <c r="K290" s="38" t="inlineStr">
        <is>
          <t>AMD Radeon 890M</t>
        </is>
      </c>
      <c r="L290" s="38" t="inlineStr">
        <is>
          <t>Dual OLED touch, 120Hz</t>
        </is>
      </c>
      <c r="M290" s="38" t="inlineStr">
        <is>
          <t>2x 2880x1800</t>
        </is>
      </c>
      <c r="N290" s="38" t="inlineStr">
        <is>
          <t>2x USB4 (USB-C), 2x USB-A 3.2, HDMI 2.1, SD card, 3.5mm audio</t>
        </is>
      </c>
      <c r="O290" s="38" t="inlineStr">
        <is>
          <t>Windows 11 Home</t>
        </is>
      </c>
      <c r="P290" s="38" t="n">
        <v>10</v>
      </c>
      <c r="Q290" s="41" t="n">
        <v>1575</v>
      </c>
      <c r="R290" s="38" t="inlineStr">
        <is>
          <t>Lower price than Zephyrus Quanta X Dual-Screen Laptop [ZEP-032-09] ($2,585.99 vs $2,813.99); Lighter than Terpsichore Orbit Dual-Screen Laptop [TER-039-07] (1,575 g vs 1,677 g)</t>
        </is>
      </c>
      <c r="S290" s="38" t="inlineStr">
        <is>
          <t>multitasking, productivity, content creation</t>
        </is>
      </c>
      <c r="T290" s="0" t="inlineStr">
        <is>
          <t>in_stock</t>
        </is>
      </c>
      <c r="U290" s="0" t="n">
        <v>60</v>
      </c>
      <c r="V290" s="52" t="n">
        <v>2682.99</v>
      </c>
      <c r="W290" s="0" t="inlineStr">
        <is>
          <t>2026-08-26</t>
        </is>
      </c>
      <c r="X290" s="0" t="n">
        <v>32</v>
      </c>
      <c r="Y290" s="0" t="n">
        <v>2048</v>
      </c>
      <c r="Z290" s="0" t="n">
        <v>14</v>
      </c>
      <c r="AA290" s="0" t="inlineStr">
        <is>
          <t>Yes</t>
        </is>
      </c>
    </row>
    <row r="291" ht="15.75" customHeight="1" s="51">
      <c r="A291" s="38" t="inlineStr">
        <is>
          <t>DEM-028-09</t>
        </is>
      </c>
      <c r="B291" s="38" t="inlineStr">
        <is>
          <t>Demeter</t>
        </is>
      </c>
      <c r="C291" s="38" t="inlineStr">
        <is>
          <t>Laptops</t>
        </is>
      </c>
      <c r="D291" s="38" t="inlineStr">
        <is>
          <t>Laptop</t>
        </is>
      </c>
      <c r="E291" s="39" t="inlineStr">
        <is>
          <t>Demeter Flux Pro Rugged Laptop</t>
        </is>
      </c>
      <c r="F291" s="40" t="n">
        <v>3277.99</v>
      </c>
      <c r="G291" s="38" t="inlineStr">
        <is>
          <t>the Flux Pro; Demeter Flux Pro; Demeterr Flux Pro; Flux Pro laptop</t>
        </is>
      </c>
      <c r="H291" s="38" t="inlineStr">
        <is>
          <t>3 year limited, accidental damage</t>
        </is>
      </c>
      <c r="I291" s="38" t="inlineStr">
        <is>
          <t>FCC, CE, UL 62368-1, Energy Star, EPEAT Bronze, MIL-STD-810H, IP65</t>
        </is>
      </c>
      <c r="J291" s="38" t="inlineStr">
        <is>
          <t>Qualcomm Snapdragon X Elite X1E-78-100</t>
        </is>
      </c>
      <c r="K291" s="38" t="inlineStr">
        <is>
          <t>Qualcomm Adreno X1-85</t>
        </is>
      </c>
      <c r="L291" s="38" t="inlineStr">
        <is>
          <t>IPS sunlight-readable 1000 nits, touch</t>
        </is>
      </c>
      <c r="M291" s="38" t="inlineStr">
        <is>
          <t>1920x1080</t>
        </is>
      </c>
      <c r="N291" s="38" t="inlineStr">
        <is>
          <t>2x USB4 (USB-C), 1x USB-A 3.2, 3.5mm audio, RJ-45 Ethernet, serial (RS-232), smart card reader</t>
        </is>
      </c>
      <c r="O291" s="38" t="inlineStr">
        <is>
          <t>Windows 11 Pro</t>
        </is>
      </c>
      <c r="P291" s="38" t="n">
        <v>9</v>
      </c>
      <c r="Q291" s="41" t="n">
        <v>3332</v>
      </c>
      <c r="R291" s="38" t="inlineStr">
        <is>
          <t>Lower price than Zephyrus Drift X Rugged Laptop [ZEP-032-10] ($3,277.99 vs $3,926.99); Longer battery than Thalia Flux Ultra Rugged Laptop [THA-030-09] (9 vs 8 hrs)</t>
        </is>
      </c>
      <c r="S291" s="38" t="inlineStr">
        <is>
          <t>fieldwork, outdoor, industrial</t>
        </is>
      </c>
      <c r="T291" s="0" t="inlineStr">
        <is>
          <t>in_stock</t>
        </is>
      </c>
      <c r="U291" s="0" t="n">
        <v>60</v>
      </c>
      <c r="V291" s="52" t="n">
        <v>3553.99</v>
      </c>
      <c r="W291" s="0" t="inlineStr">
        <is>
          <t>2026-09-23</t>
        </is>
      </c>
      <c r="X291" s="0" t="n">
        <v>64</v>
      </c>
      <c r="Y291" s="0" t="n">
        <v>2048</v>
      </c>
      <c r="Z291" s="0" t="n">
        <v>17.3</v>
      </c>
      <c r="AA291" s="0" t="inlineStr">
        <is>
          <t>Yes</t>
        </is>
      </c>
    </row>
    <row r="292" ht="15.75" customHeight="1" s="51">
      <c r="A292" s="38" t="inlineStr">
        <is>
          <t>DEM-028-10</t>
        </is>
      </c>
      <c r="B292" s="38" t="inlineStr">
        <is>
          <t>Demeter</t>
        </is>
      </c>
      <c r="C292" s="38" t="inlineStr">
        <is>
          <t>Laptops</t>
        </is>
      </c>
      <c r="D292" s="38" t="inlineStr">
        <is>
          <t>Laptop</t>
        </is>
      </c>
      <c r="E292" s="39" t="inlineStr">
        <is>
          <t>Demeter Quanta Max Mobile Workstation</t>
        </is>
      </c>
      <c r="F292" s="40" t="n">
        <v>3703.99</v>
      </c>
      <c r="G292" s="38" t="inlineStr">
        <is>
          <t>the Quanta Max; Demeter Quanta Max; Demeeter Quanta Max; Quanta Max laptop</t>
        </is>
      </c>
      <c r="H292" s="38" t="inlineStr">
        <is>
          <t>3 year limited, on-site service</t>
        </is>
      </c>
      <c r="I292" s="38" t="inlineStr">
        <is>
          <t>FCC, CE, UL 62368-1, Energy Star, EPEAT Bronze, TCO Certified, MIL-STD-810H</t>
        </is>
      </c>
      <c r="J292" s="38" t="inlineStr">
        <is>
          <t>Intel Core Ultra 7 155H</t>
        </is>
      </c>
      <c r="K292" s="38" t="inlineStr">
        <is>
          <t>NVIDIA RTX 3500 Ada 12GB Laptop GPU</t>
        </is>
      </c>
      <c r="L292" s="38" t="inlineStr">
        <is>
          <t>OLED, 120Hz</t>
        </is>
      </c>
      <c r="M292" s="38" t="inlineStr">
        <is>
          <t>3840x2400</t>
        </is>
      </c>
      <c r="N292" s="38" t="inlineStr">
        <is>
          <t>2x Thunderbolt 4 (USB-C), 1x USB-A 3.2, HDMI 2.1, microSD, 3.5mm audio</t>
        </is>
      </c>
      <c r="O292" s="38" t="inlineStr">
        <is>
          <t>Windows 11 Pro</t>
        </is>
      </c>
      <c r="P292" s="38" t="n">
        <v>9</v>
      </c>
      <c r="Q292" s="41" t="n">
        <v>2374</v>
      </c>
      <c r="R292" s="38" t="inlineStr">
        <is>
          <t>Longer battery than Aristaeus Wave Mobile Workstation [ARI-027-10] (9 vs 5 hrs); Lighter than Metis Core Lite Mobile Workstation [MET-029-10] (2,374 g vs 2,570 g)</t>
        </is>
      </c>
      <c r="S292" s="38" t="inlineStr">
        <is>
          <t>engineering, 3D rendering, data science</t>
        </is>
      </c>
      <c r="T292" s="0" t="inlineStr">
        <is>
          <t>in_stock</t>
        </is>
      </c>
      <c r="U292" s="0" t="n">
        <v>60</v>
      </c>
      <c r="V292" s="52" t="n">
        <v>4077.99</v>
      </c>
      <c r="W292" s="0" t="inlineStr">
        <is>
          <t>2026-08-18</t>
        </is>
      </c>
      <c r="X292" s="0" t="n">
        <v>64</v>
      </c>
      <c r="Y292" s="0" t="n">
        <v>4096</v>
      </c>
      <c r="Z292" s="0" t="n">
        <v>16</v>
      </c>
      <c r="AA292" s="0" t="inlineStr">
        <is>
          <t>No</t>
        </is>
      </c>
    </row>
    <row r="293" ht="15.75" customHeight="1" s="51">
      <c r="A293" s="38" t="inlineStr">
        <is>
          <t>MET-029-01</t>
        </is>
      </c>
      <c r="B293" s="38" t="inlineStr">
        <is>
          <t>Metis</t>
        </is>
      </c>
      <c r="C293" s="38" t="inlineStr">
        <is>
          <t>Laptops</t>
        </is>
      </c>
      <c r="D293" s="38" t="inlineStr">
        <is>
          <t>Laptop</t>
        </is>
      </c>
      <c r="E293" s="39" t="inlineStr">
        <is>
          <t>Metis Lumen Plus Student Laptop</t>
        </is>
      </c>
      <c r="F293" s="40" t="n">
        <v>315.99</v>
      </c>
      <c r="G293" s="38" t="inlineStr">
        <is>
          <t>the Lumen Plus; Metis Lumen Plus; Metiss Lumen Plus; Lumen Plus laptop</t>
        </is>
      </c>
      <c r="H293" s="38" t="inlineStr">
        <is>
          <t>1 year limited</t>
        </is>
      </c>
      <c r="I293" s="38" t="inlineStr">
        <is>
          <t>FCC, CE, UL 62368-1, Energy Star, EPEAT Gold</t>
        </is>
      </c>
      <c r="J293" s="38" t="inlineStr">
        <is>
          <t>Intel Core i3-1315U</t>
        </is>
      </c>
      <c r="K293" s="38" t="inlineStr">
        <is>
          <t>Intel UHD Graphics</t>
        </is>
      </c>
      <c r="L293" s="38" t="inlineStr">
        <is>
          <t>IPS, 60Hz</t>
        </is>
      </c>
      <c r="M293" s="38" t="inlineStr">
        <is>
          <t>1920x1080</t>
        </is>
      </c>
      <c r="N293" s="38" t="inlineStr">
        <is>
          <t>2x USB-C 3.2, 1x USB-A 3.2, HDMI 1.4, 3.5mm audio</t>
        </is>
      </c>
      <c r="O293" s="38" t="inlineStr">
        <is>
          <t>Windows 11 Home</t>
        </is>
      </c>
      <c r="P293" s="38" t="n">
        <v>12</v>
      </c>
      <c r="Q293" s="41" t="n">
        <v>1529</v>
      </c>
      <c r="R293" s="38" t="inlineStr">
        <is>
          <t>Longer battery than Zephyrus Zen Pro Student Laptop [ZEP-032-03] (12 vs 11 hrs); Lower price than Boreas Crest Lite Student Laptop [BOR-044-02] ($315.99 vs $708.99)</t>
        </is>
      </c>
      <c r="S293" s="38" t="inlineStr">
        <is>
          <t>school, everyday, budget</t>
        </is>
      </c>
      <c r="T293" s="0" t="inlineStr">
        <is>
          <t>in_stock</t>
        </is>
      </c>
      <c r="U293" s="0" t="n">
        <v>60</v>
      </c>
      <c r="V293" s="52" t="n">
        <v>331.99</v>
      </c>
      <c r="W293" s="0" t="inlineStr">
        <is>
          <t>2026-08-27</t>
        </is>
      </c>
      <c r="X293" s="0" t="n">
        <v>8</v>
      </c>
      <c r="Y293" s="0" t="n">
        <v>256</v>
      </c>
      <c r="Z293" s="0" t="n">
        <v>14</v>
      </c>
      <c r="AA293" s="0" t="inlineStr">
        <is>
          <t>No</t>
        </is>
      </c>
    </row>
    <row r="294" ht="15.75" customHeight="1" s="51">
      <c r="A294" s="38" t="inlineStr">
        <is>
          <t>MET-029-02</t>
        </is>
      </c>
      <c r="B294" s="38" t="inlineStr">
        <is>
          <t>Metis</t>
        </is>
      </c>
      <c r="C294" s="38" t="inlineStr">
        <is>
          <t>Laptops</t>
        </is>
      </c>
      <c r="D294" s="38" t="inlineStr">
        <is>
          <t>Laptop</t>
        </is>
      </c>
      <c r="E294" s="39" t="inlineStr">
        <is>
          <t>Metis Blaze SE Chromebook</t>
        </is>
      </c>
      <c r="F294" s="40" t="n">
        <v>365.99</v>
      </c>
      <c r="G294" s="38" t="inlineStr">
        <is>
          <t>the Blaze SE; Metis Blaze SE; Mettis Blaze SE; Blaze SE laptop</t>
        </is>
      </c>
      <c r="H294" s="38" t="inlineStr">
        <is>
          <t>1 year limited</t>
        </is>
      </c>
      <c r="I294" s="38" t="inlineStr">
        <is>
          <t>FCC, CE, UL 62368-1, Energy Star, EPEAT Gold</t>
        </is>
      </c>
      <c r="J294" s="38" t="inlineStr">
        <is>
          <t>MediaTek Kompanio 520</t>
        </is>
      </c>
      <c r="K294" s="38" t="inlineStr">
        <is>
          <t>Arm Mali-G52 MC2</t>
        </is>
      </c>
      <c r="L294" s="38" t="inlineStr">
        <is>
          <t>IPS, 60Hz</t>
        </is>
      </c>
      <c r="M294" s="38" t="inlineStr">
        <is>
          <t>1366x768</t>
        </is>
      </c>
      <c r="N294" s="38" t="inlineStr">
        <is>
          <t>2x USB-C 3.2, 1x USB-A 3.2, HDMI 1.4, 3.5mm audio</t>
        </is>
      </c>
      <c r="O294" s="38" t="inlineStr">
        <is>
          <t>ChromeOS</t>
        </is>
      </c>
      <c r="P294" s="38" t="n">
        <v>12</v>
      </c>
      <c r="Q294" s="41" t="n">
        <v>1454</v>
      </c>
      <c r="R294" s="38" t="inlineStr">
        <is>
          <t>Lower price than Aristaeus Vertex X Chromebook [ARI-027-01] ($365.99 vs $469.99); Longer battery than Rhea Arc Chromebook [RHE-047-01] (12 vs 10 hrs)</t>
        </is>
      </c>
      <c r="S294" s="38" t="inlineStr">
        <is>
          <t>school, kids, budget</t>
        </is>
      </c>
      <c r="T294" s="0" t="inlineStr">
        <is>
          <t>in_stock</t>
        </is>
      </c>
      <c r="U294" s="0" t="n">
        <v>60</v>
      </c>
      <c r="V294" s="52" t="n">
        <v>398.99</v>
      </c>
      <c r="W294" s="0" t="inlineStr">
        <is>
          <t>2026-09-19</t>
        </is>
      </c>
      <c r="X294" s="0" t="n">
        <v>8</v>
      </c>
      <c r="Y294" s="0" t="n">
        <v>128</v>
      </c>
      <c r="Z294" s="0" t="n">
        <v>14</v>
      </c>
      <c r="AA294" s="0" t="inlineStr">
        <is>
          <t>No</t>
        </is>
      </c>
    </row>
    <row r="295" ht="15.75" customHeight="1" s="51">
      <c r="A295" s="38" t="inlineStr">
        <is>
          <t>MET-029-03</t>
        </is>
      </c>
      <c r="B295" s="38" t="inlineStr">
        <is>
          <t>Metis</t>
        </is>
      </c>
      <c r="C295" s="38" t="inlineStr">
        <is>
          <t>Laptops</t>
        </is>
      </c>
      <c r="D295" s="38" t="inlineStr">
        <is>
          <t>Laptop</t>
        </is>
      </c>
      <c r="E295" s="39" t="inlineStr">
        <is>
          <t>Metis Quanta 2-in-1 Convertible</t>
        </is>
      </c>
      <c r="F295" s="40" t="n">
        <v>796.99</v>
      </c>
      <c r="G295" s="38" t="inlineStr">
        <is>
          <t>the Quanta; Metis Quanta; Metiss Quanta; Quanta laptop</t>
        </is>
      </c>
      <c r="H295" s="38" t="inlineStr">
        <is>
          <t>1 year limited</t>
        </is>
      </c>
      <c r="I295" s="38" t="inlineStr">
        <is>
          <t>FCC, CE, UL 62368-1, Energy Star, EPEAT Silver</t>
        </is>
      </c>
      <c r="J295" s="38" t="inlineStr">
        <is>
          <t>Qualcomm Snapdragon X Plus X1P-42-100</t>
        </is>
      </c>
      <c r="K295" s="38" t="inlineStr">
        <is>
          <t>Qualcomm Adreno X1-45</t>
        </is>
      </c>
      <c r="L295" s="38" t="inlineStr">
        <is>
          <t>IPS touch, 60Hz</t>
        </is>
      </c>
      <c r="M295" s="38" t="inlineStr">
        <is>
          <t>1920x1200</t>
        </is>
      </c>
      <c r="N295" s="38" t="inlineStr">
        <is>
          <t>2x USB4 (USB-C), 1x USB-A 3.2, 3.5mm audio</t>
        </is>
      </c>
      <c r="O295" s="38" t="inlineStr">
        <is>
          <t>Windows 11 Home</t>
        </is>
      </c>
      <c r="P295" s="38" t="n">
        <v>16</v>
      </c>
      <c r="Q295" s="41" t="n">
        <v>1255</v>
      </c>
      <c r="R295" s="38" t="inlineStr">
        <is>
          <t>Lower price than Homonoia Blaze SE 2-in-1 Convertible [HOM-033-03] ($796.99 vs $857.99); Longer battery than Thalia Volt 2-in-1 Convertible [THA-030-05] (16 vs 9 hrs)</t>
        </is>
      </c>
      <c r="S295" s="38" t="inlineStr">
        <is>
          <t>school, note-taking, travel</t>
        </is>
      </c>
      <c r="T295" s="0" t="inlineStr">
        <is>
          <t>in_stock</t>
        </is>
      </c>
      <c r="U295" s="0" t="n">
        <v>60</v>
      </c>
      <c r="V295" s="52" t="n">
        <v>903.99</v>
      </c>
      <c r="W295" s="0" t="inlineStr">
        <is>
          <t>2026-08-29</t>
        </is>
      </c>
      <c r="X295" s="0" t="n">
        <v>16</v>
      </c>
      <c r="Y295" s="0" t="n">
        <v>512</v>
      </c>
      <c r="Z295" s="0" t="n">
        <v>13.3</v>
      </c>
      <c r="AA295" s="0" t="inlineStr">
        <is>
          <t>Yes</t>
        </is>
      </c>
    </row>
    <row r="296" ht="15.75" customHeight="1" s="51">
      <c r="A296" s="38" t="inlineStr">
        <is>
          <t>MET-029-04</t>
        </is>
      </c>
      <c r="B296" s="38" t="inlineStr">
        <is>
          <t>Metis</t>
        </is>
      </c>
      <c r="C296" s="38" t="inlineStr">
        <is>
          <t>Laptops</t>
        </is>
      </c>
      <c r="D296" s="38" t="inlineStr">
        <is>
          <t>Laptop</t>
        </is>
      </c>
      <c r="E296" s="39" t="inlineStr">
        <is>
          <t>Metis Crest Plus 13" Ultrabook</t>
        </is>
      </c>
      <c r="F296" s="40" t="n">
        <v>1269.99</v>
      </c>
      <c r="G296" s="38" t="inlineStr">
        <is>
          <t>the Crest Plus; Metis Crest Plus; Metiss Crest Plus; Crest Plus laptop</t>
        </is>
      </c>
      <c r="H296" s="38" t="inlineStr">
        <is>
          <t>1 year limited</t>
        </is>
      </c>
      <c r="I296" s="38" t="inlineStr">
        <is>
          <t>FCC, CE, UL 62368-1, EPEAT Silver</t>
        </is>
      </c>
      <c r="J296" s="38" t="inlineStr">
        <is>
          <t>Intel Core Ultra 5 125U</t>
        </is>
      </c>
      <c r="K296" s="38" t="inlineStr">
        <is>
          <t>Intel Graphics</t>
        </is>
      </c>
      <c r="L296" s="38" t="inlineStr">
        <is>
          <t>IPS, 60Hz</t>
        </is>
      </c>
      <c r="M296" s="38" t="inlineStr">
        <is>
          <t>1920x1200</t>
        </is>
      </c>
      <c r="N296" s="38" t="inlineStr">
        <is>
          <t>2x Thunderbolt 4 (USB-C), 1x USB-A 3.2, HDMI 2.1, microSD, 3.5mm audio</t>
        </is>
      </c>
      <c r="O296" s="38" t="inlineStr">
        <is>
          <t>Windows 11 Home</t>
        </is>
      </c>
      <c r="P296" s="38" t="n">
        <v>15</v>
      </c>
      <c r="Q296" s="41" t="n">
        <v>1108</v>
      </c>
      <c r="R296" s="38" t="inlineStr">
        <is>
          <t>Lighter than Melpomene Pulse Lite 13" Ultrabook [MEL-026-05] (1,108 g vs 1,193 g); Longer battery than Hygieia Volt 13" Ultrabook [HYG-048-04] (15 vs 13 hrs)</t>
        </is>
      </c>
      <c r="S296" s="38" t="inlineStr">
        <is>
          <t>travel, school, work</t>
        </is>
      </c>
      <c r="T296" s="0" t="inlineStr">
        <is>
          <t>in_stock</t>
        </is>
      </c>
      <c r="U296" s="0" t="n">
        <v>60</v>
      </c>
      <c r="V296" s="52" t="n">
        <v>1423.99</v>
      </c>
      <c r="W296" s="0" t="inlineStr">
        <is>
          <t>2026-09-05</t>
        </is>
      </c>
      <c r="X296" s="0" t="n">
        <v>16</v>
      </c>
      <c r="Y296" s="0" t="n">
        <v>1024</v>
      </c>
      <c r="Z296" s="0" t="n">
        <v>13.3</v>
      </c>
      <c r="AA296" s="0" t="inlineStr">
        <is>
          <t>No</t>
        </is>
      </c>
    </row>
    <row r="297" ht="15.75" customHeight="1" s="51">
      <c r="A297" s="38" t="inlineStr">
        <is>
          <t>MET-029-05</t>
        </is>
      </c>
      <c r="B297" s="38" t="inlineStr">
        <is>
          <t>Metis</t>
        </is>
      </c>
      <c r="C297" s="38" t="inlineStr">
        <is>
          <t>Laptops</t>
        </is>
      </c>
      <c r="D297" s="38" t="inlineStr">
        <is>
          <t>Laptop</t>
        </is>
      </c>
      <c r="E297" s="39" t="inlineStr">
        <is>
          <t>Metis Sable Ultra Dual-Screen Laptop</t>
        </is>
      </c>
      <c r="F297" s="40" t="n">
        <v>1830.99</v>
      </c>
      <c r="G297" s="38" t="inlineStr">
        <is>
          <t>the Sable Ultra; Metis Sable Ultra; Metiis Sable Ultra; Sable Ultra laptop</t>
        </is>
      </c>
      <c r="H297" s="38" t="inlineStr">
        <is>
          <t>1 year limited</t>
        </is>
      </c>
      <c r="I297" s="38" t="inlineStr">
        <is>
          <t>FCC, CE, UL 62368-1, Energy Star, EPEAT Gold</t>
        </is>
      </c>
      <c r="J297" s="38" t="inlineStr">
        <is>
          <t>Qualcomm Snapdragon X Plus X1P-42-100</t>
        </is>
      </c>
      <c r="K297" s="38" t="inlineStr">
        <is>
          <t>Qualcomm Adreno X1-45</t>
        </is>
      </c>
      <c r="L297" s="38" t="inlineStr">
        <is>
          <t>Dual OLED touch, 120Hz</t>
        </is>
      </c>
      <c r="M297" s="38" t="inlineStr">
        <is>
          <t>2x 2880x1800</t>
        </is>
      </c>
      <c r="N297" s="38" t="inlineStr">
        <is>
          <t>2x USB4 (USB-C), 1x USB-A 3.2, 3.5mm audio</t>
        </is>
      </c>
      <c r="O297" s="38" t="inlineStr">
        <is>
          <t>Windows 11 Home</t>
        </is>
      </c>
      <c r="P297" s="38" t="n">
        <v>9</v>
      </c>
      <c r="Q297" s="41" t="n">
        <v>1873</v>
      </c>
      <c r="R297" s="38" t="inlineStr">
        <is>
          <t>Longer battery than Thanatos Aeon Dual-Screen Laptop [THA-049-07] (9 vs 8 hrs); Lower price than Aristaeus Vibe Pro Dual-Screen Laptop [ARI-027-08] ($1,830.99 vs $2,080.99)</t>
        </is>
      </c>
      <c r="S297" s="38" t="inlineStr">
        <is>
          <t>multitasking, productivity, content creation</t>
        </is>
      </c>
      <c r="T297" s="0" t="inlineStr">
        <is>
          <t>in_stock</t>
        </is>
      </c>
      <c r="U297" s="0" t="n">
        <v>60</v>
      </c>
      <c r="V297" s="52" t="n">
        <v>2055.99</v>
      </c>
      <c r="W297" s="0" t="inlineStr">
        <is>
          <t>2026-09-10</t>
        </is>
      </c>
      <c r="X297" s="0" t="n">
        <v>16</v>
      </c>
      <c r="Y297" s="0" t="n">
        <v>1024</v>
      </c>
      <c r="Z297" s="0" t="n">
        <v>14</v>
      </c>
      <c r="AA297" s="0" t="inlineStr">
        <is>
          <t>Yes</t>
        </is>
      </c>
    </row>
    <row r="298" ht="15.75" customHeight="1" s="51">
      <c r="A298" s="38" t="inlineStr">
        <is>
          <t>MET-029-06</t>
        </is>
      </c>
      <c r="B298" s="38" t="inlineStr">
        <is>
          <t>Metis</t>
        </is>
      </c>
      <c r="C298" s="38" t="inlineStr">
        <is>
          <t>Laptops</t>
        </is>
      </c>
      <c r="D298" s="38" t="inlineStr">
        <is>
          <t>Laptop</t>
        </is>
      </c>
      <c r="E298" s="39" t="inlineStr">
        <is>
          <t>Metis Nova Max 16" Creator Laptop</t>
        </is>
      </c>
      <c r="F298" s="40" t="n">
        <v>1936.99</v>
      </c>
      <c r="G298" s="38" t="inlineStr">
        <is>
          <t>the Nova Max; Metis Nova Max; Metiis Nova Max; Nova Max laptop</t>
        </is>
      </c>
      <c r="H298" s="38" t="inlineStr">
        <is>
          <t>1 year limited</t>
        </is>
      </c>
      <c r="I298" s="38" t="inlineStr">
        <is>
          <t>FCC, CE, UL 62368-1, Energy Star, EPEAT Bronze</t>
        </is>
      </c>
      <c r="J298" s="38" t="inlineStr">
        <is>
          <t>Intel Core Ultra 7 155H</t>
        </is>
      </c>
      <c r="K298" s="38" t="inlineStr">
        <is>
          <t>NVIDIA GeForce RTX 4060 8GB Laptop GPU</t>
        </is>
      </c>
      <c r="L298" s="38" t="inlineStr">
        <is>
          <t>OLED, 120Hz</t>
        </is>
      </c>
      <c r="M298" s="38" t="inlineStr">
        <is>
          <t>3200x2000</t>
        </is>
      </c>
      <c r="N298" s="38" t="inlineStr">
        <is>
          <t>2x Thunderbolt 4 (USB-C), 1x USB-A 3.2, HDMI 2.1, microSD, 3.5mm audio</t>
        </is>
      </c>
      <c r="O298" s="38" t="inlineStr">
        <is>
          <t>Windows 11 Home</t>
        </is>
      </c>
      <c r="P298" s="38" t="n">
        <v>11</v>
      </c>
      <c r="Q298" s="41" t="n">
        <v>2111</v>
      </c>
      <c r="R298" s="38" t="inlineStr">
        <is>
          <t>Lower price than Atropos Apex 16" Creator Laptop [ATR-035-09] ($1,936.99 vs $2,748.99); Longer battery than Aeolus Aeon Ultra 16" Creator Laptop [AEO-031-08] (11 vs 9 hrs)</t>
        </is>
      </c>
      <c r="S298" s="38" t="inlineStr">
        <is>
          <t>video editing, photo editing, content creation</t>
        </is>
      </c>
      <c r="T298" s="0" t="inlineStr">
        <is>
          <t>low_stock</t>
        </is>
      </c>
      <c r="U298" s="0" t="n">
        <v>60</v>
      </c>
      <c r="V298" s="52" t="n">
        <v>2188.99</v>
      </c>
      <c r="W298" s="0" t="inlineStr">
        <is>
          <t>2026-08-08</t>
        </is>
      </c>
      <c r="X298" s="0" t="n">
        <v>32</v>
      </c>
      <c r="Y298" s="0" t="n">
        <v>1024</v>
      </c>
      <c r="Z298" s="0" t="n">
        <v>16</v>
      </c>
      <c r="AA298" s="0" t="inlineStr">
        <is>
          <t>No</t>
        </is>
      </c>
    </row>
    <row r="299" ht="15.75" customHeight="1" s="51">
      <c r="A299" s="38" t="inlineStr">
        <is>
          <t>MET-029-07</t>
        </is>
      </c>
      <c r="B299" s="38" t="inlineStr">
        <is>
          <t>Metis</t>
        </is>
      </c>
      <c r="C299" s="38" t="inlineStr">
        <is>
          <t>Laptops</t>
        </is>
      </c>
      <c r="D299" s="38" t="inlineStr">
        <is>
          <t>Laptop</t>
        </is>
      </c>
      <c r="E299" s="39" t="inlineStr">
        <is>
          <t>Metis Quanta Plus 15" Gaming Laptop</t>
        </is>
      </c>
      <c r="F299" s="40" t="n">
        <v>2102.99</v>
      </c>
      <c r="G299" s="38" t="inlineStr">
        <is>
          <t>the Quanta Plus; Metis Quanta Plus; Meetis Quanta Plus; Quanta Plus laptop</t>
        </is>
      </c>
      <c r="H299" s="38" t="inlineStr">
        <is>
          <t>2 year limited</t>
        </is>
      </c>
      <c r="I299" s="38" t="inlineStr">
        <is>
          <t>FCC, CE, UL 62368-1, Energy Star, EPEAT Silver</t>
        </is>
      </c>
      <c r="J299" s="38" t="inlineStr">
        <is>
          <t>Intel Core i9-14900HX</t>
        </is>
      </c>
      <c r="K299" s="38" t="inlineStr">
        <is>
          <t>NVIDIA GeForce RTX 4070 8GB Laptop GPU</t>
        </is>
      </c>
      <c r="L299" s="38" t="inlineStr">
        <is>
          <t>IPS, 240Hz</t>
        </is>
      </c>
      <c r="M299" s="38" t="inlineStr">
        <is>
          <t>2560x1600</t>
        </is>
      </c>
      <c r="N299" s="38" t="inlineStr">
        <is>
          <t>1x Thunderbolt 4, 3x USB-A 3.2, HDMI 2.1, RJ-45 Ethernet, 3.5mm audio</t>
        </is>
      </c>
      <c r="O299" s="38" t="inlineStr">
        <is>
          <t>Windows 11 Home</t>
        </is>
      </c>
      <c r="P299" s="38" t="n">
        <v>5</v>
      </c>
      <c r="Q299" s="41" t="n">
        <v>2148</v>
      </c>
      <c r="R299" s="38" t="inlineStr">
        <is>
          <t>Lighter than Thalia Pulse Max 15" Gaming Laptop [THA-030-06] (2,148 g vs 2,208 g); Lower price than Homonoia Zen 15" Gaming Laptop [HOM-033-08] ($2,102.99 vs $2,203.99)</t>
        </is>
      </c>
      <c r="S299" s="38" t="inlineStr">
        <is>
          <t>gaming, streaming</t>
        </is>
      </c>
      <c r="T299" s="0" t="inlineStr">
        <is>
          <t>in_stock</t>
        </is>
      </c>
      <c r="U299" s="0" t="n">
        <v>60</v>
      </c>
      <c r="V299" s="52" t="n">
        <v>2297.99</v>
      </c>
      <c r="W299" s="0" t="inlineStr">
        <is>
          <t>2026-08-09</t>
        </is>
      </c>
      <c r="X299" s="0" t="n">
        <v>32</v>
      </c>
      <c r="Y299" s="0" t="n">
        <v>2048</v>
      </c>
      <c r="Z299" s="0" t="n">
        <v>15.6</v>
      </c>
      <c r="AA299" s="0" t="inlineStr">
        <is>
          <t>No</t>
        </is>
      </c>
    </row>
    <row r="300" ht="15.75" customHeight="1" s="51">
      <c r="A300" s="38" t="inlineStr">
        <is>
          <t>MET-029-08</t>
        </is>
      </c>
      <c r="B300" s="38" t="inlineStr">
        <is>
          <t>Metis</t>
        </is>
      </c>
      <c r="C300" s="38" t="inlineStr">
        <is>
          <t>Laptops</t>
        </is>
      </c>
      <c r="D300" s="38" t="inlineStr">
        <is>
          <t>Laptop</t>
        </is>
      </c>
      <c r="E300" s="39" t="inlineStr">
        <is>
          <t>Metis Drift Pro Rugged Laptop</t>
        </is>
      </c>
      <c r="F300" s="40" t="n">
        <v>2195.99</v>
      </c>
      <c r="G300" s="38" t="inlineStr">
        <is>
          <t>the Drift Pro; Metis Drift Pro; Meits Drift Pro; Drift Pro laptop</t>
        </is>
      </c>
      <c r="H300" s="38" t="inlineStr">
        <is>
          <t>3 year limited, accidental damage</t>
        </is>
      </c>
      <c r="I300" s="38" t="inlineStr">
        <is>
          <t>FCC, CE, UL 62368-1, Energy Star, EPEAT Silver, MIL-STD-810H, IP65</t>
        </is>
      </c>
      <c r="J300" s="38" t="inlineStr">
        <is>
          <t>Intel Core Ultra 5 125U</t>
        </is>
      </c>
      <c r="K300" s="38" t="inlineStr">
        <is>
          <t>Intel Graphics</t>
        </is>
      </c>
      <c r="L300" s="38" t="inlineStr">
        <is>
          <t>IPS sunlight-readable 1000 nits, touch</t>
        </is>
      </c>
      <c r="M300" s="38" t="inlineStr">
        <is>
          <t>1920x1080</t>
        </is>
      </c>
      <c r="N300" s="38" t="inlineStr">
        <is>
          <t>2x Thunderbolt 4 (USB-C), 1x USB-A 3.2, HDMI 2.1, microSD, 3.5mm audio, RJ-45 Ethernet, serial (RS-232), smart card reader</t>
        </is>
      </c>
      <c r="O300" s="38" t="inlineStr">
        <is>
          <t>Windows 11 Pro</t>
        </is>
      </c>
      <c r="P300" s="38" t="n">
        <v>10</v>
      </c>
      <c r="Q300" s="41" t="n">
        <v>2836</v>
      </c>
      <c r="R300" s="38" t="inlineStr">
        <is>
          <t>Longer battery than Calliope Aeon Max Rugged Laptop [CAL-040-09] (10 vs 9 hrs); Lighter than Aeolus Arc Air Rugged Laptop [AEO-031-06] (2,836 g vs 2,986 g)</t>
        </is>
      </c>
      <c r="S300" s="38" t="inlineStr">
        <is>
          <t>fieldwork, outdoor, industrial</t>
        </is>
      </c>
      <c r="T300" s="0" t="inlineStr">
        <is>
          <t>in_stock</t>
        </is>
      </c>
      <c r="U300" s="0" t="n">
        <v>60</v>
      </c>
      <c r="V300" s="52" t="n">
        <v>2328.99</v>
      </c>
      <c r="W300" s="0" t="inlineStr">
        <is>
          <t>2026-08-03</t>
        </is>
      </c>
      <c r="X300" s="0" t="n">
        <v>32</v>
      </c>
      <c r="Y300" s="0" t="n">
        <v>2048</v>
      </c>
      <c r="Z300" s="0" t="n">
        <v>17.3</v>
      </c>
      <c r="AA300" s="0" t="inlineStr">
        <is>
          <t>Yes</t>
        </is>
      </c>
    </row>
    <row r="301" ht="15.75" customHeight="1" s="51">
      <c r="A301" s="38" t="inlineStr">
        <is>
          <t>MET-029-09</t>
        </is>
      </c>
      <c r="B301" s="38" t="inlineStr">
        <is>
          <t>Metis</t>
        </is>
      </c>
      <c r="C301" s="38" t="inlineStr">
        <is>
          <t>Laptops</t>
        </is>
      </c>
      <c r="D301" s="38" t="inlineStr">
        <is>
          <t>Laptop</t>
        </is>
      </c>
      <c r="E301" s="39" t="inlineStr">
        <is>
          <t>Metis Halo Lite 17" Gaming Laptop</t>
        </is>
      </c>
      <c r="F301" s="40" t="n">
        <v>2217.99</v>
      </c>
      <c r="G301" s="38" t="inlineStr">
        <is>
          <t>the Halo Lite; Metis Halo Lite; Meetis Halo Lite; Halo Lite laptop</t>
        </is>
      </c>
      <c r="H301" s="38" t="inlineStr">
        <is>
          <t>1 year limited</t>
        </is>
      </c>
      <c r="I301" s="38" t="inlineStr">
        <is>
          <t>FCC, CE, UL 62368-1, EPEAT Silver</t>
        </is>
      </c>
      <c r="J301" s="38" t="inlineStr">
        <is>
          <t>Intel Core i9-14900HX</t>
        </is>
      </c>
      <c r="K301" s="38" t="inlineStr">
        <is>
          <t>NVIDIA GeForce RTX 4070 8GB Laptop GPU</t>
        </is>
      </c>
      <c r="L301" s="38" t="inlineStr">
        <is>
          <t>IPS, 240Hz</t>
        </is>
      </c>
      <c r="M301" s="38" t="inlineStr">
        <is>
          <t>2560x1600</t>
        </is>
      </c>
      <c r="N301" s="38" t="inlineStr">
        <is>
          <t>1x Thunderbolt 4, 3x USB-A 3.2, HDMI 2.1, RJ-45 Ethernet, 3.5mm audio</t>
        </is>
      </c>
      <c r="O301" s="38" t="inlineStr">
        <is>
          <t>Windows 11 Home</t>
        </is>
      </c>
      <c r="P301" s="38" t="n">
        <v>4</v>
      </c>
      <c r="Q301" s="41" t="n">
        <v>3302</v>
      </c>
      <c r="R301" s="38" t="inlineStr">
        <is>
          <t>Lower price than Boreas Wave Pro 17" Gaming Laptop [BOR-044-09] ($2,217.99 vs $3,212.99); Longer battery than Persephone Lumen Pro 17" Gaming Laptop [PER-036-09] (4 vs 3 hrs)</t>
        </is>
      </c>
      <c r="S301" s="38" t="inlineStr">
        <is>
          <t>gaming, streaming, content creation</t>
        </is>
      </c>
      <c r="T301" s="0" t="inlineStr">
        <is>
          <t>in_stock</t>
        </is>
      </c>
      <c r="U301" s="0" t="n">
        <v>60</v>
      </c>
      <c r="V301" s="52" t="n">
        <v>2311.99</v>
      </c>
      <c r="W301" s="0" t="inlineStr">
        <is>
          <t>2026-09-16</t>
        </is>
      </c>
      <c r="X301" s="0" t="n">
        <v>32</v>
      </c>
      <c r="Y301" s="0" t="n">
        <v>2048</v>
      </c>
      <c r="Z301" s="0" t="n">
        <v>17.3</v>
      </c>
      <c r="AA301" s="0" t="inlineStr">
        <is>
          <t>No</t>
        </is>
      </c>
    </row>
    <row r="302" ht="15.75" customHeight="1" s="51">
      <c r="A302" s="38" t="inlineStr">
        <is>
          <t>MET-029-10</t>
        </is>
      </c>
      <c r="B302" s="38" t="inlineStr">
        <is>
          <t>Metis</t>
        </is>
      </c>
      <c r="C302" s="38" t="inlineStr">
        <is>
          <t>Laptops</t>
        </is>
      </c>
      <c r="D302" s="38" t="inlineStr">
        <is>
          <t>Laptop</t>
        </is>
      </c>
      <c r="E302" s="39" t="inlineStr">
        <is>
          <t>Metis Core Lite Mobile Workstation</t>
        </is>
      </c>
      <c r="F302" s="40" t="n">
        <v>4341.99</v>
      </c>
      <c r="G302" s="38" t="inlineStr">
        <is>
          <t>the Core Lite; Metis Core Lite; Metiis Core Lite; Core Lite laptop</t>
        </is>
      </c>
      <c r="H302" s="38" t="inlineStr">
        <is>
          <t>3 year limited, on-site service</t>
        </is>
      </c>
      <c r="I302" s="38" t="inlineStr">
        <is>
          <t>FCC, CE, UL 62368-1, EPEAT Gold, TCO Certified, MIL-STD-810H</t>
        </is>
      </c>
      <c r="J302" s="38" t="inlineStr">
        <is>
          <t>Intel Core i9-14900HX</t>
        </is>
      </c>
      <c r="K302" s="38" t="inlineStr">
        <is>
          <t>NVIDIA RTX 5000 Ada 16GB Laptop GPU</t>
        </is>
      </c>
      <c r="L302" s="38" t="inlineStr">
        <is>
          <t>OLED, 120Hz</t>
        </is>
      </c>
      <c r="M302" s="38" t="inlineStr">
        <is>
          <t>3840x2400</t>
        </is>
      </c>
      <c r="N302" s="38" t="inlineStr">
        <is>
          <t>2x Thunderbolt 4 (USB-C), 1x USB-A 3.2, HDMI 2.1, microSD, 3.5mm audio</t>
        </is>
      </c>
      <c r="O302" s="38" t="inlineStr">
        <is>
          <t>Windows 11 Pro</t>
        </is>
      </c>
      <c r="P302" s="38" t="n">
        <v>10</v>
      </c>
      <c r="Q302" s="41" t="n">
        <v>2570</v>
      </c>
      <c r="R302" s="38" t="inlineStr">
        <is>
          <t>Longer battery than Priapus Zen Mobile Workstation [PRI-042-09] (10 vs 5 hrs); Lighter than Terpsichore Aeon Plus Mobile Workstation [TER-039-10] (2,570 g vs 2,808 g)</t>
        </is>
      </c>
      <c r="S302" s="38" t="inlineStr">
        <is>
          <t>engineering, 3D rendering, data science</t>
        </is>
      </c>
      <c r="T302" s="0" t="inlineStr">
        <is>
          <t>out_of_stock</t>
        </is>
      </c>
      <c r="U302" s="0" t="n">
        <v>60</v>
      </c>
      <c r="V302" s="52" t="n">
        <v>4902.99</v>
      </c>
      <c r="W302" s="0" t="inlineStr">
        <is>
          <t>2026-09-12</t>
        </is>
      </c>
      <c r="X302" s="0" t="n">
        <v>64</v>
      </c>
      <c r="Y302" s="0" t="n">
        <v>4096</v>
      </c>
      <c r="Z302" s="0" t="n">
        <v>16</v>
      </c>
      <c r="AA302" s="0" t="inlineStr">
        <is>
          <t>No</t>
        </is>
      </c>
    </row>
    <row r="303" ht="15.75" customHeight="1" s="51">
      <c r="A303" s="38" t="inlineStr">
        <is>
          <t>THA-030-01</t>
        </is>
      </c>
      <c r="B303" s="38" t="inlineStr">
        <is>
          <t>Thalia</t>
        </is>
      </c>
      <c r="C303" s="38" t="inlineStr">
        <is>
          <t>Laptops</t>
        </is>
      </c>
      <c r="D303" s="38" t="inlineStr">
        <is>
          <t>Laptop</t>
        </is>
      </c>
      <c r="E303" s="39" t="inlineStr">
        <is>
          <t>Thalia Pulse X Chromebook</t>
        </is>
      </c>
      <c r="F303" s="40" t="n">
        <v>439.99</v>
      </c>
      <c r="G303" s="38" t="inlineStr">
        <is>
          <t>the Pulse X; Thalia Pulse X; Talia Pulse X; Pulse X laptop</t>
        </is>
      </c>
      <c r="H303" s="38" t="inlineStr">
        <is>
          <t>1 year limited</t>
        </is>
      </c>
      <c r="I303" s="38" t="inlineStr">
        <is>
          <t>FCC, CE, UL 62368-1, Energy Star, EPEAT Bronze</t>
        </is>
      </c>
      <c r="J303" s="38" t="inlineStr">
        <is>
          <t>MediaTek Kompanio 520</t>
        </is>
      </c>
      <c r="K303" s="38" t="inlineStr">
        <is>
          <t>Arm Mali-G52 MC2</t>
        </is>
      </c>
      <c r="L303" s="38" t="inlineStr">
        <is>
          <t>IPS, 60Hz</t>
        </is>
      </c>
      <c r="M303" s="38" t="inlineStr">
        <is>
          <t>1366x768</t>
        </is>
      </c>
      <c r="N303" s="38" t="inlineStr">
        <is>
          <t>2x USB-C 3.2, 1x USB-A 3.2, HDMI 1.4, 3.5mm audio</t>
        </is>
      </c>
      <c r="O303" s="38" t="inlineStr">
        <is>
          <t>ChromeOS</t>
        </is>
      </c>
      <c r="P303" s="38" t="n">
        <v>14</v>
      </c>
      <c r="Q303" s="41" t="n">
        <v>1348</v>
      </c>
      <c r="R303" s="38" t="inlineStr">
        <is>
          <t>Lower price than Thallo Vertex Lite Chromebook [THA-046-03] ($439.99 vs $490.99); Lighter than Momus Prism Chromebook [MOM-043-01] (1,348 g vs 1,421 g)</t>
        </is>
      </c>
      <c r="S303" s="38" t="inlineStr">
        <is>
          <t>school, kids, budget</t>
        </is>
      </c>
      <c r="T303" s="0" t="inlineStr">
        <is>
          <t>in_stock</t>
        </is>
      </c>
      <c r="U303" s="0" t="n">
        <v>60</v>
      </c>
      <c r="V303" s="52" t="n">
        <v>478.99</v>
      </c>
      <c r="W303" s="0" t="inlineStr">
        <is>
          <t>2026-09-02</t>
        </is>
      </c>
      <c r="X303" s="0" t="n">
        <v>8</v>
      </c>
      <c r="Y303" s="0" t="n">
        <v>128</v>
      </c>
      <c r="Z303" s="0" t="n">
        <v>14</v>
      </c>
      <c r="AA303" s="0" t="inlineStr">
        <is>
          <t>Yes</t>
        </is>
      </c>
    </row>
    <row r="304" ht="15.75" customHeight="1" s="51">
      <c r="A304" s="38" t="inlineStr">
        <is>
          <t>THA-030-02</t>
        </is>
      </c>
      <c r="B304" s="38" t="inlineStr">
        <is>
          <t>Thalia</t>
        </is>
      </c>
      <c r="C304" s="38" t="inlineStr">
        <is>
          <t>Laptops</t>
        </is>
      </c>
      <c r="D304" s="38" t="inlineStr">
        <is>
          <t>Laptop</t>
        </is>
      </c>
      <c r="E304" s="39" t="inlineStr">
        <is>
          <t>Thalia Nova Lite Student Laptop</t>
        </is>
      </c>
      <c r="F304" s="40" t="n">
        <v>537.99</v>
      </c>
      <c r="G304" s="38" t="inlineStr">
        <is>
          <t>the Nova Lite; Thalia Nova Lite; Thaliaa Nova Lite; Nova Lite laptop</t>
        </is>
      </c>
      <c r="H304" s="38" t="inlineStr">
        <is>
          <t>1 year limited</t>
        </is>
      </c>
      <c r="I304" s="38" t="inlineStr">
        <is>
          <t>FCC, CE, UL 62368-1, Energy Star, EPEAT Bronze</t>
        </is>
      </c>
      <c r="J304" s="38" t="inlineStr">
        <is>
          <t>AMD Ryzen 3 7320U</t>
        </is>
      </c>
      <c r="K304" s="38" t="inlineStr">
        <is>
          <t>AMD Radeon 610M</t>
        </is>
      </c>
      <c r="L304" s="38" t="inlineStr">
        <is>
          <t>IPS, 60Hz</t>
        </is>
      </c>
      <c r="M304" s="38" t="inlineStr">
        <is>
          <t>1920x1080</t>
        </is>
      </c>
      <c r="N304" s="38" t="inlineStr">
        <is>
          <t>2x USB4 (USB-C), 2x USB-A 3.2, HDMI 2.1, SD card, 3.5mm audio</t>
        </is>
      </c>
      <c r="O304" s="38" t="inlineStr">
        <is>
          <t>Windows 11 Home</t>
        </is>
      </c>
      <c r="P304" s="38" t="n">
        <v>8</v>
      </c>
      <c r="Q304" s="41" t="n">
        <v>1570</v>
      </c>
      <c r="R304" s="38" t="inlineStr">
        <is>
          <t>Lower price than Aristaeus Pulse Student Laptop [ARI-027-03] ($537.99 vs $760.99); Lighter than Boreas Crest Lite Student Laptop [BOR-044-02] (1,570 g vs 1,646 g)</t>
        </is>
      </c>
      <c r="S304" s="38" t="inlineStr">
        <is>
          <t>school, everyday, budget</t>
        </is>
      </c>
      <c r="T304" s="0" t="inlineStr">
        <is>
          <t>in_stock</t>
        </is>
      </c>
      <c r="U304" s="0" t="n">
        <v>60</v>
      </c>
      <c r="V304" s="52" t="n">
        <v>595.99</v>
      </c>
      <c r="W304" s="0" t="inlineStr">
        <is>
          <t>2026-08-30</t>
        </is>
      </c>
      <c r="X304" s="0" t="n">
        <v>16</v>
      </c>
      <c r="Y304" s="0" t="n">
        <v>512</v>
      </c>
      <c r="Z304" s="0" t="n">
        <v>14</v>
      </c>
      <c r="AA304" s="0" t="inlineStr">
        <is>
          <t>No</t>
        </is>
      </c>
    </row>
    <row r="305" ht="15.75" customHeight="1" s="51">
      <c r="A305" s="38" t="inlineStr">
        <is>
          <t>THA-030-03</t>
        </is>
      </c>
      <c r="B305" s="38" t="inlineStr">
        <is>
          <t>Thalia</t>
        </is>
      </c>
      <c r="C305" s="38" t="inlineStr">
        <is>
          <t>Laptops</t>
        </is>
      </c>
      <c r="D305" s="38" t="inlineStr">
        <is>
          <t>Laptop</t>
        </is>
      </c>
      <c r="E305" s="39" t="inlineStr">
        <is>
          <t>Thalia Rift X 13" Ultrabook</t>
        </is>
      </c>
      <c r="F305" s="40" t="n">
        <v>1469.99</v>
      </c>
      <c r="G305" s="38" t="inlineStr">
        <is>
          <t>the Rift X; Thalia Rift X; Thaliia Rift X; Rift X laptop</t>
        </is>
      </c>
      <c r="H305" s="38" t="inlineStr">
        <is>
          <t>1 year limited</t>
        </is>
      </c>
      <c r="I305" s="38" t="inlineStr">
        <is>
          <t>FCC, CE, UL 62368-1, Energy Star, EPEAT Gold</t>
        </is>
      </c>
      <c r="J305" s="38" t="inlineStr">
        <is>
          <t>AMD Ryzen AI 9 HX 370</t>
        </is>
      </c>
      <c r="K305" s="38" t="inlineStr">
        <is>
          <t>AMD Radeon 890M</t>
        </is>
      </c>
      <c r="L305" s="38" t="inlineStr">
        <is>
          <t>OLED, 90Hz</t>
        </is>
      </c>
      <c r="M305" s="38" t="inlineStr">
        <is>
          <t>2880x1800</t>
        </is>
      </c>
      <c r="N305" s="38" t="inlineStr">
        <is>
          <t>2x USB4 (USB-C), 2x USB-A 3.2, HDMI 2.1, SD card, 3.5mm audio</t>
        </is>
      </c>
      <c r="O305" s="38" t="inlineStr">
        <is>
          <t>Windows 11 Home</t>
        </is>
      </c>
      <c r="P305" s="38" t="n">
        <v>20</v>
      </c>
      <c r="Q305" s="41" t="n">
        <v>998</v>
      </c>
      <c r="R305" s="38" t="inlineStr">
        <is>
          <t>Longer battery than Thanatos Orbit Lite 13" Ultrabook [THA-049-06] (20 vs 12 hrs); Lighter than Zephyrus Nova Air 13" Ultrabook [ZEP-032-05] (998 g vs 1,128 g)</t>
        </is>
      </c>
      <c r="S305" s="38" t="inlineStr">
        <is>
          <t>travel, school, work</t>
        </is>
      </c>
      <c r="T305" s="0" t="inlineStr">
        <is>
          <t>in_stock</t>
        </is>
      </c>
      <c r="U305" s="0" t="n">
        <v>60</v>
      </c>
      <c r="V305" s="52" t="n">
        <v>1667.99</v>
      </c>
      <c r="W305" s="0" t="inlineStr">
        <is>
          <t>2026-08-20</t>
        </is>
      </c>
      <c r="X305" s="0" t="n">
        <v>16</v>
      </c>
      <c r="Y305" s="0" t="n">
        <v>1024</v>
      </c>
      <c r="Z305" s="0" t="n">
        <v>13.3</v>
      </c>
      <c r="AA305" s="0" t="inlineStr">
        <is>
          <t>No</t>
        </is>
      </c>
    </row>
    <row r="306" ht="15.75" customHeight="1" s="51">
      <c r="A306" s="38" t="inlineStr">
        <is>
          <t>THA-030-04</t>
        </is>
      </c>
      <c r="B306" s="38" t="inlineStr">
        <is>
          <t>Thalia</t>
        </is>
      </c>
      <c r="C306" s="38" t="inlineStr">
        <is>
          <t>Laptops</t>
        </is>
      </c>
      <c r="D306" s="38" t="inlineStr">
        <is>
          <t>Laptop</t>
        </is>
      </c>
      <c r="E306" s="39" t="inlineStr">
        <is>
          <t>Thalia Apex Max 14" Business Laptop</t>
        </is>
      </c>
      <c r="F306" s="40" t="n">
        <v>1502.99</v>
      </c>
      <c r="G306" s="38" t="inlineStr">
        <is>
          <t>the Apex Max; Thalia Apex Max; Talia Apex Max; Apex Max laptop</t>
        </is>
      </c>
      <c r="H306" s="38" t="inlineStr">
        <is>
          <t>3 year limited, on-site service</t>
        </is>
      </c>
      <c r="I306" s="38" t="inlineStr">
        <is>
          <t>FCC, CE, UL 62368-1, Energy Star, EPEAT Gold, TCO Certified, MIL-STD-810H</t>
        </is>
      </c>
      <c r="J306" s="38" t="inlineStr">
        <is>
          <t>Intel Core Ultra 7 155H</t>
        </is>
      </c>
      <c r="K306" s="38" t="inlineStr">
        <is>
          <t>Intel Arc Graphics</t>
        </is>
      </c>
      <c r="L306" s="38" t="inlineStr">
        <is>
          <t>OLED, 60Hz</t>
        </is>
      </c>
      <c r="M306" s="38" t="inlineStr">
        <is>
          <t>2880x1800</t>
        </is>
      </c>
      <c r="N306" s="38" t="inlineStr">
        <is>
          <t>2x Thunderbolt 4 (USB-C), 1x USB-A 3.2, HDMI 2.1, microSD, 3.5mm audio</t>
        </is>
      </c>
      <c r="O306" s="38" t="inlineStr">
        <is>
          <t>Windows 11 Pro</t>
        </is>
      </c>
      <c r="P306" s="38" t="n">
        <v>13</v>
      </c>
      <c r="Q306" s="41" t="n">
        <v>1162</v>
      </c>
      <c r="R306" s="38" t="inlineStr">
        <is>
          <t>Lighter than Zephyrus Core Lite 14" Business Laptop [ZEP-032-04] (1,162 g vs 1,228 g); Lower price than Selene Crest Air 14" Business Laptop [SEL-034-05] ($1,502.99 vs $1,528.99)</t>
        </is>
      </c>
      <c r="S306" s="38" t="inlineStr">
        <is>
          <t>work, travel, remote meetings</t>
        </is>
      </c>
      <c r="T306" s="0" t="inlineStr">
        <is>
          <t>out_of_stock</t>
        </is>
      </c>
      <c r="U306" s="0" t="n">
        <v>60</v>
      </c>
      <c r="V306" s="52" t="n">
        <v>1711.99</v>
      </c>
      <c r="W306" s="0" t="inlineStr">
        <is>
          <t>2026-08-29</t>
        </is>
      </c>
      <c r="X306" s="0" t="n">
        <v>16</v>
      </c>
      <c r="Y306" s="0" t="n">
        <v>1024</v>
      </c>
      <c r="Z306" s="0" t="n">
        <v>14</v>
      </c>
      <c r="AA306" s="0" t="inlineStr">
        <is>
          <t>No</t>
        </is>
      </c>
    </row>
    <row r="307" ht="15.75" customHeight="1" s="51">
      <c r="A307" s="38" t="inlineStr">
        <is>
          <t>THA-030-05</t>
        </is>
      </c>
      <c r="B307" s="38" t="inlineStr">
        <is>
          <t>Thalia</t>
        </is>
      </c>
      <c r="C307" s="38" t="inlineStr">
        <is>
          <t>Laptops</t>
        </is>
      </c>
      <c r="D307" s="38" t="inlineStr">
        <is>
          <t>Laptop</t>
        </is>
      </c>
      <c r="E307" s="39" t="inlineStr">
        <is>
          <t>Thalia Volt 2-in-1 Convertible</t>
        </is>
      </c>
      <c r="F307" s="40" t="n">
        <v>1739.99</v>
      </c>
      <c r="G307" s="38" t="inlineStr">
        <is>
          <t>the Volt; Thalia Volt; Thlaia Volt; Volt laptop</t>
        </is>
      </c>
      <c r="H307" s="38" t="inlineStr">
        <is>
          <t>2 year limited</t>
        </is>
      </c>
      <c r="I307" s="38" t="inlineStr">
        <is>
          <t>FCC, CE, UL 62368-1, Energy Star, EPEAT Gold</t>
        </is>
      </c>
      <c r="J307" s="38" t="inlineStr">
        <is>
          <t>AMD Ryzen 7 8845HS</t>
        </is>
      </c>
      <c r="K307" s="38" t="inlineStr">
        <is>
          <t>AMD Radeon 780M</t>
        </is>
      </c>
      <c r="L307" s="38" t="inlineStr">
        <is>
          <t>OLED touch, 60Hz</t>
        </is>
      </c>
      <c r="M307" s="38" t="inlineStr">
        <is>
          <t>2880x1800</t>
        </is>
      </c>
      <c r="N307" s="38" t="inlineStr">
        <is>
          <t>2x USB4 (USB-C), 2x USB-A 3.2, HDMI 2.1, SD card, 3.5mm audio</t>
        </is>
      </c>
      <c r="O307" s="38" t="inlineStr">
        <is>
          <t>Windows 11 Home</t>
        </is>
      </c>
      <c r="P307" s="38" t="n">
        <v>9</v>
      </c>
      <c r="Q307" s="41" t="n">
        <v>1438</v>
      </c>
      <c r="R307" s="38" t="inlineStr">
        <is>
          <t>Lighter than Terpsichore Strata Max 2-in-1 Convertible [TER-039-04] (1,438 g vs 1,457 g); Lower price than Auxo Vertex X 2-in-1 Convertible [AUX-038-05] ($1,739.99 vs $1,777.99)</t>
        </is>
      </c>
      <c r="S307" s="38" t="inlineStr">
        <is>
          <t>school, note-taking, travel</t>
        </is>
      </c>
      <c r="T307" s="0" t="inlineStr">
        <is>
          <t>in_stock</t>
        </is>
      </c>
      <c r="U307" s="0" t="n">
        <v>60</v>
      </c>
      <c r="V307" s="52" t="n">
        <v>1876.99</v>
      </c>
      <c r="W307" s="0" t="inlineStr">
        <is>
          <t>2026-09-18</t>
        </is>
      </c>
      <c r="X307" s="0" t="n">
        <v>16</v>
      </c>
      <c r="Y307" s="0" t="n">
        <v>1024</v>
      </c>
      <c r="Z307" s="0" t="n">
        <v>14</v>
      </c>
      <c r="AA307" s="0" t="inlineStr">
        <is>
          <t>Yes</t>
        </is>
      </c>
    </row>
    <row r="308" ht="15.75" customHeight="1" s="51">
      <c r="A308" s="38" t="inlineStr">
        <is>
          <t>THA-030-06</t>
        </is>
      </c>
      <c r="B308" s="38" t="inlineStr">
        <is>
          <t>Thalia</t>
        </is>
      </c>
      <c r="C308" s="38" t="inlineStr">
        <is>
          <t>Laptops</t>
        </is>
      </c>
      <c r="D308" s="38" t="inlineStr">
        <is>
          <t>Laptop</t>
        </is>
      </c>
      <c r="E308" s="39" t="inlineStr">
        <is>
          <t>Thalia Pulse Max 15" Gaming Laptop</t>
        </is>
      </c>
      <c r="F308" s="40" t="n">
        <v>1806.99</v>
      </c>
      <c r="G308" s="38" t="inlineStr">
        <is>
          <t>the Pulse Max; Thalia Pulse Max; Thaalia Pulse Max; Pulse Max laptop</t>
        </is>
      </c>
      <c r="H308" s="38" t="inlineStr">
        <is>
          <t>1 year limited</t>
        </is>
      </c>
      <c r="I308" s="38" t="inlineStr">
        <is>
          <t>FCC, CE, UL 62368-1, Energy Star, EPEAT Bronze</t>
        </is>
      </c>
      <c r="J308" s="38" t="inlineStr">
        <is>
          <t>Intel Core Ultra 7 155H</t>
        </is>
      </c>
      <c r="K308" s="38" t="inlineStr">
        <is>
          <t>NVIDIA GeForce RTX 4060 8GB Laptop GPU</t>
        </is>
      </c>
      <c r="L308" s="38" t="inlineStr">
        <is>
          <t>IPS, 240Hz</t>
        </is>
      </c>
      <c r="M308" s="38" t="inlineStr">
        <is>
          <t>2560x1600</t>
        </is>
      </c>
      <c r="N308" s="38" t="inlineStr">
        <is>
          <t>1x Thunderbolt 4, 3x USB-A 3.2, HDMI 2.1, RJ-45 Ethernet, 3.5mm audio</t>
        </is>
      </c>
      <c r="O308" s="38" t="inlineStr">
        <is>
          <t>Windows 11 Home</t>
        </is>
      </c>
      <c r="P308" s="38" t="n">
        <v>8</v>
      </c>
      <c r="Q308" s="41" t="n">
        <v>2208</v>
      </c>
      <c r="R308" s="38" t="inlineStr">
        <is>
          <t>Lighter than Thallo Vertex 15" Gaming Laptop [THA-046-04] (2,208 g vs 2,465 g); Longer battery than Priapus Apex Air 15" Gaming Laptop [PRI-042-05] (8 vs 6 hrs)</t>
        </is>
      </c>
      <c r="S308" s="38" t="inlineStr">
        <is>
          <t>gaming, streaming</t>
        </is>
      </c>
      <c r="T308" s="0" t="inlineStr">
        <is>
          <t>in_stock</t>
        </is>
      </c>
      <c r="U308" s="0" t="n">
        <v>60</v>
      </c>
      <c r="V308" s="52" t="n">
        <v>1983.99</v>
      </c>
      <c r="W308" s="0" t="inlineStr">
        <is>
          <t>2026-08-22</t>
        </is>
      </c>
      <c r="X308" s="0" t="n">
        <v>32</v>
      </c>
      <c r="Y308" s="0" t="n">
        <v>1024</v>
      </c>
      <c r="Z308" s="0" t="n">
        <v>15.6</v>
      </c>
      <c r="AA308" s="0" t="inlineStr">
        <is>
          <t>No</t>
        </is>
      </c>
    </row>
    <row r="309" ht="15.75" customHeight="1" s="51">
      <c r="A309" s="38" t="inlineStr">
        <is>
          <t>THA-030-07</t>
        </is>
      </c>
      <c r="B309" s="38" t="inlineStr">
        <is>
          <t>Thalia</t>
        </is>
      </c>
      <c r="C309" s="38" t="inlineStr">
        <is>
          <t>Laptops</t>
        </is>
      </c>
      <c r="D309" s="38" t="inlineStr">
        <is>
          <t>Laptop</t>
        </is>
      </c>
      <c r="E309" s="39" t="inlineStr">
        <is>
          <t>Thalia Apex Pro 16" Creator Laptop</t>
        </is>
      </c>
      <c r="F309" s="40" t="n">
        <v>1841.99</v>
      </c>
      <c r="G309" s="38" t="inlineStr">
        <is>
          <t>the Apex Pro; Thalia Apex Pro; Talia Apex Pro; Apex Pro laptop</t>
        </is>
      </c>
      <c r="H309" s="38" t="inlineStr">
        <is>
          <t>1 year limited</t>
        </is>
      </c>
      <c r="I309" s="38" t="inlineStr">
        <is>
          <t>FCC, CE, UL 62368-1, Energy Star, EPEAT Gold</t>
        </is>
      </c>
      <c r="J309" s="38" t="inlineStr">
        <is>
          <t>AMD Ryzen 9 7945HX</t>
        </is>
      </c>
      <c r="K309" s="38" t="inlineStr">
        <is>
          <t>NVIDIA GeForce RTX 4060 8GB Laptop GPU</t>
        </is>
      </c>
      <c r="L309" s="38" t="inlineStr">
        <is>
          <t>OLED, 120Hz</t>
        </is>
      </c>
      <c r="M309" s="38" t="inlineStr">
        <is>
          <t>3200x2000</t>
        </is>
      </c>
      <c r="N309" s="38" t="inlineStr">
        <is>
          <t>2x USB-C 3.2, 1x USB-A 3.2, HDMI 1.4, 3.5mm audio</t>
        </is>
      </c>
      <c r="O309" s="38" t="inlineStr">
        <is>
          <t>Windows 11 Home</t>
        </is>
      </c>
      <c r="P309" s="38" t="n">
        <v>11</v>
      </c>
      <c r="Q309" s="41" t="n">
        <v>2175</v>
      </c>
      <c r="R309" s="38" t="inlineStr">
        <is>
          <t>Lower price than Heracles Flux Plus 16" Creator Laptop [HER-037-09] ($1,841.99 vs $3,496.99); Longer battery than Thallo Nova 16" Creator Laptop [THA-046-09] (11 vs 9 hrs)</t>
        </is>
      </c>
      <c r="S309" s="38" t="inlineStr">
        <is>
          <t>video editing, photo editing, content creation</t>
        </is>
      </c>
      <c r="T309" s="0" t="inlineStr">
        <is>
          <t>out_of_stock</t>
        </is>
      </c>
      <c r="U309" s="0" t="n">
        <v>60</v>
      </c>
      <c r="V309" s="52" t="n">
        <v>2098.99</v>
      </c>
      <c r="W309" s="0" t="inlineStr">
        <is>
          <t>2026-08-12</t>
        </is>
      </c>
      <c r="X309" s="0" t="n">
        <v>32</v>
      </c>
      <c r="Y309" s="0" t="n">
        <v>1024</v>
      </c>
      <c r="Z309" s="0" t="n">
        <v>16</v>
      </c>
      <c r="AA309" s="0" t="inlineStr">
        <is>
          <t>No</t>
        </is>
      </c>
    </row>
    <row r="310" ht="15.75" customHeight="1" s="51">
      <c r="A310" s="38" t="inlineStr">
        <is>
          <t>THA-030-08</t>
        </is>
      </c>
      <c r="B310" s="38" t="inlineStr">
        <is>
          <t>Thalia</t>
        </is>
      </c>
      <c r="C310" s="38" t="inlineStr">
        <is>
          <t>Laptops</t>
        </is>
      </c>
      <c r="D310" s="38" t="inlineStr">
        <is>
          <t>Laptop</t>
        </is>
      </c>
      <c r="E310" s="39" t="inlineStr">
        <is>
          <t>Thalia Arc SE Dual-Screen Laptop</t>
        </is>
      </c>
      <c r="F310" s="40" t="n">
        <v>2742.99</v>
      </c>
      <c r="G310" s="38" t="inlineStr">
        <is>
          <t>the Arc SE; Thalia Arc SE; Thallia Arc SE; Arc SE laptop</t>
        </is>
      </c>
      <c r="H310" s="38" t="inlineStr">
        <is>
          <t>2 year limited</t>
        </is>
      </c>
      <c r="I310" s="38" t="inlineStr">
        <is>
          <t>FCC, CE, UL 62368-1, Energy Star, EPEAT Bronze</t>
        </is>
      </c>
      <c r="J310" s="38" t="inlineStr">
        <is>
          <t>AMD Ryzen 7 8845HS</t>
        </is>
      </c>
      <c r="K310" s="38" t="inlineStr">
        <is>
          <t>AMD Radeon 780M</t>
        </is>
      </c>
      <c r="L310" s="38" t="inlineStr">
        <is>
          <t>Dual OLED touch, 120Hz</t>
        </is>
      </c>
      <c r="M310" s="38" t="inlineStr">
        <is>
          <t>2x 2880x1800</t>
        </is>
      </c>
      <c r="N310" s="38" t="inlineStr">
        <is>
          <t>2x USB4 (USB-C), 2x USB-A 3.2, HDMI 2.1, SD card, 3.5mm audio</t>
        </is>
      </c>
      <c r="O310" s="38" t="inlineStr">
        <is>
          <t>Windows 11 Home</t>
        </is>
      </c>
      <c r="P310" s="38" t="n">
        <v>7</v>
      </c>
      <c r="Q310" s="41" t="n">
        <v>1610</v>
      </c>
      <c r="R310" s="38" t="inlineStr">
        <is>
          <t>Lighter than Melpomene Nova Plus Dual-Screen Laptop [MEL-026-08] (1,610 g vs 1,818 g); Longer battery than Homonoia Flux Dual-Screen Laptop [HOM-033-09] (7 vs 6 hrs)</t>
        </is>
      </c>
      <c r="S310" s="38" t="inlineStr">
        <is>
          <t>multitasking, productivity, content creation</t>
        </is>
      </c>
      <c r="T310" s="0" t="inlineStr">
        <is>
          <t>in_stock</t>
        </is>
      </c>
      <c r="U310" s="0" t="n">
        <v>60</v>
      </c>
      <c r="V310" s="52" t="n">
        <v>3001.99</v>
      </c>
      <c r="W310" s="0" t="inlineStr">
        <is>
          <t>2026-08-09</t>
        </is>
      </c>
      <c r="X310" s="0" t="n">
        <v>32</v>
      </c>
      <c r="Y310" s="0" t="n">
        <v>2048</v>
      </c>
      <c r="Z310" s="0" t="n">
        <v>14</v>
      </c>
      <c r="AA310" s="0" t="inlineStr">
        <is>
          <t>Yes</t>
        </is>
      </c>
    </row>
    <row r="311" ht="15.75" customHeight="1" s="51">
      <c r="A311" s="38" t="inlineStr">
        <is>
          <t>THA-030-09</t>
        </is>
      </c>
      <c r="B311" s="38" t="inlineStr">
        <is>
          <t>Thalia</t>
        </is>
      </c>
      <c r="C311" s="38" t="inlineStr">
        <is>
          <t>Laptops</t>
        </is>
      </c>
      <c r="D311" s="38" t="inlineStr">
        <is>
          <t>Laptop</t>
        </is>
      </c>
      <c r="E311" s="39" t="inlineStr">
        <is>
          <t>Thalia Flux Ultra Rugged Laptop</t>
        </is>
      </c>
      <c r="F311" s="40" t="n">
        <v>3495.99</v>
      </c>
      <c r="G311" s="38" t="inlineStr">
        <is>
          <t>the Flux Ultra; Thalia Flux Ultra; Thali Flux Ultra; Flux Ultra laptop</t>
        </is>
      </c>
      <c r="H311" s="38" t="inlineStr">
        <is>
          <t>3 year limited, accidental damage</t>
        </is>
      </c>
      <c r="I311" s="38" t="inlineStr">
        <is>
          <t>FCC, CE, UL 62368-1, Energy Star, EPEAT Gold, MIL-STD-810H, IP65</t>
        </is>
      </c>
      <c r="J311" s="38" t="inlineStr">
        <is>
          <t>AMD Ryzen AI 9 HX 370</t>
        </is>
      </c>
      <c r="K311" s="38" t="inlineStr">
        <is>
          <t>AMD Radeon 890M</t>
        </is>
      </c>
      <c r="L311" s="38" t="inlineStr">
        <is>
          <t>IPS sunlight-readable 1000 nits, touch</t>
        </is>
      </c>
      <c r="M311" s="38" t="inlineStr">
        <is>
          <t>1920x1080</t>
        </is>
      </c>
      <c r="N311" s="38" t="inlineStr">
        <is>
          <t>2x USB4 (USB-C), 2x USB-A 3.2, HDMI 2.1, SD card, 3.5mm audio, RJ-45 Ethernet, serial (RS-232), smart card reader</t>
        </is>
      </c>
      <c r="O311" s="38" t="inlineStr">
        <is>
          <t>Windows 11 Pro</t>
        </is>
      </c>
      <c r="P311" s="38" t="n">
        <v>8</v>
      </c>
      <c r="Q311" s="41" t="n">
        <v>2992</v>
      </c>
      <c r="R311" s="38" t="inlineStr">
        <is>
          <t>Lighter than Priapus Drift SE Rugged Laptop [PRI-042-07] (2,992 g vs 3,534 g); Lower price than Selene Drift X Rugged Laptop [SEL-034-10] ($3,495.99 vs $3,855.99)</t>
        </is>
      </c>
      <c r="S311" s="38" t="inlineStr">
        <is>
          <t>fieldwork, outdoor, industrial</t>
        </is>
      </c>
      <c r="T311" s="0" t="inlineStr">
        <is>
          <t>in_stock</t>
        </is>
      </c>
      <c r="U311" s="0" t="n">
        <v>60</v>
      </c>
      <c r="V311" s="52" t="n">
        <v>3830.99</v>
      </c>
      <c r="W311" s="0" t="inlineStr">
        <is>
          <t>2026-09-15</t>
        </is>
      </c>
      <c r="X311" s="0" t="n">
        <v>64</v>
      </c>
      <c r="Y311" s="0" t="n">
        <v>2048</v>
      </c>
      <c r="Z311" s="0" t="n">
        <v>17.3</v>
      </c>
      <c r="AA311" s="0" t="inlineStr">
        <is>
          <t>Yes</t>
        </is>
      </c>
    </row>
    <row r="312" ht="15.75" customHeight="1" s="51">
      <c r="A312" s="38" t="inlineStr">
        <is>
          <t>THA-030-10</t>
        </is>
      </c>
      <c r="B312" s="38" t="inlineStr">
        <is>
          <t>Thalia</t>
        </is>
      </c>
      <c r="C312" s="38" t="inlineStr">
        <is>
          <t>Laptops</t>
        </is>
      </c>
      <c r="D312" s="38" t="inlineStr">
        <is>
          <t>Laptop</t>
        </is>
      </c>
      <c r="E312" s="39" t="inlineStr">
        <is>
          <t>Thalia Nimbus Plus Mobile Workstation</t>
        </is>
      </c>
      <c r="F312" s="40" t="n">
        <v>4192.99</v>
      </c>
      <c r="G312" s="38" t="inlineStr">
        <is>
          <t>the Nimbus Plus; Thalia Nimbus Plus; Thaliia Nimbus Plus; Nimbus Plus laptop</t>
        </is>
      </c>
      <c r="H312" s="38" t="inlineStr">
        <is>
          <t>3 year limited, on-site service</t>
        </is>
      </c>
      <c r="I312" s="38" t="inlineStr">
        <is>
          <t>FCC, CE, UL 62368-1, Energy Star, EPEAT Silver, TCO Certified, MIL-STD-810H</t>
        </is>
      </c>
      <c r="J312" s="38" t="inlineStr">
        <is>
          <t>AMD Ryzen 9 7945HX</t>
        </is>
      </c>
      <c r="K312" s="38" t="inlineStr">
        <is>
          <t>NVIDIA RTX 5000 Ada 16GB Laptop GPU</t>
        </is>
      </c>
      <c r="L312" s="38" t="inlineStr">
        <is>
          <t>OLED, 120Hz</t>
        </is>
      </c>
      <c r="M312" s="38" t="inlineStr">
        <is>
          <t>3840x2400</t>
        </is>
      </c>
      <c r="N312" s="38" t="inlineStr">
        <is>
          <t>2x USB4 (USB-C), 2x USB-A 3.2, HDMI 2.1, SD card, 3.5mm audio</t>
        </is>
      </c>
      <c r="O312" s="38" t="inlineStr">
        <is>
          <t>Windows 11 Pro</t>
        </is>
      </c>
      <c r="P312" s="38" t="n">
        <v>7</v>
      </c>
      <c r="Q312" s="41" t="n">
        <v>2895</v>
      </c>
      <c r="R312" s="38" t="inlineStr">
        <is>
          <t>Longer battery than Atropos Rift Ultra Mobile Workstation [ATR-035-10] (7 vs 5 hrs); Lower price than Metis Core Lite Mobile Workstation [MET-029-10] ($4,192.99 vs $4,341.99)</t>
        </is>
      </c>
      <c r="S312" s="38" t="inlineStr">
        <is>
          <t>engineering, 3D rendering, data science</t>
        </is>
      </c>
      <c r="T312" s="0" t="inlineStr">
        <is>
          <t>in_stock</t>
        </is>
      </c>
      <c r="U312" s="0" t="n">
        <v>60</v>
      </c>
      <c r="V312" s="52" t="n">
        <v>4650.99</v>
      </c>
      <c r="W312" s="0" t="inlineStr">
        <is>
          <t>2026-08-29</t>
        </is>
      </c>
      <c r="X312" s="0" t="n">
        <v>64</v>
      </c>
      <c r="Y312" s="0" t="n">
        <v>4096</v>
      </c>
      <c r="Z312" s="0" t="n">
        <v>17.3</v>
      </c>
      <c r="AA312" s="0" t="inlineStr">
        <is>
          <t>No</t>
        </is>
      </c>
    </row>
    <row r="313" ht="15.75" customHeight="1" s="51">
      <c r="A313" s="38" t="inlineStr">
        <is>
          <t>AEO-031-01</t>
        </is>
      </c>
      <c r="B313" s="38" t="inlineStr">
        <is>
          <t>Aeolus</t>
        </is>
      </c>
      <c r="C313" s="38" t="inlineStr">
        <is>
          <t>Laptops</t>
        </is>
      </c>
      <c r="D313" s="38" t="inlineStr">
        <is>
          <t>Laptop</t>
        </is>
      </c>
      <c r="E313" s="39" t="inlineStr">
        <is>
          <t>Aeolus Echo Plus 15" Budget Laptop</t>
        </is>
      </c>
      <c r="F313" s="40" t="n">
        <v>391.99</v>
      </c>
      <c r="G313" s="38" t="inlineStr">
        <is>
          <t>the Echo Plus; Aeolus Echo Plus; Aeoluus Echo Plus; Echo Plus laptop</t>
        </is>
      </c>
      <c r="H313" s="38" t="inlineStr">
        <is>
          <t>1 year limited</t>
        </is>
      </c>
      <c r="I313" s="38" t="inlineStr">
        <is>
          <t>FCC, CE, UL 62368-1, EPEAT Silver</t>
        </is>
      </c>
      <c r="J313" s="38" t="inlineStr">
        <is>
          <t>Intel Core i3-1315U</t>
        </is>
      </c>
      <c r="K313" s="38" t="inlineStr">
        <is>
          <t>Intel UHD Graphics</t>
        </is>
      </c>
      <c r="L313" s="38" t="inlineStr">
        <is>
          <t>TN, 60Hz</t>
        </is>
      </c>
      <c r="M313" s="38" t="inlineStr">
        <is>
          <t>1366x768</t>
        </is>
      </c>
      <c r="N313" s="38" t="inlineStr">
        <is>
          <t>2x USB-C 3.2, 1x USB-A 3.2, HDMI 1.4, 3.5mm audio</t>
        </is>
      </c>
      <c r="O313" s="38" t="inlineStr">
        <is>
          <t>Windows 11 Home</t>
        </is>
      </c>
      <c r="P313" s="38" t="n">
        <v>7</v>
      </c>
      <c r="Q313" s="41" t="n">
        <v>1850</v>
      </c>
      <c r="R313" s="38" t="inlineStr">
        <is>
          <t>Lower price than Melpomene Flux Air 15" Budget Laptop [MEL-026-02] ($391.99 vs $473.99); Longer battery than Zephyrus Sable X 15" Budget Laptop [ZEP-032-01] (7 vs 6 hrs)</t>
        </is>
      </c>
      <c r="S313" s="38" t="inlineStr">
        <is>
          <t>budget, everyday, school</t>
        </is>
      </c>
      <c r="T313" s="0" t="inlineStr">
        <is>
          <t>low_stock</t>
        </is>
      </c>
      <c r="U313" s="0" t="n">
        <v>30</v>
      </c>
      <c r="V313" s="52" t="n">
        <v>423.99</v>
      </c>
      <c r="W313" s="0" t="inlineStr">
        <is>
          <t>2026-09-04</t>
        </is>
      </c>
      <c r="X313" s="0" t="n">
        <v>8</v>
      </c>
      <c r="Y313" s="0" t="n">
        <v>256</v>
      </c>
      <c r="Z313" s="0" t="n">
        <v>15.6</v>
      </c>
      <c r="AA313" s="0" t="inlineStr">
        <is>
          <t>No</t>
        </is>
      </c>
    </row>
    <row r="314" ht="15.75" customHeight="1" s="51">
      <c r="A314" s="38" t="inlineStr">
        <is>
          <t>AEO-031-02</t>
        </is>
      </c>
      <c r="B314" s="38" t="inlineStr">
        <is>
          <t>Aeolus</t>
        </is>
      </c>
      <c r="C314" s="38" t="inlineStr">
        <is>
          <t>Laptops</t>
        </is>
      </c>
      <c r="D314" s="38" t="inlineStr">
        <is>
          <t>Laptop</t>
        </is>
      </c>
      <c r="E314" s="39" t="inlineStr">
        <is>
          <t>Aeolus Arc Plus Student Laptop</t>
        </is>
      </c>
      <c r="F314" s="40" t="n">
        <v>784.99</v>
      </c>
      <c r="G314" s="38" t="inlineStr">
        <is>
          <t>the Arc Plus; Aeolus Arc Plus; Aeeolus Arc Plus; Arc Plus laptop</t>
        </is>
      </c>
      <c r="H314" s="38" t="inlineStr">
        <is>
          <t>2 year limited</t>
        </is>
      </c>
      <c r="I314" s="38" t="inlineStr">
        <is>
          <t>FCC, CE, UL 62368-1, Energy Star, EPEAT Silver</t>
        </is>
      </c>
      <c r="J314" s="38" t="inlineStr">
        <is>
          <t>Intel Core Ultra 5 125U</t>
        </is>
      </c>
      <c r="K314" s="38" t="inlineStr">
        <is>
          <t>Intel Graphics</t>
        </is>
      </c>
      <c r="L314" s="38" t="inlineStr">
        <is>
          <t>IPS, 60Hz</t>
        </is>
      </c>
      <c r="M314" s="38" t="inlineStr">
        <is>
          <t>1920x1080</t>
        </is>
      </c>
      <c r="N314" s="38" t="inlineStr">
        <is>
          <t>2x Thunderbolt 4 (USB-C), 1x USB-A 3.2, HDMI 2.1, microSD, 3.5mm audio</t>
        </is>
      </c>
      <c r="O314" s="38" t="inlineStr">
        <is>
          <t>Windows 11 Home</t>
        </is>
      </c>
      <c r="P314" s="38" t="n">
        <v>9</v>
      </c>
      <c r="Q314" s="41" t="n">
        <v>1689</v>
      </c>
      <c r="R314" s="38" t="inlineStr">
        <is>
          <t>Longer battery than Auxo Aria Plus Student Laptop [AUX-038-01] (9 vs 7 hrs); Lighter than Selene Zen Ultra Student Laptop [SEL-034-01] (1,689 g vs 1,773 g)</t>
        </is>
      </c>
      <c r="S314" s="38" t="inlineStr">
        <is>
          <t>school, everyday, budget</t>
        </is>
      </c>
      <c r="T314" s="0" t="inlineStr">
        <is>
          <t>in_stock</t>
        </is>
      </c>
      <c r="U314" s="0" t="n">
        <v>30</v>
      </c>
      <c r="V314" s="52" t="n">
        <v>836.99</v>
      </c>
      <c r="W314" s="0" t="inlineStr">
        <is>
          <t>2026-08-18</t>
        </is>
      </c>
      <c r="X314" s="0" t="n">
        <v>16</v>
      </c>
      <c r="Y314" s="0" t="n">
        <v>512</v>
      </c>
      <c r="Z314" s="0" t="n">
        <v>15.6</v>
      </c>
      <c r="AA314" s="0" t="inlineStr">
        <is>
          <t>No</t>
        </is>
      </c>
    </row>
    <row r="315" ht="15.75" customHeight="1" s="51">
      <c r="A315" s="38" t="inlineStr">
        <is>
          <t>AEO-031-03</t>
        </is>
      </c>
      <c r="B315" s="38" t="inlineStr">
        <is>
          <t>Aeolus</t>
        </is>
      </c>
      <c r="C315" s="38" t="inlineStr">
        <is>
          <t>Laptops</t>
        </is>
      </c>
      <c r="D315" s="38" t="inlineStr">
        <is>
          <t>Laptop</t>
        </is>
      </c>
      <c r="E315" s="39" t="inlineStr">
        <is>
          <t>Aeolus Nimbus Ultra 15" Ultrabook</t>
        </is>
      </c>
      <c r="F315" s="40" t="n">
        <v>1275.99</v>
      </c>
      <c r="G315" s="38" t="inlineStr">
        <is>
          <t>the Nimbus Ultra; Aeolus Nimbus Ultra; Aoelus Nimbus Ultra; Nimbus Ultra laptop</t>
        </is>
      </c>
      <c r="H315" s="38" t="inlineStr">
        <is>
          <t>1 year limited</t>
        </is>
      </c>
      <c r="I315" s="38" t="inlineStr">
        <is>
          <t>FCC, CE, UL 62368-1, EPEAT Gold</t>
        </is>
      </c>
      <c r="J315" s="38" t="inlineStr">
        <is>
          <t>AMD Ryzen 5 8640HS</t>
        </is>
      </c>
      <c r="K315" s="38" t="inlineStr">
        <is>
          <t>AMD Radeon 760M</t>
        </is>
      </c>
      <c r="L315" s="38" t="inlineStr">
        <is>
          <t>IPS, 60Hz</t>
        </is>
      </c>
      <c r="M315" s="38" t="inlineStr">
        <is>
          <t>1920x1200</t>
        </is>
      </c>
      <c r="N315" s="38" t="inlineStr">
        <is>
          <t>2x USB-C 3.2, 1x USB-A 3.2, HDMI 1.4, 3.5mm audio</t>
        </is>
      </c>
      <c r="O315" s="38" t="inlineStr">
        <is>
          <t>Windows 11 Home</t>
        </is>
      </c>
      <c r="P315" s="38" t="n">
        <v>10</v>
      </c>
      <c r="Q315" s="41" t="n">
        <v>1545</v>
      </c>
      <c r="R315" s="38" t="inlineStr">
        <is>
          <t>Lower price than Terpsichore Arc Plus 15" Ultrabook [TER-039-06] ($1,275.99 vs $1,693.99); Lighter than Persephone Rift Plus 15" Ultrabook [PER-036-06] (1,545 g vs 1,646 g)</t>
        </is>
      </c>
      <c r="S315" s="38" t="inlineStr">
        <is>
          <t>work, school, everyday</t>
        </is>
      </c>
      <c r="T315" s="0" t="inlineStr">
        <is>
          <t>low_stock</t>
        </is>
      </c>
      <c r="U315" s="0" t="n">
        <v>30</v>
      </c>
      <c r="V315" s="52" t="n">
        <v>1356.99</v>
      </c>
      <c r="W315" s="0" t="inlineStr">
        <is>
          <t>2026-09-15</t>
        </is>
      </c>
      <c r="X315" s="0" t="n">
        <v>16</v>
      </c>
      <c r="Y315" s="0" t="n">
        <v>1024</v>
      </c>
      <c r="Z315" s="0" t="n">
        <v>15.6</v>
      </c>
      <c r="AA315" s="0" t="inlineStr">
        <is>
          <t>No</t>
        </is>
      </c>
    </row>
    <row r="316" ht="15.75" customHeight="1" s="51">
      <c r="A316" s="38" t="inlineStr">
        <is>
          <t>AEO-031-04</t>
        </is>
      </c>
      <c r="B316" s="38" t="inlineStr">
        <is>
          <t>Aeolus</t>
        </is>
      </c>
      <c r="C316" s="38" t="inlineStr">
        <is>
          <t>Laptops</t>
        </is>
      </c>
      <c r="D316" s="38" t="inlineStr">
        <is>
          <t>Laptop</t>
        </is>
      </c>
      <c r="E316" s="39" t="inlineStr">
        <is>
          <t>Aeolus Lumen Lite 2-in-1 Convertible</t>
        </is>
      </c>
      <c r="F316" s="40" t="n">
        <v>1456.99</v>
      </c>
      <c r="G316" s="38" t="inlineStr">
        <is>
          <t>the Lumen Lite; Aeolus Lumen Lite; Aeoolus Lumen Lite; Lumen Lite laptop</t>
        </is>
      </c>
      <c r="H316" s="38" t="inlineStr">
        <is>
          <t>2 year limited</t>
        </is>
      </c>
      <c r="I316" s="38" t="inlineStr">
        <is>
          <t>FCC, CE, UL 62368-1, Energy Star, EPEAT Bronze</t>
        </is>
      </c>
      <c r="J316" s="38" t="inlineStr">
        <is>
          <t>Intel Core Ultra 7 155H</t>
        </is>
      </c>
      <c r="K316" s="38" t="inlineStr">
        <is>
          <t>Intel Arc Graphics</t>
        </is>
      </c>
      <c r="L316" s="38" t="inlineStr">
        <is>
          <t>OLED touch, 60Hz</t>
        </is>
      </c>
      <c r="M316" s="38" t="inlineStr">
        <is>
          <t>2880x1800</t>
        </is>
      </c>
      <c r="N316" s="38" t="inlineStr">
        <is>
          <t>2x Thunderbolt 4 (USB-C), 1x USB-A 3.2, HDMI 2.1, microSD, 3.5mm audio</t>
        </is>
      </c>
      <c r="O316" s="38" t="inlineStr">
        <is>
          <t>Windows 11 Home</t>
        </is>
      </c>
      <c r="P316" s="38" t="n">
        <v>14</v>
      </c>
      <c r="Q316" s="41" t="n">
        <v>1468</v>
      </c>
      <c r="R316" s="38" t="inlineStr">
        <is>
          <t>Lighter than Selene Aeon Pro 2-in-1 Convertible [SEL-034-04] (1,468 g vs 1,518 g); Longer battery than Homonoia Blaze SE 2-in-1 Convertible [HOM-033-03] (14 vs 12 hrs)</t>
        </is>
      </c>
      <c r="S316" s="38" t="inlineStr">
        <is>
          <t>school, note-taking, travel</t>
        </is>
      </c>
      <c r="T316" s="0" t="inlineStr">
        <is>
          <t>in_stock</t>
        </is>
      </c>
      <c r="U316" s="0" t="n">
        <v>30</v>
      </c>
      <c r="V316" s="52" t="n">
        <v>1602.99</v>
      </c>
      <c r="W316" s="0" t="inlineStr">
        <is>
          <t>2026-08-30</t>
        </is>
      </c>
      <c r="X316" s="0" t="n">
        <v>16</v>
      </c>
      <c r="Y316" s="0" t="n">
        <v>1024</v>
      </c>
      <c r="Z316" s="0" t="n">
        <v>14</v>
      </c>
      <c r="AA316" s="0" t="inlineStr">
        <is>
          <t>Yes</t>
        </is>
      </c>
    </row>
    <row r="317" ht="15.75" customHeight="1" s="51">
      <c r="A317" s="38" t="inlineStr">
        <is>
          <t>AEO-031-05</t>
        </is>
      </c>
      <c r="B317" s="38" t="inlineStr">
        <is>
          <t>Aeolus</t>
        </is>
      </c>
      <c r="C317" s="38" t="inlineStr">
        <is>
          <t>Laptops</t>
        </is>
      </c>
      <c r="D317" s="38" t="inlineStr">
        <is>
          <t>Laptop</t>
        </is>
      </c>
      <c r="E317" s="39" t="inlineStr">
        <is>
          <t>Aeolus Apex Air 14" Business Laptop</t>
        </is>
      </c>
      <c r="F317" s="40" t="n">
        <v>1507.99</v>
      </c>
      <c r="G317" s="38" t="inlineStr">
        <is>
          <t>the Apex Air; Aeolus Apex Air; Aoelus Apex Air; Apex Air laptop</t>
        </is>
      </c>
      <c r="H317" s="38" t="inlineStr">
        <is>
          <t>3 year limited, on-site service</t>
        </is>
      </c>
      <c r="I317" s="38" t="inlineStr">
        <is>
          <t>FCC, CE, UL 62368-1, Energy Star, EPEAT Bronze, TCO Certified, MIL-STD-810H</t>
        </is>
      </c>
      <c r="J317" s="38" t="inlineStr">
        <is>
          <t>AMD Ryzen 7 8845HS</t>
        </is>
      </c>
      <c r="K317" s="38" t="inlineStr">
        <is>
          <t>AMD Radeon 780M</t>
        </is>
      </c>
      <c r="L317" s="38" t="inlineStr">
        <is>
          <t>OLED, 60Hz</t>
        </is>
      </c>
      <c r="M317" s="38" t="inlineStr">
        <is>
          <t>2880x1800</t>
        </is>
      </c>
      <c r="N317" s="38" t="inlineStr">
        <is>
          <t>2x USB4 (USB-C), 2x USB-A 3.2, HDMI 2.1, SD card, 3.5mm audio</t>
        </is>
      </c>
      <c r="O317" s="38" t="inlineStr">
        <is>
          <t>Windows 11 Pro</t>
        </is>
      </c>
      <c r="P317" s="38" t="n">
        <v>16</v>
      </c>
      <c r="Q317" s="41" t="n">
        <v>1428</v>
      </c>
      <c r="R317" s="38" t="inlineStr">
        <is>
          <t>Lower price than Heracles Apex SE 14" Business Laptop [HER-037-04] ($1,507.99 vs $1,655.99); Longer battery than Hygieia Onyx Pro 14" Business Laptop [HYG-048-02] (16 vs 13 hrs)</t>
        </is>
      </c>
      <c r="S317" s="38" t="inlineStr">
        <is>
          <t>work, travel, remote meetings</t>
        </is>
      </c>
      <c r="T317" s="0" t="inlineStr">
        <is>
          <t>in_stock</t>
        </is>
      </c>
      <c r="U317" s="0" t="n">
        <v>30</v>
      </c>
      <c r="V317" s="52" t="n">
        <v>1714.99</v>
      </c>
      <c r="W317" s="0" t="inlineStr">
        <is>
          <t>2026-08-29</t>
        </is>
      </c>
      <c r="X317" s="0" t="n">
        <v>16</v>
      </c>
      <c r="Y317" s="0" t="n">
        <v>1024</v>
      </c>
      <c r="Z317" s="0" t="n">
        <v>14</v>
      </c>
      <c r="AA317" s="0" t="inlineStr">
        <is>
          <t>No</t>
        </is>
      </c>
    </row>
    <row r="318" ht="15.75" customHeight="1" s="51">
      <c r="A318" s="38" t="inlineStr">
        <is>
          <t>AEO-031-06</t>
        </is>
      </c>
      <c r="B318" s="38" t="inlineStr">
        <is>
          <t>Aeolus</t>
        </is>
      </c>
      <c r="C318" s="38" t="inlineStr">
        <is>
          <t>Laptops</t>
        </is>
      </c>
      <c r="D318" s="38" t="inlineStr">
        <is>
          <t>Laptop</t>
        </is>
      </c>
      <c r="E318" s="39" t="inlineStr">
        <is>
          <t>Aeolus Arc Air Rugged Laptop</t>
        </is>
      </c>
      <c r="F318" s="40" t="n">
        <v>1696.99</v>
      </c>
      <c r="G318" s="38" t="inlineStr">
        <is>
          <t>the Arc Air; Aeolus Arc Air; Aeolos Arc Air; Arc Air laptop</t>
        </is>
      </c>
      <c r="H318" s="38" t="inlineStr">
        <is>
          <t>3 year limited, accidental damage</t>
        </is>
      </c>
      <c r="I318" s="38" t="inlineStr">
        <is>
          <t>FCC, CE, UL 62368-1, EPEAT Gold, MIL-STD-810H, IP65</t>
        </is>
      </c>
      <c r="J318" s="38" t="inlineStr">
        <is>
          <t>AMD Ryzen 5 8640HS</t>
        </is>
      </c>
      <c r="K318" s="38" t="inlineStr">
        <is>
          <t>AMD Radeon 760M</t>
        </is>
      </c>
      <c r="L318" s="38" t="inlineStr">
        <is>
          <t>IPS sunlight-readable 1000 nits, touch</t>
        </is>
      </c>
      <c r="M318" s="38" t="inlineStr">
        <is>
          <t>1920x1080</t>
        </is>
      </c>
      <c r="N318" s="38" t="inlineStr">
        <is>
          <t>2x USB-C 3.2, 1x USB-A 3.2, HDMI 1.4, 3.5mm audio, RJ-45 Ethernet, serial (RS-232), smart card reader</t>
        </is>
      </c>
      <c r="O318" s="38" t="inlineStr">
        <is>
          <t>Windows 11 Pro</t>
        </is>
      </c>
      <c r="P318" s="38" t="n">
        <v>12</v>
      </c>
      <c r="Q318" s="41" t="n">
        <v>2986</v>
      </c>
      <c r="R318" s="38" t="inlineStr">
        <is>
          <t>Lower price than Heracles Flux Max Rugged Laptop [HER-037-08] ($1,696.99 vs $3,058.99); Longer battery than Demeter Flux Pro Rugged Laptop [DEM-028-09] (12 vs 9 hrs)</t>
        </is>
      </c>
      <c r="S318" s="38" t="inlineStr">
        <is>
          <t>fieldwork, outdoor, industrial</t>
        </is>
      </c>
      <c r="T318" s="0" t="inlineStr">
        <is>
          <t>in_stock</t>
        </is>
      </c>
      <c r="U318" s="0" t="n">
        <v>30</v>
      </c>
      <c r="V318" s="52" t="n">
        <v>1911.99</v>
      </c>
      <c r="W318" s="0" t="inlineStr">
        <is>
          <t>2026-09-20</t>
        </is>
      </c>
      <c r="X318" s="0" t="n">
        <v>16</v>
      </c>
      <c r="Y318" s="0" t="n">
        <v>1024</v>
      </c>
      <c r="Z318" s="0" t="n">
        <v>17.3</v>
      </c>
      <c r="AA318" s="0" t="inlineStr">
        <is>
          <t>Yes</t>
        </is>
      </c>
    </row>
    <row r="319" ht="15.75" customHeight="1" s="51">
      <c r="A319" s="38" t="inlineStr">
        <is>
          <t>AEO-031-07</t>
        </is>
      </c>
      <c r="B319" s="38" t="inlineStr">
        <is>
          <t>Aeolus</t>
        </is>
      </c>
      <c r="C319" s="38" t="inlineStr">
        <is>
          <t>Laptops</t>
        </is>
      </c>
      <c r="D319" s="38" t="inlineStr">
        <is>
          <t>Laptop</t>
        </is>
      </c>
      <c r="E319" s="39" t="inlineStr">
        <is>
          <t>Aeolus Crest SE 13" Ultrabook</t>
        </is>
      </c>
      <c r="F319" s="40" t="n">
        <v>1800.99</v>
      </c>
      <c r="G319" s="38" t="inlineStr">
        <is>
          <t>the Crest SE; Aeolus Crest SE; Aeoluus Crest SE; Crest SE laptop</t>
        </is>
      </c>
      <c r="H319" s="38" t="inlineStr">
        <is>
          <t>2 year limited</t>
        </is>
      </c>
      <c r="I319" s="38" t="inlineStr">
        <is>
          <t>FCC, CE, UL 62368-1, EPEAT Gold</t>
        </is>
      </c>
      <c r="J319" s="38" t="inlineStr">
        <is>
          <t>AMD Ryzen 7 8845HS</t>
        </is>
      </c>
      <c r="K319" s="38" t="inlineStr">
        <is>
          <t>AMD Radeon 780M</t>
        </is>
      </c>
      <c r="L319" s="38" t="inlineStr">
        <is>
          <t>OLED, 90Hz</t>
        </is>
      </c>
      <c r="M319" s="38" t="inlineStr">
        <is>
          <t>2880x1800</t>
        </is>
      </c>
      <c r="N319" s="38" t="inlineStr">
        <is>
          <t>2x USB4 (USB-C), 2x USB-A 3.2, HDMI 2.1, SD card, 3.5mm audio</t>
        </is>
      </c>
      <c r="O319" s="38" t="inlineStr">
        <is>
          <t>Windows 11 Home</t>
        </is>
      </c>
      <c r="P319" s="38" t="n">
        <v>12</v>
      </c>
      <c r="Q319" s="41" t="n">
        <v>1150</v>
      </c>
      <c r="R319" s="38" t="inlineStr">
        <is>
          <t>Lower price than Homonoia Lumen 13" Ultrabook [HOM-033-04] ($1,800.99 vs $1,849.99); Lighter than Priapus Vibe X 13" Ultrabook [PRI-042-06] (1,150 g vs 1,157 g)</t>
        </is>
      </c>
      <c r="S319" s="38" t="inlineStr">
        <is>
          <t>travel, school, work</t>
        </is>
      </c>
      <c r="T319" s="0" t="inlineStr">
        <is>
          <t>low_stock</t>
        </is>
      </c>
      <c r="U319" s="0" t="n">
        <v>30</v>
      </c>
      <c r="V319" s="52" t="n">
        <v>1904.99</v>
      </c>
      <c r="W319" s="0" t="inlineStr">
        <is>
          <t>2026-09-17</t>
        </is>
      </c>
      <c r="X319" s="0" t="n">
        <v>16</v>
      </c>
      <c r="Y319" s="0" t="n">
        <v>1024</v>
      </c>
      <c r="Z319" s="0" t="n">
        <v>13.3</v>
      </c>
      <c r="AA319" s="0" t="inlineStr">
        <is>
          <t>No</t>
        </is>
      </c>
    </row>
    <row r="320" ht="15.75" customHeight="1" s="51">
      <c r="A320" s="38" t="inlineStr">
        <is>
          <t>AEO-031-08</t>
        </is>
      </c>
      <c r="B320" s="38" t="inlineStr">
        <is>
          <t>Aeolus</t>
        </is>
      </c>
      <c r="C320" s="38" t="inlineStr">
        <is>
          <t>Laptops</t>
        </is>
      </c>
      <c r="D320" s="38" t="inlineStr">
        <is>
          <t>Laptop</t>
        </is>
      </c>
      <c r="E320" s="39" t="inlineStr">
        <is>
          <t>Aeolus Aeon Ultra 16" Creator Laptop</t>
        </is>
      </c>
      <c r="F320" s="40" t="n">
        <v>2287.99</v>
      </c>
      <c r="G320" s="38" t="inlineStr">
        <is>
          <t>the Aeon Ultra; Aeolus Aeon Ultra; Aeolu Aeon Ultra; Aeon Ultra laptop</t>
        </is>
      </c>
      <c r="H320" s="38" t="inlineStr">
        <is>
          <t>1 year limited</t>
        </is>
      </c>
      <c r="I320" s="38" t="inlineStr">
        <is>
          <t>FCC, CE, UL 62368-1, Energy Star, EPEAT Silver</t>
        </is>
      </c>
      <c r="J320" s="38" t="inlineStr">
        <is>
          <t>Intel Core Ultra 7 155H</t>
        </is>
      </c>
      <c r="K320" s="38" t="inlineStr">
        <is>
          <t>NVIDIA GeForce RTX 4070 8GB Laptop GPU</t>
        </is>
      </c>
      <c r="L320" s="38" t="inlineStr">
        <is>
          <t>OLED, 120Hz</t>
        </is>
      </c>
      <c r="M320" s="38" t="inlineStr">
        <is>
          <t>3200x2000</t>
        </is>
      </c>
      <c r="N320" s="38" t="inlineStr">
        <is>
          <t>2x Thunderbolt 4 (USB-C), 1x USB-A 3.2, HDMI 2.1, microSD, 3.5mm audio</t>
        </is>
      </c>
      <c r="O320" s="38" t="inlineStr">
        <is>
          <t>Windows 11 Home</t>
        </is>
      </c>
      <c r="P320" s="38" t="n">
        <v>9</v>
      </c>
      <c r="Q320" s="41" t="n">
        <v>2023</v>
      </c>
      <c r="R320" s="38" t="inlineStr">
        <is>
          <t>Lower price than Heracles Flux Plus 16" Creator Laptop [HER-037-09] ($2,287.99 vs $3,496.99); Longer battery than Demeter Apex 16" Creator Laptop [DEM-028-07] (9 vs 6 hrs)</t>
        </is>
      </c>
      <c r="S320" s="38" t="inlineStr">
        <is>
          <t>video editing, photo editing, content creation</t>
        </is>
      </c>
      <c r="T320" s="0" t="inlineStr">
        <is>
          <t>in_stock</t>
        </is>
      </c>
      <c r="U320" s="0" t="n">
        <v>30</v>
      </c>
      <c r="V320" s="52" t="n">
        <v>2428.99</v>
      </c>
      <c r="W320" s="0" t="inlineStr">
        <is>
          <t>2026-09-06</t>
        </is>
      </c>
      <c r="X320" s="0" t="n">
        <v>32</v>
      </c>
      <c r="Y320" s="0" t="n">
        <v>2048</v>
      </c>
      <c r="Z320" s="0" t="n">
        <v>16</v>
      </c>
      <c r="AA320" s="0" t="inlineStr">
        <is>
          <t>No</t>
        </is>
      </c>
    </row>
    <row r="321" ht="15.75" customHeight="1" s="51">
      <c r="A321" s="38" t="inlineStr">
        <is>
          <t>AEO-031-09</t>
        </is>
      </c>
      <c r="B321" s="38" t="inlineStr">
        <is>
          <t>Aeolus</t>
        </is>
      </c>
      <c r="C321" s="38" t="inlineStr">
        <is>
          <t>Laptops</t>
        </is>
      </c>
      <c r="D321" s="38" t="inlineStr">
        <is>
          <t>Laptop</t>
        </is>
      </c>
      <c r="E321" s="39" t="inlineStr">
        <is>
          <t>Aeolus Spark 17" Gaming Laptop</t>
        </is>
      </c>
      <c r="F321" s="40" t="n">
        <v>2744.99</v>
      </c>
      <c r="G321" s="38" t="inlineStr">
        <is>
          <t>the Spark; Aeolus Spark; Aoelus Spark; Spark laptop</t>
        </is>
      </c>
      <c r="H321" s="38" t="inlineStr">
        <is>
          <t>1 year limited</t>
        </is>
      </c>
      <c r="I321" s="38" t="inlineStr">
        <is>
          <t>FCC, CE, UL 62368-1, Energy Star, EPEAT Gold</t>
        </is>
      </c>
      <c r="J321" s="38" t="inlineStr">
        <is>
          <t>Intel Core i9-14900HX</t>
        </is>
      </c>
      <c r="K321" s="38" t="inlineStr">
        <is>
          <t>NVIDIA GeForce RTX 4080 12GB Laptop GPU</t>
        </is>
      </c>
      <c r="L321" s="38" t="inlineStr">
        <is>
          <t>IPS, 240Hz</t>
        </is>
      </c>
      <c r="M321" s="38" t="inlineStr">
        <is>
          <t>2560x1600</t>
        </is>
      </c>
      <c r="N321" s="38" t="inlineStr">
        <is>
          <t>1x Thunderbolt 4, 3x USB-A 3.2, HDMI 2.1, RJ-45 Ethernet, 3.5mm audio</t>
        </is>
      </c>
      <c r="O321" s="38" t="inlineStr">
        <is>
          <t>Windows 11 Home</t>
        </is>
      </c>
      <c r="P321" s="38" t="n">
        <v>6</v>
      </c>
      <c r="Q321" s="41" t="n">
        <v>3375</v>
      </c>
      <c r="R321" s="38" t="inlineStr">
        <is>
          <t>Longer battery than Metis Halo Lite 17" Gaming Laptop [MET-029-09] (6 vs 4 hrs); Lower price than Calliope Aeon X 17" Gaming Laptop [CAL-040-10] ($2,744.99 vs $3,521.99)</t>
        </is>
      </c>
      <c r="S321" s="38" t="inlineStr">
        <is>
          <t>gaming, streaming, content creation</t>
        </is>
      </c>
      <c r="T321" s="0" t="inlineStr">
        <is>
          <t>in_stock</t>
        </is>
      </c>
      <c r="U321" s="0" t="n">
        <v>30</v>
      </c>
      <c r="V321" s="52" t="n">
        <v>2963.99</v>
      </c>
      <c r="W321" s="0" t="inlineStr">
        <is>
          <t>2026-08-21</t>
        </is>
      </c>
      <c r="X321" s="0" t="n">
        <v>32</v>
      </c>
      <c r="Y321" s="0" t="n">
        <v>2048</v>
      </c>
      <c r="Z321" s="0" t="n">
        <v>17.3</v>
      </c>
      <c r="AA321" s="0" t="inlineStr">
        <is>
          <t>No</t>
        </is>
      </c>
    </row>
    <row r="322" ht="15.75" customHeight="1" s="51">
      <c r="A322" s="38" t="inlineStr">
        <is>
          <t>AEO-031-10</t>
        </is>
      </c>
      <c r="B322" s="38" t="inlineStr">
        <is>
          <t>Aeolus</t>
        </is>
      </c>
      <c r="C322" s="38" t="inlineStr">
        <is>
          <t>Laptops</t>
        </is>
      </c>
      <c r="D322" s="38" t="inlineStr">
        <is>
          <t>Laptop</t>
        </is>
      </c>
      <c r="E322" s="39" t="inlineStr">
        <is>
          <t>Aeolus Drift Mobile Workstation</t>
        </is>
      </c>
      <c r="F322" s="40" t="n">
        <v>3497.99</v>
      </c>
      <c r="G322" s="38" t="inlineStr">
        <is>
          <t>the Drift; Aeolus Drift; Aoelus Drift; Drift laptop</t>
        </is>
      </c>
      <c r="H322" s="38" t="inlineStr">
        <is>
          <t>3 year limited, on-site service</t>
        </is>
      </c>
      <c r="I322" s="38" t="inlineStr">
        <is>
          <t>FCC, CE, UL 62368-1, Energy Star, EPEAT Gold, TCO Certified, MIL-STD-810H</t>
        </is>
      </c>
      <c r="J322" s="38" t="inlineStr">
        <is>
          <t>Intel Core Ultra 7 155H</t>
        </is>
      </c>
      <c r="K322" s="38" t="inlineStr">
        <is>
          <t>NVIDIA RTX 3500 Ada 12GB Laptop GPU</t>
        </is>
      </c>
      <c r="L322" s="38" t="inlineStr">
        <is>
          <t>OLED, 120Hz</t>
        </is>
      </c>
      <c r="M322" s="38" t="inlineStr">
        <is>
          <t>3840x2400</t>
        </is>
      </c>
      <c r="N322" s="38" t="inlineStr">
        <is>
          <t>2x Thunderbolt 4 (USB-C), 1x USB-A 3.2, HDMI 2.1, microSD, 3.5mm audio</t>
        </is>
      </c>
      <c r="O322" s="38" t="inlineStr">
        <is>
          <t>Windows 11 Pro</t>
        </is>
      </c>
      <c r="P322" s="38" t="n">
        <v>6</v>
      </c>
      <c r="Q322" s="41" t="n">
        <v>2234</v>
      </c>
      <c r="R322" s="38" t="inlineStr">
        <is>
          <t>Lighter than Thallo Titan Mobile Workstation [THA-046-10] (2,234 g vs 2,247 g); Lower price than Thalia Nimbus Plus Mobile Workstation [THA-030-10] ($3,497.99 vs $4,192.99)</t>
        </is>
      </c>
      <c r="S322" s="38" t="inlineStr">
        <is>
          <t>engineering, 3D rendering, data science</t>
        </is>
      </c>
      <c r="T322" s="0" t="inlineStr">
        <is>
          <t>in_stock</t>
        </is>
      </c>
      <c r="U322" s="0" t="n">
        <v>30</v>
      </c>
      <c r="V322" s="52" t="n">
        <v>3903.99</v>
      </c>
      <c r="W322" s="0" t="inlineStr">
        <is>
          <t>2026-09-18</t>
        </is>
      </c>
      <c r="X322" s="0" t="n">
        <v>64</v>
      </c>
      <c r="Y322" s="0" t="n">
        <v>2048</v>
      </c>
      <c r="Z322" s="0" t="n">
        <v>16</v>
      </c>
      <c r="AA322" s="0" t="inlineStr">
        <is>
          <t>No</t>
        </is>
      </c>
    </row>
    <row r="323" ht="15.75" customHeight="1" s="51">
      <c r="A323" s="38" t="inlineStr">
        <is>
          <t>ZEP-032-01</t>
        </is>
      </c>
      <c r="B323" s="38" t="inlineStr">
        <is>
          <t>Zephyrus</t>
        </is>
      </c>
      <c r="C323" s="38" t="inlineStr">
        <is>
          <t>Laptops</t>
        </is>
      </c>
      <c r="D323" s="38" t="inlineStr">
        <is>
          <t>Laptop</t>
        </is>
      </c>
      <c r="E323" s="39" t="inlineStr">
        <is>
          <t>Zephyrus Sable X 15" Budget Laptop</t>
        </is>
      </c>
      <c r="F323" s="40" t="n">
        <v>312.99</v>
      </c>
      <c r="G323" s="38" t="inlineStr">
        <is>
          <t>the Sable X; Zephyrus Sable X; Zeephyrus Sable X; Sable X laptop</t>
        </is>
      </c>
      <c r="H323" s="38" t="inlineStr">
        <is>
          <t>1 year limited</t>
        </is>
      </c>
      <c r="I323" s="38" t="inlineStr">
        <is>
          <t>FCC, CE, UL 62368-1, Energy Star, EPEAT Gold</t>
        </is>
      </c>
      <c r="J323" s="38" t="inlineStr">
        <is>
          <t>Intel Core i3-1315U</t>
        </is>
      </c>
      <c r="K323" s="38" t="inlineStr">
        <is>
          <t>Intel UHD Graphics</t>
        </is>
      </c>
      <c r="L323" s="38" t="inlineStr">
        <is>
          <t>TN, 60Hz</t>
        </is>
      </c>
      <c r="M323" s="38" t="inlineStr">
        <is>
          <t>1366x768</t>
        </is>
      </c>
      <c r="N323" s="38" t="inlineStr">
        <is>
          <t>2x USB-C 3.2, 1x USB-A 3.2, HDMI 1.4, 3.5mm audio</t>
        </is>
      </c>
      <c r="O323" s="38" t="inlineStr">
        <is>
          <t>Windows 11 Home</t>
        </is>
      </c>
      <c r="P323" s="38" t="n">
        <v>6</v>
      </c>
      <c r="Q323" s="41" t="n">
        <v>1603</v>
      </c>
      <c r="R323" s="38" t="inlineStr">
        <is>
          <t>Lighter than Persephone Pulse Lite 15" Budget Laptop [PER-036-01] (1,603 g vs 1,634 g); Lower price than Thanatos Prism Max 15" Budget Laptop [THA-049-02] ($312.99 vs $586.99)</t>
        </is>
      </c>
      <c r="S323" s="38" t="inlineStr">
        <is>
          <t>budget, everyday, school</t>
        </is>
      </c>
      <c r="T323" s="0" t="inlineStr">
        <is>
          <t>in_stock</t>
        </is>
      </c>
      <c r="U323" s="0" t="n">
        <v>45</v>
      </c>
      <c r="V323" s="52" t="n">
        <v>339.99</v>
      </c>
      <c r="W323" s="0" t="inlineStr">
        <is>
          <t>2026-08-31</t>
        </is>
      </c>
      <c r="X323" s="0" t="n">
        <v>8</v>
      </c>
      <c r="Y323" s="0" t="n">
        <v>256</v>
      </c>
      <c r="Z323" s="0" t="n">
        <v>15.6</v>
      </c>
      <c r="AA323" s="0" t="inlineStr">
        <is>
          <t>No</t>
        </is>
      </c>
    </row>
    <row r="324" ht="15.75" customHeight="1" s="51">
      <c r="A324" s="38" t="inlineStr">
        <is>
          <t>ZEP-032-02</t>
        </is>
      </c>
      <c r="B324" s="38" t="inlineStr">
        <is>
          <t>Zephyrus</t>
        </is>
      </c>
      <c r="C324" s="38" t="inlineStr">
        <is>
          <t>Laptops</t>
        </is>
      </c>
      <c r="D324" s="38" t="inlineStr">
        <is>
          <t>Laptop</t>
        </is>
      </c>
      <c r="E324" s="39" t="inlineStr">
        <is>
          <t>Zephyrus Pulse Chromebook</t>
        </is>
      </c>
      <c r="F324" s="40" t="n">
        <v>695.99</v>
      </c>
      <c r="G324" s="38" t="inlineStr">
        <is>
          <t>the Pulse; Zephyrus Pulse; Zehpyrus Pulse; Pulse laptop</t>
        </is>
      </c>
      <c r="H324" s="38" t="inlineStr">
        <is>
          <t>2 year limited</t>
        </is>
      </c>
      <c r="I324" s="38" t="inlineStr">
        <is>
          <t>FCC, CE, UL 62368-1, EPEAT Gold</t>
        </is>
      </c>
      <c r="J324" s="38" t="inlineStr">
        <is>
          <t>Intel Core i3-N305</t>
        </is>
      </c>
      <c r="K324" s="38" t="inlineStr">
        <is>
          <t>Intel UHD Graphics</t>
        </is>
      </c>
      <c r="L324" s="38" t="inlineStr">
        <is>
          <t>IPS, 60Hz</t>
        </is>
      </c>
      <c r="M324" s="38" t="inlineStr">
        <is>
          <t>1920x1080</t>
        </is>
      </c>
      <c r="N324" s="38" t="inlineStr">
        <is>
          <t>2x USB-C 3.2, 1x USB-A 3.2, HDMI 1.4, 3.5mm audio</t>
        </is>
      </c>
      <c r="O324" s="38" t="inlineStr">
        <is>
          <t>ChromeOS</t>
        </is>
      </c>
      <c r="P324" s="38" t="n">
        <v>13</v>
      </c>
      <c r="Q324" s="41" t="n">
        <v>1165</v>
      </c>
      <c r="R324" s="38" t="inlineStr">
        <is>
          <t>Lighter than Atropos Blaze Plus Chromebook [ATR-035-02] (1,165 g vs 1,318 g); Longer battery than Momus Prism Chromebook [MOM-043-01] (13 vs 12 hrs)</t>
        </is>
      </c>
      <c r="S324" s="38" t="inlineStr">
        <is>
          <t>school, kids, budget</t>
        </is>
      </c>
      <c r="T324" s="0" t="inlineStr">
        <is>
          <t>in_stock</t>
        </is>
      </c>
      <c r="U324" s="0" t="n">
        <v>45</v>
      </c>
      <c r="V324" s="52" t="n">
        <v>739.99</v>
      </c>
      <c r="W324" s="0" t="inlineStr">
        <is>
          <t>2026-09-10</t>
        </is>
      </c>
      <c r="X324" s="0" t="n">
        <v>8</v>
      </c>
      <c r="Y324" s="0" t="n">
        <v>128</v>
      </c>
      <c r="Z324" s="0" t="n">
        <v>11.6</v>
      </c>
      <c r="AA324" s="0" t="inlineStr">
        <is>
          <t>No</t>
        </is>
      </c>
    </row>
    <row r="325" ht="15.75" customHeight="1" s="51">
      <c r="A325" s="38" t="inlineStr">
        <is>
          <t>ZEP-032-03</t>
        </is>
      </c>
      <c r="B325" s="38" t="inlineStr">
        <is>
          <t>Zephyrus</t>
        </is>
      </c>
      <c r="C325" s="38" t="inlineStr">
        <is>
          <t>Laptops</t>
        </is>
      </c>
      <c r="D325" s="38" t="inlineStr">
        <is>
          <t>Laptop</t>
        </is>
      </c>
      <c r="E325" s="39" t="inlineStr">
        <is>
          <t>Zephyrus Zen Pro Student Laptop</t>
        </is>
      </c>
      <c r="F325" s="40" t="n">
        <v>700.99</v>
      </c>
      <c r="G325" s="38" t="inlineStr">
        <is>
          <t>the Zen Pro; Zephyrus Zen Pro; Zephirus Zen Pro; Zen Pro laptop</t>
        </is>
      </c>
      <c r="H325" s="38" t="inlineStr">
        <is>
          <t>2 year limited</t>
        </is>
      </c>
      <c r="I325" s="38" t="inlineStr">
        <is>
          <t>FCC, CE, UL 62368-1, Energy Star, EPEAT Silver</t>
        </is>
      </c>
      <c r="J325" s="38" t="inlineStr">
        <is>
          <t>AMD Ryzen 5 8640HS</t>
        </is>
      </c>
      <c r="K325" s="38" t="inlineStr">
        <is>
          <t>AMD Radeon 760M</t>
        </is>
      </c>
      <c r="L325" s="38" t="inlineStr">
        <is>
          <t>IPS, 60Hz</t>
        </is>
      </c>
      <c r="M325" s="38" t="inlineStr">
        <is>
          <t>1920x1080</t>
        </is>
      </c>
      <c r="N325" s="38" t="inlineStr">
        <is>
          <t>2x USB4 (USB-C), 2x USB-A 3.2, HDMI 2.1, SD card, 3.5mm audio</t>
        </is>
      </c>
      <c r="O325" s="38" t="inlineStr">
        <is>
          <t>Windows 11 Home</t>
        </is>
      </c>
      <c r="P325" s="38" t="n">
        <v>11</v>
      </c>
      <c r="Q325" s="41" t="n">
        <v>1524</v>
      </c>
      <c r="R325" s="38" t="inlineStr">
        <is>
          <t>Lighter than Demeter Lumen Plus Student Laptop [DEM-028-02] (1,524 g vs 1,541 g); Longer battery than Rhea Sable Student Laptop [RHE-047-02] (11 vs 9 hrs)</t>
        </is>
      </c>
      <c r="S325" s="38" t="inlineStr">
        <is>
          <t>school, everyday, budget</t>
        </is>
      </c>
      <c r="T325" s="0" t="inlineStr">
        <is>
          <t>in_stock</t>
        </is>
      </c>
      <c r="U325" s="0" t="n">
        <v>45</v>
      </c>
      <c r="V325" s="52" t="n">
        <v>758.99</v>
      </c>
      <c r="W325" s="0" t="inlineStr">
        <is>
          <t>2026-09-15</t>
        </is>
      </c>
      <c r="X325" s="0" t="n">
        <v>16</v>
      </c>
      <c r="Y325" s="0" t="n">
        <v>512</v>
      </c>
      <c r="Z325" s="0" t="n">
        <v>14</v>
      </c>
      <c r="AA325" s="0" t="inlineStr">
        <is>
          <t>No</t>
        </is>
      </c>
    </row>
    <row r="326" ht="15.75" customHeight="1" s="51">
      <c r="A326" s="38" t="inlineStr">
        <is>
          <t>ZEP-032-04</t>
        </is>
      </c>
      <c r="B326" s="38" t="inlineStr">
        <is>
          <t>Zephyrus</t>
        </is>
      </c>
      <c r="C326" s="38" t="inlineStr">
        <is>
          <t>Laptops</t>
        </is>
      </c>
      <c r="D326" s="38" t="inlineStr">
        <is>
          <t>Laptop</t>
        </is>
      </c>
      <c r="E326" s="39" t="inlineStr">
        <is>
          <t>Zephyrus Core Lite 14" Business Laptop</t>
        </is>
      </c>
      <c r="F326" s="40" t="n">
        <v>753.99</v>
      </c>
      <c r="G326" s="38" t="inlineStr">
        <is>
          <t>the Core Lite; Zephyrus Core Lite; Zepyhrus Core Lite; Core Lite laptop</t>
        </is>
      </c>
      <c r="H326" s="38" t="inlineStr">
        <is>
          <t>3 year limited, on-site service</t>
        </is>
      </c>
      <c r="I326" s="38" t="inlineStr">
        <is>
          <t>FCC, CE, UL 62368-1, Energy Star, EPEAT Silver, TCO Certified, MIL-STD-810H</t>
        </is>
      </c>
      <c r="J326" s="38" t="inlineStr">
        <is>
          <t>Qualcomm Snapdragon X Plus X1P-42-100</t>
        </is>
      </c>
      <c r="K326" s="38" t="inlineStr">
        <is>
          <t>Qualcomm Adreno X1-45</t>
        </is>
      </c>
      <c r="L326" s="38" t="inlineStr">
        <is>
          <t>IPS anti-glare, 60Hz</t>
        </is>
      </c>
      <c r="M326" s="38" t="inlineStr">
        <is>
          <t>1920x1200</t>
        </is>
      </c>
      <c r="N326" s="38" t="inlineStr">
        <is>
          <t>2x USB4 (USB-C), 1x USB-A 3.2, 3.5mm audio</t>
        </is>
      </c>
      <c r="O326" s="38" t="inlineStr">
        <is>
          <t>Windows 11 Pro</t>
        </is>
      </c>
      <c r="P326" s="38" t="n">
        <v>16</v>
      </c>
      <c r="Q326" s="41" t="n">
        <v>1228</v>
      </c>
      <c r="R326" s="38" t="inlineStr">
        <is>
          <t>Lighter than Momus Onyx X 14" Business Laptop [MOM-043-10] (1,228 g vs 1,278 g); Lower price than Selene Crest Air 14" Business Laptop [SEL-034-05] ($753.99 vs $1,528.99)</t>
        </is>
      </c>
      <c r="S326" s="38" t="inlineStr">
        <is>
          <t>work, travel, remote meetings</t>
        </is>
      </c>
      <c r="T326" s="0" t="inlineStr">
        <is>
          <t>in_stock</t>
        </is>
      </c>
      <c r="U326" s="0" t="n">
        <v>45</v>
      </c>
      <c r="V326" s="52" t="n">
        <v>801.99</v>
      </c>
      <c r="W326" s="0" t="inlineStr">
        <is>
          <t>2026-09-23</t>
        </is>
      </c>
      <c r="X326" s="0" t="n">
        <v>16</v>
      </c>
      <c r="Y326" s="0" t="n">
        <v>512</v>
      </c>
      <c r="Z326" s="0" t="n">
        <v>14</v>
      </c>
      <c r="AA326" s="0" t="inlineStr">
        <is>
          <t>No</t>
        </is>
      </c>
    </row>
    <row r="327" ht="15.75" customHeight="1" s="51">
      <c r="A327" s="38" t="inlineStr">
        <is>
          <t>ZEP-032-05</t>
        </is>
      </c>
      <c r="B327" s="38" t="inlineStr">
        <is>
          <t>Zephyrus</t>
        </is>
      </c>
      <c r="C327" s="38" t="inlineStr">
        <is>
          <t>Laptops</t>
        </is>
      </c>
      <c r="D327" s="38" t="inlineStr">
        <is>
          <t>Laptop</t>
        </is>
      </c>
      <c r="E327" s="39" t="inlineStr">
        <is>
          <t>Zephyrus Nova Air 13" Ultrabook</t>
        </is>
      </c>
      <c r="F327" s="40" t="n">
        <v>1218.99</v>
      </c>
      <c r="G327" s="38" t="inlineStr">
        <is>
          <t>the Nova Air; Zephyrus Nova Air; Zepphyrus Nova Air; Nova Air laptop</t>
        </is>
      </c>
      <c r="H327" s="38" t="inlineStr">
        <is>
          <t>1 year limited</t>
        </is>
      </c>
      <c r="I327" s="38" t="inlineStr">
        <is>
          <t>FCC, CE, UL 62368-1, Energy Star, EPEAT Gold</t>
        </is>
      </c>
      <c r="J327" s="38" t="inlineStr">
        <is>
          <t>AMD Ryzen 5 8640HS</t>
        </is>
      </c>
      <c r="K327" s="38" t="inlineStr">
        <is>
          <t>AMD Radeon 760M</t>
        </is>
      </c>
      <c r="L327" s="38" t="inlineStr">
        <is>
          <t>IPS, 60Hz</t>
        </is>
      </c>
      <c r="M327" s="38" t="inlineStr">
        <is>
          <t>1920x1200</t>
        </is>
      </c>
      <c r="N327" s="38" t="inlineStr">
        <is>
          <t>2x USB-C 3.2, 1x USB-A 3.2, HDMI 1.4, 3.5mm audio</t>
        </is>
      </c>
      <c r="O327" s="38" t="inlineStr">
        <is>
          <t>Windows 11 Home</t>
        </is>
      </c>
      <c r="P327" s="38" t="n">
        <v>18</v>
      </c>
      <c r="Q327" s="41" t="n">
        <v>1128</v>
      </c>
      <c r="R327" s="38" t="inlineStr">
        <is>
          <t>Lower price than Calliope Aeon Ultra 13" Ultrabook [CAL-040-04] ($1,218.99 vs $1,433.99); Longer battery than Metis Crest Plus 13" Ultrabook [MET-029-04] (18 vs 15 hrs)</t>
        </is>
      </c>
      <c r="S327" s="38" t="inlineStr">
        <is>
          <t>travel, school, work</t>
        </is>
      </c>
      <c r="T327" s="0" t="inlineStr">
        <is>
          <t>in_stock</t>
        </is>
      </c>
      <c r="U327" s="0" t="n">
        <v>45</v>
      </c>
      <c r="V327" s="52" t="n">
        <v>1363.99</v>
      </c>
      <c r="W327" s="0" t="inlineStr">
        <is>
          <t>2026-08-13</t>
        </is>
      </c>
      <c r="X327" s="0" t="n">
        <v>16</v>
      </c>
      <c r="Y327" s="0" t="n">
        <v>1024</v>
      </c>
      <c r="Z327" s="0" t="n">
        <v>13.3</v>
      </c>
      <c r="AA327" s="0" t="inlineStr">
        <is>
          <t>No</t>
        </is>
      </c>
    </row>
    <row r="328" ht="15.75" customHeight="1" s="51">
      <c r="A328" s="38" t="inlineStr">
        <is>
          <t>ZEP-032-06</t>
        </is>
      </c>
      <c r="B328" s="38" t="inlineStr">
        <is>
          <t>Zephyrus</t>
        </is>
      </c>
      <c r="C328" s="38" t="inlineStr">
        <is>
          <t>Laptops</t>
        </is>
      </c>
      <c r="D328" s="38" t="inlineStr">
        <is>
          <t>Laptop</t>
        </is>
      </c>
      <c r="E328" s="39" t="inlineStr">
        <is>
          <t>Zephyrus Zen Lite 15" Gaming Laptop</t>
        </is>
      </c>
      <c r="F328" s="40" t="n">
        <v>1475.99</v>
      </c>
      <c r="G328" s="38" t="inlineStr">
        <is>
          <t>the Zen Lite; Zephyrus Zen Lite; Zephyurs Zen Lite; Zen Lite laptop</t>
        </is>
      </c>
      <c r="H328" s="38" t="inlineStr">
        <is>
          <t>1 year limited</t>
        </is>
      </c>
      <c r="I328" s="38" t="inlineStr">
        <is>
          <t>FCC, CE, UL 62368-1, Energy Star, EPEAT Bronze</t>
        </is>
      </c>
      <c r="J328" s="38" t="inlineStr">
        <is>
          <t>AMD Ryzen 7 8845HS</t>
        </is>
      </c>
      <c r="K328" s="38" t="inlineStr">
        <is>
          <t>NVIDIA GeForce RTX 4050 6GB Laptop GPU</t>
        </is>
      </c>
      <c r="L328" s="38" t="inlineStr">
        <is>
          <t>IPS, 165Hz</t>
        </is>
      </c>
      <c r="M328" s="38" t="inlineStr">
        <is>
          <t>1920x1080</t>
        </is>
      </c>
      <c r="N328" s="38" t="inlineStr">
        <is>
          <t>1x USB4, 3x USB-A 3.2, HDMI 2.1, RJ-45 Ethernet, 3.5mm audio</t>
        </is>
      </c>
      <c r="O328" s="38" t="inlineStr">
        <is>
          <t>Windows 11 Home</t>
        </is>
      </c>
      <c r="P328" s="38" t="n">
        <v>7</v>
      </c>
      <c r="Q328" s="41" t="n">
        <v>2329</v>
      </c>
      <c r="R328" s="38" t="inlineStr">
        <is>
          <t>Longer battery than Selene Strata Pro 15" Gaming Laptop [SEL-034-08] (7 vs 4 hrs); Lower price than Heracles Core Pro 15" Gaming Laptop [HER-037-07] ($1,475.99 vs $1,846.99)</t>
        </is>
      </c>
      <c r="S328" s="38" t="inlineStr">
        <is>
          <t>gaming, streaming</t>
        </is>
      </c>
      <c r="T328" s="0" t="inlineStr">
        <is>
          <t>in_stock</t>
        </is>
      </c>
      <c r="U328" s="0" t="n">
        <v>45</v>
      </c>
      <c r="V328" s="52" t="n">
        <v>1617.99</v>
      </c>
      <c r="W328" s="0" t="inlineStr">
        <is>
          <t>2026-08-20</t>
        </is>
      </c>
      <c r="X328" s="0" t="n">
        <v>32</v>
      </c>
      <c r="Y328" s="0" t="n">
        <v>1024</v>
      </c>
      <c r="Z328" s="0" t="n">
        <v>15.6</v>
      </c>
      <c r="AA328" s="0" t="inlineStr">
        <is>
          <t>No</t>
        </is>
      </c>
    </row>
    <row r="329" ht="15.75" customHeight="1" s="51">
      <c r="A329" s="38" t="inlineStr">
        <is>
          <t>ZEP-032-07</t>
        </is>
      </c>
      <c r="B329" s="38" t="inlineStr">
        <is>
          <t>Zephyrus</t>
        </is>
      </c>
      <c r="C329" s="38" t="inlineStr">
        <is>
          <t>Laptops</t>
        </is>
      </c>
      <c r="D329" s="38" t="inlineStr">
        <is>
          <t>Laptop</t>
        </is>
      </c>
      <c r="E329" s="39" t="inlineStr">
        <is>
          <t>Zephyrus Nova Pro 15" Ultrabook</t>
        </is>
      </c>
      <c r="F329" s="40" t="n">
        <v>1929.99</v>
      </c>
      <c r="G329" s="38" t="inlineStr">
        <is>
          <t>the Nova Pro; Zephyrus Nova Pro; Zephyurs Nova Pro; Nova Pro laptop</t>
        </is>
      </c>
      <c r="H329" s="38" t="inlineStr">
        <is>
          <t>2 year limited</t>
        </is>
      </c>
      <c r="I329" s="38" t="inlineStr">
        <is>
          <t>FCC, CE, UL 62368-1, Energy Star, EPEAT Bronze</t>
        </is>
      </c>
      <c r="J329" s="38" t="inlineStr">
        <is>
          <t>AMD Ryzen 7 8845HS</t>
        </is>
      </c>
      <c r="K329" s="38" t="inlineStr">
        <is>
          <t>AMD Radeon 780M</t>
        </is>
      </c>
      <c r="L329" s="38" t="inlineStr">
        <is>
          <t>OLED, 120Hz</t>
        </is>
      </c>
      <c r="M329" s="38" t="inlineStr">
        <is>
          <t>2880x1800</t>
        </is>
      </c>
      <c r="N329" s="38" t="inlineStr">
        <is>
          <t>2x USB4 (USB-C), 2x USB-A 3.2, HDMI 2.1, SD card, 3.5mm audio</t>
        </is>
      </c>
      <c r="O329" s="38" t="inlineStr">
        <is>
          <t>Windows 11 Home</t>
        </is>
      </c>
      <c r="P329" s="38" t="n">
        <v>14</v>
      </c>
      <c r="Q329" s="41" t="n">
        <v>1553</v>
      </c>
      <c r="R329" s="38" t="inlineStr">
        <is>
          <t>Longer battery than Momus Blaze Ultra 15" Ultrabook [MOM-043-04] (14 vs 13 hrs); Lighter than Dolos Pulse Plus 15" Ultrabook [DOL-045-06] (1,553 g vs 1,689 g)</t>
        </is>
      </c>
      <c r="S329" s="38" t="inlineStr">
        <is>
          <t>work, school, everyday</t>
        </is>
      </c>
      <c r="T329" s="0" t="inlineStr">
        <is>
          <t>in_stock</t>
        </is>
      </c>
      <c r="U329" s="0" t="n">
        <v>45</v>
      </c>
      <c r="V329" s="52" t="n">
        <v>2039.99</v>
      </c>
      <c r="W329" s="0" t="inlineStr">
        <is>
          <t>2026-09-20</t>
        </is>
      </c>
      <c r="X329" s="0" t="n">
        <v>16</v>
      </c>
      <c r="Y329" s="0" t="n">
        <v>1024</v>
      </c>
      <c r="Z329" s="0" t="n">
        <v>15.6</v>
      </c>
      <c r="AA329" s="0" t="inlineStr">
        <is>
          <t>No</t>
        </is>
      </c>
    </row>
    <row r="330" ht="15.75" customHeight="1" s="51">
      <c r="A330" s="38" t="inlineStr">
        <is>
          <t>ZEP-032-08</t>
        </is>
      </c>
      <c r="B330" s="38" t="inlineStr">
        <is>
          <t>Zephyrus</t>
        </is>
      </c>
      <c r="C330" s="38" t="inlineStr">
        <is>
          <t>Laptops</t>
        </is>
      </c>
      <c r="D330" s="38" t="inlineStr">
        <is>
          <t>Laptop</t>
        </is>
      </c>
      <c r="E330" s="39" t="inlineStr">
        <is>
          <t>Zephyrus Lumen Pro 17" Gaming Laptop</t>
        </is>
      </c>
      <c r="F330" s="40" t="n">
        <v>2346.99</v>
      </c>
      <c r="G330" s="38" t="inlineStr">
        <is>
          <t>the Lumen Pro; Zephyrus Lumen Pro; Zephirus Lumen Pro; Lumen Pro laptop</t>
        </is>
      </c>
      <c r="H330" s="38" t="inlineStr">
        <is>
          <t>1 year limited</t>
        </is>
      </c>
      <c r="I330" s="38" t="inlineStr">
        <is>
          <t>FCC, CE, UL 62368-1, Energy Star, EPEAT Gold</t>
        </is>
      </c>
      <c r="J330" s="38" t="inlineStr">
        <is>
          <t>Intel Core i9-14900HX</t>
        </is>
      </c>
      <c r="K330" s="38" t="inlineStr">
        <is>
          <t>NVIDIA GeForce RTX 4080 12GB Laptop GPU</t>
        </is>
      </c>
      <c r="L330" s="38" t="inlineStr">
        <is>
          <t>IPS, 240Hz</t>
        </is>
      </c>
      <c r="M330" s="38" t="inlineStr">
        <is>
          <t>2560x1600</t>
        </is>
      </c>
      <c r="N330" s="38" t="inlineStr">
        <is>
          <t>1x Thunderbolt 4, 3x USB-A 3.2, HDMI 2.1, RJ-45 Ethernet, 3.5mm audio</t>
        </is>
      </c>
      <c r="O330" s="38" t="inlineStr">
        <is>
          <t>Windows 11 Home</t>
        </is>
      </c>
      <c r="P330" s="38" t="n">
        <v>3</v>
      </c>
      <c r="Q330" s="41" t="n">
        <v>3344</v>
      </c>
      <c r="R330" s="38" t="inlineStr">
        <is>
          <t>Lighter than Polyhymnia Echo Pro 17" Gaming Laptop [POL-041-07] (3,344 g vs 3,363 g); Lower price than Priapus Volt 17" Gaming Laptop [PRI-042-10] ($2,346.99 vs $3,580.99)</t>
        </is>
      </c>
      <c r="S330" s="38" t="inlineStr">
        <is>
          <t>gaming, streaming, content creation</t>
        </is>
      </c>
      <c r="T330" s="0" t="inlineStr">
        <is>
          <t>in_stock</t>
        </is>
      </c>
      <c r="U330" s="0" t="n">
        <v>45</v>
      </c>
      <c r="V330" s="52" t="n">
        <v>2533.99</v>
      </c>
      <c r="W330" s="0" t="inlineStr">
        <is>
          <t>2026-08-09</t>
        </is>
      </c>
      <c r="X330" s="0" t="n">
        <v>32</v>
      </c>
      <c r="Y330" s="0" t="n">
        <v>2048</v>
      </c>
      <c r="Z330" s="0" t="n">
        <v>17.3</v>
      </c>
      <c r="AA330" s="0" t="inlineStr">
        <is>
          <t>No</t>
        </is>
      </c>
    </row>
    <row r="331" ht="15.75" customHeight="1" s="51">
      <c r="A331" s="38" t="inlineStr">
        <is>
          <t>ZEP-032-09</t>
        </is>
      </c>
      <c r="B331" s="38" t="inlineStr">
        <is>
          <t>Zephyrus</t>
        </is>
      </c>
      <c r="C331" s="38" t="inlineStr">
        <is>
          <t>Laptops</t>
        </is>
      </c>
      <c r="D331" s="38" t="inlineStr">
        <is>
          <t>Laptop</t>
        </is>
      </c>
      <c r="E331" s="39" t="inlineStr">
        <is>
          <t>Zephyrus Quanta X Dual-Screen Laptop</t>
        </is>
      </c>
      <c r="F331" s="40" t="n">
        <v>2813.99</v>
      </c>
      <c r="G331" s="38" t="inlineStr">
        <is>
          <t>the Quanta X; Zephyrus Quanta X; Zepyhrus Quanta X; Quanta X laptop</t>
        </is>
      </c>
      <c r="H331" s="38" t="inlineStr">
        <is>
          <t>2 year limited</t>
        </is>
      </c>
      <c r="I331" s="38" t="inlineStr">
        <is>
          <t>FCC, CE, UL 62368-1, EPEAT Gold</t>
        </is>
      </c>
      <c r="J331" s="38" t="inlineStr">
        <is>
          <t>AMD Ryzen AI 9 HX 370</t>
        </is>
      </c>
      <c r="K331" s="38" t="inlineStr">
        <is>
          <t>AMD Radeon 890M</t>
        </is>
      </c>
      <c r="L331" s="38" t="inlineStr">
        <is>
          <t>Dual OLED touch, 120Hz</t>
        </is>
      </c>
      <c r="M331" s="38" t="inlineStr">
        <is>
          <t>2x 2880x1800</t>
        </is>
      </c>
      <c r="N331" s="38" t="inlineStr">
        <is>
          <t>2x USB4 (USB-C), 2x USB-A 3.2, HDMI 2.1, SD card, 3.5mm audio</t>
        </is>
      </c>
      <c r="O331" s="38" t="inlineStr">
        <is>
          <t>Windows 11 Home</t>
        </is>
      </c>
      <c r="P331" s="38" t="n">
        <v>11</v>
      </c>
      <c r="Q331" s="41" t="n">
        <v>1702</v>
      </c>
      <c r="R331" s="38" t="inlineStr">
        <is>
          <t>Longer battery than Homonoia Flux Dual-Screen Laptop [HOM-033-09] (11 vs 6 hrs); Lighter than Auxo Arc Air Dual-Screen Laptop [AUX-038-09] (1,702 g vs 1,830 g)</t>
        </is>
      </c>
      <c r="S331" s="38" t="inlineStr">
        <is>
          <t>multitasking, productivity, content creation</t>
        </is>
      </c>
      <c r="T331" s="0" t="inlineStr">
        <is>
          <t>low_stock</t>
        </is>
      </c>
      <c r="U331" s="0" t="n">
        <v>45</v>
      </c>
      <c r="V331" s="52" t="n">
        <v>3002.99</v>
      </c>
      <c r="W331" s="0" t="inlineStr">
        <is>
          <t>2026-08-20</t>
        </is>
      </c>
      <c r="X331" s="0" t="n">
        <v>32</v>
      </c>
      <c r="Y331" s="0" t="n">
        <v>2048</v>
      </c>
      <c r="Z331" s="0" t="n">
        <v>14</v>
      </c>
      <c r="AA331" s="0" t="inlineStr">
        <is>
          <t>Yes</t>
        </is>
      </c>
    </row>
    <row r="332" ht="15.75" customHeight="1" s="51">
      <c r="A332" s="38" t="inlineStr">
        <is>
          <t>ZEP-032-10</t>
        </is>
      </c>
      <c r="B332" s="38" t="inlineStr">
        <is>
          <t>Zephyrus</t>
        </is>
      </c>
      <c r="C332" s="38" t="inlineStr">
        <is>
          <t>Laptops</t>
        </is>
      </c>
      <c r="D332" s="38" t="inlineStr">
        <is>
          <t>Laptop</t>
        </is>
      </c>
      <c r="E332" s="39" t="inlineStr">
        <is>
          <t>Zephyrus Drift X Rugged Laptop</t>
        </is>
      </c>
      <c r="F332" s="40" t="n">
        <v>3926.99</v>
      </c>
      <c r="G332" s="38" t="inlineStr">
        <is>
          <t>the Drift X; Zephyrus Drift X; Zephyru Drift X; Drift X laptop</t>
        </is>
      </c>
      <c r="H332" s="38" t="inlineStr">
        <is>
          <t>3 year limited, accidental damage</t>
        </is>
      </c>
      <c r="I332" s="38" t="inlineStr">
        <is>
          <t>FCC, CE, UL 62368-1, Energy Star, EPEAT Bronze, MIL-STD-810H, IP65</t>
        </is>
      </c>
      <c r="J332" s="38" t="inlineStr">
        <is>
          <t>Intel Core Ultra 7 155H</t>
        </is>
      </c>
      <c r="K332" s="38" t="inlineStr">
        <is>
          <t>Intel Arc Graphics</t>
        </is>
      </c>
      <c r="L332" s="38" t="inlineStr">
        <is>
          <t>IPS sunlight-readable 1000 nits, touch</t>
        </is>
      </c>
      <c r="M332" s="38" t="inlineStr">
        <is>
          <t>1920x1080</t>
        </is>
      </c>
      <c r="N332" s="38" t="inlineStr">
        <is>
          <t>2x Thunderbolt 4 (USB-C), 1x USB-A 3.2, HDMI 2.1, microSD, 3.5mm audio, RJ-45 Ethernet, serial (RS-232), smart card reader</t>
        </is>
      </c>
      <c r="O332" s="38" t="inlineStr">
        <is>
          <t>Windows 11 Pro</t>
        </is>
      </c>
      <c r="P332" s="38" t="n">
        <v>11</v>
      </c>
      <c r="Q332" s="41" t="n">
        <v>3477</v>
      </c>
      <c r="R332" s="38" t="inlineStr">
        <is>
          <t>Longer battery than Metis Drift Pro Rugged Laptop [MET-029-08] (11 vs 10 hrs); Lighter than Priapus Drift SE Rugged Laptop [PRI-042-07] (3,477 g vs 3,534 g)</t>
        </is>
      </c>
      <c r="S332" s="38" t="inlineStr">
        <is>
          <t>fieldwork, outdoor, industrial</t>
        </is>
      </c>
      <c r="T332" s="0" t="inlineStr">
        <is>
          <t>in_stock</t>
        </is>
      </c>
      <c r="U332" s="0" t="n">
        <v>45</v>
      </c>
      <c r="V332" s="52" t="n">
        <v>4332.99</v>
      </c>
      <c r="W332" s="0" t="inlineStr">
        <is>
          <t>2026-08-03</t>
        </is>
      </c>
      <c r="X332" s="0" t="n">
        <v>64</v>
      </c>
      <c r="Y332" s="0" t="n">
        <v>4096</v>
      </c>
      <c r="Z332" s="0" t="n">
        <v>17.3</v>
      </c>
      <c r="AA332" s="0" t="inlineStr">
        <is>
          <t>Yes</t>
        </is>
      </c>
    </row>
    <row r="333" ht="15.75" customHeight="1" s="51">
      <c r="A333" s="38" t="inlineStr">
        <is>
          <t>HOM-033-01</t>
        </is>
      </c>
      <c r="B333" s="38" t="inlineStr">
        <is>
          <t>Homonoia</t>
        </is>
      </c>
      <c r="C333" s="38" t="inlineStr">
        <is>
          <t>Laptops</t>
        </is>
      </c>
      <c r="D333" s="38" t="inlineStr">
        <is>
          <t>Laptop</t>
        </is>
      </c>
      <c r="E333" s="39" t="inlineStr">
        <is>
          <t>Homonoia Core Student Laptop</t>
        </is>
      </c>
      <c r="F333" s="40" t="n">
        <v>387.99</v>
      </c>
      <c r="G333" s="38" t="inlineStr">
        <is>
          <t>the Core; Homonoia Core; Homonoi Core; Core laptop</t>
        </is>
      </c>
      <c r="H333" s="38" t="inlineStr">
        <is>
          <t>1 year limited</t>
        </is>
      </c>
      <c r="I333" s="38" t="inlineStr">
        <is>
          <t>FCC, CE, UL 62368-1, Energy Star, EPEAT Bronze</t>
        </is>
      </c>
      <c r="J333" s="38" t="inlineStr">
        <is>
          <t>AMD Ryzen 3 7320U</t>
        </is>
      </c>
      <c r="K333" s="38" t="inlineStr">
        <is>
          <t>AMD Radeon 610M</t>
        </is>
      </c>
      <c r="L333" s="38" t="inlineStr">
        <is>
          <t>IPS, 60Hz</t>
        </is>
      </c>
      <c r="M333" s="38" t="inlineStr">
        <is>
          <t>1920x1080</t>
        </is>
      </c>
      <c r="N333" s="38" t="inlineStr">
        <is>
          <t>2x USB-C 3.2, 1x USB-A 3.2, HDMI 1.4, 3.5mm audio</t>
        </is>
      </c>
      <c r="O333" s="38" t="inlineStr">
        <is>
          <t>Windows 11 Home</t>
        </is>
      </c>
      <c r="P333" s="38" t="n">
        <v>7</v>
      </c>
      <c r="Q333" s="41" t="n">
        <v>1640</v>
      </c>
      <c r="R333" s="38" t="inlineStr">
        <is>
          <t>Lower price than Demeter Lumen Plus Student Laptop [DEM-028-02] ($387.99 vs $493.99); Lighter than Atropos Prism Plus Student Laptop [ATR-035-03] (1,640 g vs 1,656 g)</t>
        </is>
      </c>
      <c r="S333" s="38" t="inlineStr">
        <is>
          <t>school, everyday, budget</t>
        </is>
      </c>
      <c r="T333" s="0" t="inlineStr">
        <is>
          <t>in_stock</t>
        </is>
      </c>
      <c r="U333" s="0" t="n">
        <v>30</v>
      </c>
      <c r="V333" s="52" t="n">
        <v>443.99</v>
      </c>
      <c r="W333" s="0" t="inlineStr">
        <is>
          <t>2026-09-06</t>
        </is>
      </c>
      <c r="X333" s="0" t="n">
        <v>8</v>
      </c>
      <c r="Y333" s="0" t="n">
        <v>256</v>
      </c>
      <c r="Z333" s="0" t="n">
        <v>15.6</v>
      </c>
      <c r="AA333" s="0" t="inlineStr">
        <is>
          <t>No</t>
        </is>
      </c>
    </row>
    <row r="334" ht="15.75" customHeight="1" s="51">
      <c r="A334" s="38" t="inlineStr">
        <is>
          <t>HOM-033-02</t>
        </is>
      </c>
      <c r="B334" s="38" t="inlineStr">
        <is>
          <t>Homonoia</t>
        </is>
      </c>
      <c r="C334" s="38" t="inlineStr">
        <is>
          <t>Laptops</t>
        </is>
      </c>
      <c r="D334" s="38" t="inlineStr">
        <is>
          <t>Laptop</t>
        </is>
      </c>
      <c r="E334" s="39" t="inlineStr">
        <is>
          <t>Homonoia Orbit Pro 15" Budget Laptop</t>
        </is>
      </c>
      <c r="F334" s="40" t="n">
        <v>479.99</v>
      </c>
      <c r="G334" s="38" t="inlineStr">
        <is>
          <t>the Orbit Pro; Homonoia Orbit Pro; Homonoiia Orbit Pro; Orbit Pro laptop</t>
        </is>
      </c>
      <c r="H334" s="38" t="inlineStr">
        <is>
          <t>1 year limited</t>
        </is>
      </c>
      <c r="I334" s="38" t="inlineStr">
        <is>
          <t>FCC, CE, UL 62368-1, Energy Star, EPEAT Silver</t>
        </is>
      </c>
      <c r="J334" s="38" t="inlineStr">
        <is>
          <t>Intel Core Ultra 5 125U</t>
        </is>
      </c>
      <c r="K334" s="38" t="inlineStr">
        <is>
          <t>Intel Graphics</t>
        </is>
      </c>
      <c r="L334" s="38" t="inlineStr">
        <is>
          <t>IPS, 60Hz</t>
        </is>
      </c>
      <c r="M334" s="38" t="inlineStr">
        <is>
          <t>1920x1080</t>
        </is>
      </c>
      <c r="N334" s="38" t="inlineStr">
        <is>
          <t>2x Thunderbolt 4 (USB-C), 1x USB-A 3.2, HDMI 2.1, microSD, 3.5mm audio</t>
        </is>
      </c>
      <c r="O334" s="38" t="inlineStr">
        <is>
          <t>Windows 11 Home</t>
        </is>
      </c>
      <c r="P334" s="38" t="n">
        <v>6</v>
      </c>
      <c r="Q334" s="41" t="n">
        <v>1851</v>
      </c>
      <c r="R334" s="38" t="inlineStr">
        <is>
          <t>Lower price than Thanatos Prism Max 15" Budget Laptop [THA-049-02] ($479.99 vs $586.99); Lighter than Terpsichore Vertex 15" Budget Laptop [TER-039-01] (1,851 g vs 1,856 g)</t>
        </is>
      </c>
      <c r="S334" s="38" t="inlineStr">
        <is>
          <t>budget, everyday, school</t>
        </is>
      </c>
      <c r="T334" s="0" t="inlineStr">
        <is>
          <t>in_stock</t>
        </is>
      </c>
      <c r="U334" s="0" t="n">
        <v>30</v>
      </c>
      <c r="V334" s="52" t="n">
        <v>531.99</v>
      </c>
      <c r="W334" s="0" t="inlineStr">
        <is>
          <t>2026-08-02</t>
        </is>
      </c>
      <c r="X334" s="0" t="n">
        <v>8</v>
      </c>
      <c r="Y334" s="0" t="n">
        <v>256</v>
      </c>
      <c r="Z334" s="0" t="n">
        <v>15.6</v>
      </c>
      <c r="AA334" s="0" t="inlineStr">
        <is>
          <t>No</t>
        </is>
      </c>
    </row>
    <row r="335" ht="15.75" customHeight="1" s="51">
      <c r="A335" s="38" t="inlineStr">
        <is>
          <t>HOM-033-03</t>
        </is>
      </c>
      <c r="B335" s="38" t="inlineStr">
        <is>
          <t>Homonoia</t>
        </is>
      </c>
      <c r="C335" s="38" t="inlineStr">
        <is>
          <t>Laptops</t>
        </is>
      </c>
      <c r="D335" s="38" t="inlineStr">
        <is>
          <t>Laptop</t>
        </is>
      </c>
      <c r="E335" s="39" t="inlineStr">
        <is>
          <t>Homonoia Blaze SE 2-in-1 Convertible</t>
        </is>
      </c>
      <c r="F335" s="40" t="n">
        <v>857.99</v>
      </c>
      <c r="G335" s="38" t="inlineStr">
        <is>
          <t>the Blaze SE; Homonoia Blaze SE; Homonnoia Blaze SE; Blaze SE laptop</t>
        </is>
      </c>
      <c r="H335" s="38" t="inlineStr">
        <is>
          <t>1 year limited</t>
        </is>
      </c>
      <c r="I335" s="38" t="inlineStr">
        <is>
          <t>FCC, CE, UL 62368-1, Energy Star, EPEAT Gold</t>
        </is>
      </c>
      <c r="J335" s="38" t="inlineStr">
        <is>
          <t>Qualcomm Snapdragon X Plus X1P-42-100</t>
        </is>
      </c>
      <c r="K335" s="38" t="inlineStr">
        <is>
          <t>Qualcomm Adreno X1-45</t>
        </is>
      </c>
      <c r="L335" s="38" t="inlineStr">
        <is>
          <t>IPS touch, 60Hz</t>
        </is>
      </c>
      <c r="M335" s="38" t="inlineStr">
        <is>
          <t>1920x1200</t>
        </is>
      </c>
      <c r="N335" s="38" t="inlineStr">
        <is>
          <t>2x USB4 (USB-C), 1x USB-A 3.2, 3.5mm audio</t>
        </is>
      </c>
      <c r="O335" s="38" t="inlineStr">
        <is>
          <t>Windows 11 Home</t>
        </is>
      </c>
      <c r="P335" s="38" t="n">
        <v>12</v>
      </c>
      <c r="Q335" s="41" t="n">
        <v>1490</v>
      </c>
      <c r="R335" s="38" t="inlineStr">
        <is>
          <t>Lower price than Rhea Echo Plus 2-in-1 Convertible [RHE-047-04] ($857.99 vs $871.99); Lighter than Thanatos Core 2-in-1 Convertible [THA-049-05] (1,490 g vs 1,529 g)</t>
        </is>
      </c>
      <c r="S335" s="38" t="inlineStr">
        <is>
          <t>school, note-taking, travel</t>
        </is>
      </c>
      <c r="T335" s="0" t="inlineStr">
        <is>
          <t>low_stock</t>
        </is>
      </c>
      <c r="U335" s="0" t="n">
        <v>30</v>
      </c>
      <c r="V335" s="52" t="n">
        <v>905.99</v>
      </c>
      <c r="W335" s="0" t="inlineStr">
        <is>
          <t>2026-08-26</t>
        </is>
      </c>
      <c r="X335" s="0" t="n">
        <v>16</v>
      </c>
      <c r="Y335" s="0" t="n">
        <v>512</v>
      </c>
      <c r="Z335" s="0" t="n">
        <v>14</v>
      </c>
      <c r="AA335" s="0" t="inlineStr">
        <is>
          <t>Yes</t>
        </is>
      </c>
    </row>
    <row r="336" ht="15.75" customHeight="1" s="51">
      <c r="A336" s="38" t="inlineStr">
        <is>
          <t>HOM-033-04</t>
        </is>
      </c>
      <c r="B336" s="38" t="inlineStr">
        <is>
          <t>Homonoia</t>
        </is>
      </c>
      <c r="C336" s="38" t="inlineStr">
        <is>
          <t>Laptops</t>
        </is>
      </c>
      <c r="D336" s="38" t="inlineStr">
        <is>
          <t>Laptop</t>
        </is>
      </c>
      <c r="E336" s="39" t="inlineStr">
        <is>
          <t>Homonoia Lumen 13" Ultrabook</t>
        </is>
      </c>
      <c r="F336" s="40" t="n">
        <v>1849.99</v>
      </c>
      <c r="G336" s="38" t="inlineStr">
        <is>
          <t>the Lumen; Homonoia Lumen; Hommonoia Lumen; Lumen laptop</t>
        </is>
      </c>
      <c r="H336" s="38" t="inlineStr">
        <is>
          <t>2 year limited</t>
        </is>
      </c>
      <c r="I336" s="38" t="inlineStr">
        <is>
          <t>FCC, CE, UL 62368-1, Energy Star, EPEAT Gold</t>
        </is>
      </c>
      <c r="J336" s="38" t="inlineStr">
        <is>
          <t>AMD Ryzen 7 8845HS</t>
        </is>
      </c>
      <c r="K336" s="38" t="inlineStr">
        <is>
          <t>AMD Radeon 780M</t>
        </is>
      </c>
      <c r="L336" s="38" t="inlineStr">
        <is>
          <t>OLED, 90Hz</t>
        </is>
      </c>
      <c r="M336" s="38" t="inlineStr">
        <is>
          <t>2880x1800</t>
        </is>
      </c>
      <c r="N336" s="38" t="inlineStr">
        <is>
          <t>2x USB4 (USB-C), 2x USB-A 3.2, HDMI 2.1, SD card, 3.5mm audio</t>
        </is>
      </c>
      <c r="O336" s="38" t="inlineStr">
        <is>
          <t>Windows 11 Home</t>
        </is>
      </c>
      <c r="P336" s="38" t="n">
        <v>18</v>
      </c>
      <c r="Q336" s="41" t="n">
        <v>1007</v>
      </c>
      <c r="R336" s="38" t="inlineStr">
        <is>
          <t>Longer battery than Metis Crest Plus 13" Ultrabook [MET-029-04] (18 vs 15 hrs); Lighter than Persephone Blaze Air 13" Ultrabook [PER-036-04] (1,007 g vs 1,229 g)</t>
        </is>
      </c>
      <c r="S336" s="38" t="inlineStr">
        <is>
          <t>travel, school, work</t>
        </is>
      </c>
      <c r="T336" s="0" t="inlineStr">
        <is>
          <t>in_stock</t>
        </is>
      </c>
      <c r="U336" s="0" t="n">
        <v>30</v>
      </c>
      <c r="V336" s="52" t="n">
        <v>1944.99</v>
      </c>
      <c r="W336" s="0" t="inlineStr">
        <is>
          <t>2026-08-13</t>
        </is>
      </c>
      <c r="X336" s="0" t="n">
        <v>16</v>
      </c>
      <c r="Y336" s="0" t="n">
        <v>1024</v>
      </c>
      <c r="Z336" s="0" t="n">
        <v>13.3</v>
      </c>
      <c r="AA336" s="0" t="inlineStr">
        <is>
          <t>No</t>
        </is>
      </c>
    </row>
    <row r="337" ht="15.75" customHeight="1" s="51">
      <c r="A337" s="38" t="inlineStr">
        <is>
          <t>HOM-033-05</t>
        </is>
      </c>
      <c r="B337" s="38" t="inlineStr">
        <is>
          <t>Homonoia</t>
        </is>
      </c>
      <c r="C337" s="38" t="inlineStr">
        <is>
          <t>Laptops</t>
        </is>
      </c>
      <c r="D337" s="38" t="inlineStr">
        <is>
          <t>Laptop</t>
        </is>
      </c>
      <c r="E337" s="39" t="inlineStr">
        <is>
          <t>Homonoia Aeon Plus 15" Ultrabook</t>
        </is>
      </c>
      <c r="F337" s="40" t="n">
        <v>1973.99</v>
      </c>
      <c r="G337" s="38" t="inlineStr">
        <is>
          <t>the Aeon Plus; Homonoia Aeon Plus; Homonooia Aeon Plus; Aeon Plus laptop</t>
        </is>
      </c>
      <c r="H337" s="38" t="inlineStr">
        <is>
          <t>2 year limited</t>
        </is>
      </c>
      <c r="I337" s="38" t="inlineStr">
        <is>
          <t>FCC, CE, UL 62368-1, EPEAT Bronze</t>
        </is>
      </c>
      <c r="J337" s="38" t="inlineStr">
        <is>
          <t>Qualcomm Snapdragon X Elite X1E-78-100</t>
        </is>
      </c>
      <c r="K337" s="38" t="inlineStr">
        <is>
          <t>Qualcomm Adreno X1-85</t>
        </is>
      </c>
      <c r="L337" s="38" t="inlineStr">
        <is>
          <t>OLED, 120Hz</t>
        </is>
      </c>
      <c r="M337" s="38" t="inlineStr">
        <is>
          <t>2880x1800</t>
        </is>
      </c>
      <c r="N337" s="38" t="inlineStr">
        <is>
          <t>2x USB4 (USB-C), 1x USB-A 3.2, 3.5mm audio</t>
        </is>
      </c>
      <c r="O337" s="38" t="inlineStr">
        <is>
          <t>Windows 11 Home</t>
        </is>
      </c>
      <c r="P337" s="38" t="n">
        <v>14</v>
      </c>
      <c r="Q337" s="41" t="n">
        <v>1610</v>
      </c>
      <c r="R337" s="38" t="inlineStr">
        <is>
          <t>Longer battery than Atropos Vertex 15" Ultrabook [ATR-035-04] (14 vs 11 hrs); Lower price than Selene Axis Plus 15" Ultrabook [SEL-034-07] ($1,973.99 vs $2,121.99)</t>
        </is>
      </c>
      <c r="S337" s="38" t="inlineStr">
        <is>
          <t>work, school, everyday</t>
        </is>
      </c>
      <c r="T337" s="0" t="inlineStr">
        <is>
          <t>in_stock</t>
        </is>
      </c>
      <c r="U337" s="0" t="n">
        <v>30</v>
      </c>
      <c r="V337" s="52" t="n">
        <v>2205.99</v>
      </c>
      <c r="W337" s="0" t="inlineStr">
        <is>
          <t>2026-08-25</t>
        </is>
      </c>
      <c r="X337" s="0" t="n">
        <v>16</v>
      </c>
      <c r="Y337" s="0" t="n">
        <v>1024</v>
      </c>
      <c r="Z337" s="0" t="n">
        <v>15.6</v>
      </c>
      <c r="AA337" s="0" t="inlineStr">
        <is>
          <t>No</t>
        </is>
      </c>
    </row>
    <row r="338" ht="15.75" customHeight="1" s="51">
      <c r="A338" s="38" t="inlineStr">
        <is>
          <t>HOM-033-06</t>
        </is>
      </c>
      <c r="B338" s="38" t="inlineStr">
        <is>
          <t>Homonoia</t>
        </is>
      </c>
      <c r="C338" s="38" t="inlineStr">
        <is>
          <t>Laptops</t>
        </is>
      </c>
      <c r="D338" s="38" t="inlineStr">
        <is>
          <t>Laptop</t>
        </is>
      </c>
      <c r="E338" s="39" t="inlineStr">
        <is>
          <t>Homonoia Echo Air 14" Business Laptop</t>
        </is>
      </c>
      <c r="F338" s="40" t="n">
        <v>2007.99</v>
      </c>
      <c r="G338" s="38" t="inlineStr">
        <is>
          <t>the Echo Air; Homonoia Echo Air; Hommonoia Echo Air; Echo Air laptop</t>
        </is>
      </c>
      <c r="H338" s="38" t="inlineStr">
        <is>
          <t>3 year limited, on-site service</t>
        </is>
      </c>
      <c r="I338" s="38" t="inlineStr">
        <is>
          <t>FCC, CE, UL 62368-1, EPEAT Silver, TCO Certified, MIL-STD-810H</t>
        </is>
      </c>
      <c r="J338" s="38" t="inlineStr">
        <is>
          <t>Qualcomm Snapdragon X Elite X1E-78-100</t>
        </is>
      </c>
      <c r="K338" s="38" t="inlineStr">
        <is>
          <t>Qualcomm Adreno X1-85</t>
        </is>
      </c>
      <c r="L338" s="38" t="inlineStr">
        <is>
          <t>OLED, 60Hz</t>
        </is>
      </c>
      <c r="M338" s="38" t="inlineStr">
        <is>
          <t>2880x1800</t>
        </is>
      </c>
      <c r="N338" s="38" t="inlineStr">
        <is>
          <t>2x USB4 (USB-C), 1x USB-A 3.2, 3.5mm audio</t>
        </is>
      </c>
      <c r="O338" s="38" t="inlineStr">
        <is>
          <t>Windows 11 Pro</t>
        </is>
      </c>
      <c r="P338" s="38" t="n">
        <v>10</v>
      </c>
      <c r="Q338" s="41" t="n">
        <v>1164</v>
      </c>
      <c r="R338" s="38" t="inlineStr">
        <is>
          <t>Lighter than Zephyrus Core Lite 14" Business Laptop [ZEP-032-04] (1,164 g vs 1,228 g); Lower price than Chronos Aeon Pro 14" Business Laptop [CHR-050-06] ($2,007.99 vs $2,189.99)</t>
        </is>
      </c>
      <c r="S338" s="38" t="inlineStr">
        <is>
          <t>work, travel, remote meetings</t>
        </is>
      </c>
      <c r="T338" s="0" t="inlineStr">
        <is>
          <t>low_stock</t>
        </is>
      </c>
      <c r="U338" s="0" t="n">
        <v>30</v>
      </c>
      <c r="V338" s="52" t="n">
        <v>2181.99</v>
      </c>
      <c r="W338" s="0" t="inlineStr">
        <is>
          <t>2026-08-03</t>
        </is>
      </c>
      <c r="X338" s="0" t="n">
        <v>32</v>
      </c>
      <c r="Y338" s="0" t="n">
        <v>2048</v>
      </c>
      <c r="Z338" s="0" t="n">
        <v>14</v>
      </c>
      <c r="AA338" s="0" t="inlineStr">
        <is>
          <t>No</t>
        </is>
      </c>
    </row>
    <row r="339" ht="15.75" customHeight="1" s="51">
      <c r="A339" s="38" t="inlineStr">
        <is>
          <t>HOM-033-07</t>
        </is>
      </c>
      <c r="B339" s="38" t="inlineStr">
        <is>
          <t>Homonoia</t>
        </is>
      </c>
      <c r="C339" s="38" t="inlineStr">
        <is>
          <t>Laptops</t>
        </is>
      </c>
      <c r="D339" s="38" t="inlineStr">
        <is>
          <t>Laptop</t>
        </is>
      </c>
      <c r="E339" s="39" t="inlineStr">
        <is>
          <t>Homonoia Spark SE Mobile Workstation</t>
        </is>
      </c>
      <c r="F339" s="40" t="n">
        <v>2047.99</v>
      </c>
      <c r="G339" s="38" t="inlineStr">
        <is>
          <t>the Spark SE; Homonoia Spark SE; Homonoiaa Spark SE; Spark SE laptop</t>
        </is>
      </c>
      <c r="H339" s="38" t="inlineStr">
        <is>
          <t>3 year limited, on-site service</t>
        </is>
      </c>
      <c r="I339" s="38" t="inlineStr">
        <is>
          <t>FCC, CE, UL 62368-1, Energy Star, EPEAT Silver, TCO Certified, MIL-STD-810H</t>
        </is>
      </c>
      <c r="J339" s="38" t="inlineStr">
        <is>
          <t>Intel Core Ultra 7 155H</t>
        </is>
      </c>
      <c r="K339" s="38" t="inlineStr">
        <is>
          <t>NVIDIA RTX 2000 Ada 8GB Laptop GPU</t>
        </is>
      </c>
      <c r="L339" s="38" t="inlineStr">
        <is>
          <t>IPS, 60Hz</t>
        </is>
      </c>
      <c r="M339" s="38" t="inlineStr">
        <is>
          <t>1920x1200</t>
        </is>
      </c>
      <c r="N339" s="38" t="inlineStr">
        <is>
          <t>2x Thunderbolt 4 (USB-C), 1x USB-A 3.2, HDMI 2.1, microSD, 3.5mm audio</t>
        </is>
      </c>
      <c r="O339" s="38" t="inlineStr">
        <is>
          <t>Windows 11 Pro</t>
        </is>
      </c>
      <c r="P339" s="38" t="n">
        <v>5</v>
      </c>
      <c r="Q339" s="41" t="n">
        <v>2314</v>
      </c>
      <c r="R339" s="38" t="inlineStr">
        <is>
          <t>Lower price than Priapus Zen Mobile Workstation [PRI-042-09] ($2,047.99 vs $2,413.99); Lighter than Thalia Nimbus Plus Mobile Workstation [THA-030-10] (2,314 g vs 2,895 g)</t>
        </is>
      </c>
      <c r="S339" s="38" t="inlineStr">
        <is>
          <t>engineering, 3D rendering, data science</t>
        </is>
      </c>
      <c r="T339" s="0" t="inlineStr">
        <is>
          <t>in_stock</t>
        </is>
      </c>
      <c r="U339" s="0" t="n">
        <v>30</v>
      </c>
      <c r="V339" s="52" t="n">
        <v>2178.99</v>
      </c>
      <c r="W339" s="0" t="inlineStr">
        <is>
          <t>2026-08-29</t>
        </is>
      </c>
      <c r="X339" s="0" t="n">
        <v>32</v>
      </c>
      <c r="Y339" s="0" t="n">
        <v>2048</v>
      </c>
      <c r="Z339" s="0" t="n">
        <v>16</v>
      </c>
      <c r="AA339" s="0" t="inlineStr">
        <is>
          <t>No</t>
        </is>
      </c>
    </row>
    <row r="340" ht="15.75" customHeight="1" s="51">
      <c r="A340" s="38" t="inlineStr">
        <is>
          <t>HOM-033-08</t>
        </is>
      </c>
      <c r="B340" s="38" t="inlineStr">
        <is>
          <t>Homonoia</t>
        </is>
      </c>
      <c r="C340" s="38" t="inlineStr">
        <is>
          <t>Laptops</t>
        </is>
      </c>
      <c r="D340" s="38" t="inlineStr">
        <is>
          <t>Laptop</t>
        </is>
      </c>
      <c r="E340" s="39" t="inlineStr">
        <is>
          <t>Homonoia Zen 15" Gaming Laptop</t>
        </is>
      </c>
      <c r="F340" s="40" t="n">
        <v>2203.99</v>
      </c>
      <c r="G340" s="38" t="inlineStr">
        <is>
          <t>the Zen; Homonoia Zen; Homoonia Zen; Zen laptop</t>
        </is>
      </c>
      <c r="H340" s="38" t="inlineStr">
        <is>
          <t>2 year limited</t>
        </is>
      </c>
      <c r="I340" s="38" t="inlineStr">
        <is>
          <t>FCC, CE, UL 62368-1, Energy Star, EPEAT Gold</t>
        </is>
      </c>
      <c r="J340" s="38" t="inlineStr">
        <is>
          <t>AMD Ryzen 9 7945HX</t>
        </is>
      </c>
      <c r="K340" s="38" t="inlineStr">
        <is>
          <t>NVIDIA GeForce RTX 4070 8GB Laptop GPU</t>
        </is>
      </c>
      <c r="L340" s="38" t="inlineStr">
        <is>
          <t>IPS, 240Hz</t>
        </is>
      </c>
      <c r="M340" s="38" t="inlineStr">
        <is>
          <t>2560x1600</t>
        </is>
      </c>
      <c r="N340" s="38" t="inlineStr">
        <is>
          <t>1x USB4, 3x USB-A 3.2, HDMI 2.1, RJ-45 Ethernet, 3.5mm audio</t>
        </is>
      </c>
      <c r="O340" s="38" t="inlineStr">
        <is>
          <t>Windows 11 Home</t>
        </is>
      </c>
      <c r="P340" s="38" t="n">
        <v>4</v>
      </c>
      <c r="Q340" s="41" t="n">
        <v>2383</v>
      </c>
      <c r="R340" s="38" t="inlineStr">
        <is>
          <t>Lower price than Calliope Drift X 15" Gaming Laptop [CAL-040-07] ($2,203.99 vs $2,314.99); Lighter than Terpsichore Quanta Plus 15" Gaming Laptop [TER-039-03] (2,383 g vs 2,496 g)</t>
        </is>
      </c>
      <c r="S340" s="38" t="inlineStr">
        <is>
          <t>gaming, streaming</t>
        </is>
      </c>
      <c r="T340" s="0" t="inlineStr">
        <is>
          <t>low_stock</t>
        </is>
      </c>
      <c r="U340" s="0" t="n">
        <v>30</v>
      </c>
      <c r="V340" s="52" t="n">
        <v>2308.99</v>
      </c>
      <c r="W340" s="0" t="inlineStr">
        <is>
          <t>2026-09-01</t>
        </is>
      </c>
      <c r="X340" s="0" t="n">
        <v>32</v>
      </c>
      <c r="Y340" s="0" t="n">
        <v>2048</v>
      </c>
      <c r="Z340" s="0" t="n">
        <v>15.6</v>
      </c>
      <c r="AA340" s="0" t="inlineStr">
        <is>
          <t>No</t>
        </is>
      </c>
    </row>
    <row r="341" ht="15.75" customHeight="1" s="51">
      <c r="A341" s="38" t="inlineStr">
        <is>
          <t>HOM-033-09</t>
        </is>
      </c>
      <c r="B341" s="38" t="inlineStr">
        <is>
          <t>Homonoia</t>
        </is>
      </c>
      <c r="C341" s="38" t="inlineStr">
        <is>
          <t>Laptops</t>
        </is>
      </c>
      <c r="D341" s="38" t="inlineStr">
        <is>
          <t>Laptop</t>
        </is>
      </c>
      <c r="E341" s="39" t="inlineStr">
        <is>
          <t>Homonoia Flux Dual-Screen Laptop</t>
        </is>
      </c>
      <c r="F341" s="40" t="n">
        <v>2275.99</v>
      </c>
      <c r="G341" s="38" t="inlineStr">
        <is>
          <t>the Flux; Homonoia Flux; Homonoi Flux; Flux laptop</t>
        </is>
      </c>
      <c r="H341" s="38" t="inlineStr">
        <is>
          <t>1 year limited</t>
        </is>
      </c>
      <c r="I341" s="38" t="inlineStr">
        <is>
          <t>FCC, CE, UL 62368-1, Energy Star, EPEAT Bronze</t>
        </is>
      </c>
      <c r="J341" s="38" t="inlineStr">
        <is>
          <t>AMD Ryzen AI 9 HX 370</t>
        </is>
      </c>
      <c r="K341" s="38" t="inlineStr">
        <is>
          <t>AMD Radeon 890M</t>
        </is>
      </c>
      <c r="L341" s="38" t="inlineStr">
        <is>
          <t>Dual OLED touch, 120Hz</t>
        </is>
      </c>
      <c r="M341" s="38" t="inlineStr">
        <is>
          <t>2x 2880x1800</t>
        </is>
      </c>
      <c r="N341" s="38" t="inlineStr">
        <is>
          <t>2x USB4 (USB-C), 2x USB-A 3.2, HDMI 2.1, SD card, 3.5mm audio</t>
        </is>
      </c>
      <c r="O341" s="38" t="inlineStr">
        <is>
          <t>Windows 11 Home</t>
        </is>
      </c>
      <c r="P341" s="38" t="n">
        <v>6</v>
      </c>
      <c r="Q341" s="41" t="n">
        <v>1507</v>
      </c>
      <c r="R341" s="38" t="inlineStr">
        <is>
          <t>Lighter than Metis Sable Ultra Dual-Screen Laptop [MET-029-05] (1,507 g vs 1,873 g); Lower price than Boreas Lumen Ultra Dual-Screen Laptop [BOR-044-07] ($2,275.99 vs $2,587.99)</t>
        </is>
      </c>
      <c r="S341" s="38" t="inlineStr">
        <is>
          <t>multitasking, productivity, content creation</t>
        </is>
      </c>
      <c r="T341" s="0" t="inlineStr">
        <is>
          <t>in_stock</t>
        </is>
      </c>
      <c r="U341" s="0" t="n">
        <v>30</v>
      </c>
      <c r="V341" s="52" t="n">
        <v>2403.99</v>
      </c>
      <c r="W341" s="0" t="inlineStr">
        <is>
          <t>2026-09-18</t>
        </is>
      </c>
      <c r="X341" s="0" t="n">
        <v>32</v>
      </c>
      <c r="Y341" s="0" t="n">
        <v>2048</v>
      </c>
      <c r="Z341" s="0" t="n">
        <v>14</v>
      </c>
      <c r="AA341" s="0" t="inlineStr">
        <is>
          <t>Yes</t>
        </is>
      </c>
    </row>
    <row r="342" ht="15.75" customHeight="1" s="51">
      <c r="A342" s="38" t="inlineStr">
        <is>
          <t>HOM-033-10</t>
        </is>
      </c>
      <c r="B342" s="38" t="inlineStr">
        <is>
          <t>Homonoia</t>
        </is>
      </c>
      <c r="C342" s="38" t="inlineStr">
        <is>
          <t>Laptops</t>
        </is>
      </c>
      <c r="D342" s="38" t="inlineStr">
        <is>
          <t>Laptop</t>
        </is>
      </c>
      <c r="E342" s="39" t="inlineStr">
        <is>
          <t>Homonoia Aeon 16" Creator Laptop</t>
        </is>
      </c>
      <c r="F342" s="40" t="n">
        <v>2633.99</v>
      </c>
      <c r="G342" s="38" t="inlineStr">
        <is>
          <t>the Aeon; Homonoia Aeon; Homonoiia Aeon; Aeon laptop</t>
        </is>
      </c>
      <c r="H342" s="38" t="inlineStr">
        <is>
          <t>1 year limited</t>
        </is>
      </c>
      <c r="I342" s="38" t="inlineStr">
        <is>
          <t>FCC, CE, UL 62368-1, Energy Star, EPEAT Silver</t>
        </is>
      </c>
      <c r="J342" s="38" t="inlineStr">
        <is>
          <t>Intel Core i9-14900HX</t>
        </is>
      </c>
      <c r="K342" s="38" t="inlineStr">
        <is>
          <t>NVIDIA GeForce RTX 4070 8GB Laptop GPU</t>
        </is>
      </c>
      <c r="L342" s="38" t="inlineStr">
        <is>
          <t>Mini-LED, 165Hz</t>
        </is>
      </c>
      <c r="M342" s="38" t="inlineStr">
        <is>
          <t>3840x2400</t>
        </is>
      </c>
      <c r="N342" s="38" t="inlineStr">
        <is>
          <t>2x Thunderbolt 4 (USB-C), 1x USB-A 3.2, HDMI 2.1, microSD, 3.5mm audio</t>
        </is>
      </c>
      <c r="O342" s="38" t="inlineStr">
        <is>
          <t>Windows 11 Home</t>
        </is>
      </c>
      <c r="P342" s="38" t="n">
        <v>8</v>
      </c>
      <c r="Q342" s="41" t="n">
        <v>2008</v>
      </c>
      <c r="R342" s="38" t="inlineStr">
        <is>
          <t>Longer battery than Demeter Apex 16" Creator Laptop [DEM-028-07] (8 vs 6 hrs); Lower price than Hygieia Quanta SE 16" Creator Laptop [HYG-048-09] ($2,633.99 vs $3,199.99)</t>
        </is>
      </c>
      <c r="S342" s="38" t="inlineStr">
        <is>
          <t>video editing, photo editing, content creation</t>
        </is>
      </c>
      <c r="T342" s="0" t="inlineStr">
        <is>
          <t>low_stock</t>
        </is>
      </c>
      <c r="U342" s="0" t="n">
        <v>30</v>
      </c>
      <c r="V342" s="52" t="n">
        <v>2940.99</v>
      </c>
      <c r="W342" s="0" t="inlineStr">
        <is>
          <t>2026-09-05</t>
        </is>
      </c>
      <c r="X342" s="0" t="n">
        <v>32</v>
      </c>
      <c r="Y342" s="0" t="n">
        <v>2048</v>
      </c>
      <c r="Z342" s="0" t="n">
        <v>16</v>
      </c>
      <c r="AA342" s="0" t="inlineStr">
        <is>
          <t>No</t>
        </is>
      </c>
    </row>
    <row r="343" ht="15.75" customHeight="1" s="51">
      <c r="A343" s="38" t="inlineStr">
        <is>
          <t>SEL-034-01</t>
        </is>
      </c>
      <c r="B343" s="38" t="inlineStr">
        <is>
          <t>Selene</t>
        </is>
      </c>
      <c r="C343" s="38" t="inlineStr">
        <is>
          <t>Laptops</t>
        </is>
      </c>
      <c r="D343" s="38" t="inlineStr">
        <is>
          <t>Laptop</t>
        </is>
      </c>
      <c r="E343" s="39" t="inlineStr">
        <is>
          <t>Selene Zen Ultra Student Laptop</t>
        </is>
      </c>
      <c r="F343" s="40" t="n">
        <v>509.99</v>
      </c>
      <c r="G343" s="38" t="inlineStr">
        <is>
          <t>the Zen Ultra; Selene Zen Ultra; Selenne Zen Ultra; Zen Ultra laptop</t>
        </is>
      </c>
      <c r="H343" s="38" t="inlineStr">
        <is>
          <t>1 year limited</t>
        </is>
      </c>
      <c r="I343" s="38" t="inlineStr">
        <is>
          <t>FCC, CE, UL 62368-1, Energy Star, EPEAT Gold</t>
        </is>
      </c>
      <c r="J343" s="38" t="inlineStr">
        <is>
          <t>Intel Core i3-1315U</t>
        </is>
      </c>
      <c r="K343" s="38" t="inlineStr">
        <is>
          <t>Intel UHD Graphics</t>
        </is>
      </c>
      <c r="L343" s="38" t="inlineStr">
        <is>
          <t>IPS, 60Hz</t>
        </is>
      </c>
      <c r="M343" s="38" t="inlineStr">
        <is>
          <t>1920x1080</t>
        </is>
      </c>
      <c r="N343" s="38" t="inlineStr">
        <is>
          <t>2x USB-C 3.2, 1x USB-A 3.2, HDMI 1.4, 3.5mm audio</t>
        </is>
      </c>
      <c r="O343" s="38" t="inlineStr">
        <is>
          <t>Windows 11 Home</t>
        </is>
      </c>
      <c r="P343" s="38" t="n">
        <v>11</v>
      </c>
      <c r="Q343" s="41" t="n">
        <v>1773</v>
      </c>
      <c r="R343" s="38" t="inlineStr">
        <is>
          <t>Longer battery than Demeter Lumen Plus Student Laptop [DEM-028-02] (11 vs 9 hrs); Lower price than Momus Blaze Pro Student Laptop [MOM-043-03] ($509.99 vs $644.99)</t>
        </is>
      </c>
      <c r="S343" s="38" t="inlineStr">
        <is>
          <t>school, everyday, budget</t>
        </is>
      </c>
      <c r="T343" s="0" t="inlineStr">
        <is>
          <t>in_stock</t>
        </is>
      </c>
      <c r="U343" s="0" t="n">
        <v>14</v>
      </c>
      <c r="V343" s="52" t="n">
        <v>558.99</v>
      </c>
      <c r="W343" s="0" t="inlineStr">
        <is>
          <t>2026-09-12</t>
        </is>
      </c>
      <c r="X343" s="0" t="n">
        <v>16</v>
      </c>
      <c r="Y343" s="0" t="n">
        <v>512</v>
      </c>
      <c r="Z343" s="0" t="n">
        <v>15.6</v>
      </c>
      <c r="AA343" s="0" t="inlineStr">
        <is>
          <t>No</t>
        </is>
      </c>
    </row>
    <row r="344" ht="15.75" customHeight="1" s="51">
      <c r="A344" s="38" t="inlineStr">
        <is>
          <t>SEL-034-02</t>
        </is>
      </c>
      <c r="B344" s="38" t="inlineStr">
        <is>
          <t>Selene</t>
        </is>
      </c>
      <c r="C344" s="38" t="inlineStr">
        <is>
          <t>Laptops</t>
        </is>
      </c>
      <c r="D344" s="38" t="inlineStr">
        <is>
          <t>Laptop</t>
        </is>
      </c>
      <c r="E344" s="39" t="inlineStr">
        <is>
          <t>Selene Vertex 15" Budget Laptop</t>
        </is>
      </c>
      <c r="F344" s="40" t="n">
        <v>557.99</v>
      </c>
      <c r="G344" s="38" t="inlineStr">
        <is>
          <t>the Vertex; Selene Vertex; Selen Vertex; Vertex laptop</t>
        </is>
      </c>
      <c r="H344" s="38" t="inlineStr">
        <is>
          <t>2 year limited</t>
        </is>
      </c>
      <c r="I344" s="38" t="inlineStr">
        <is>
          <t>FCC, CE, UL 62368-1, Energy Star, EPEAT Silver</t>
        </is>
      </c>
      <c r="J344" s="38" t="inlineStr">
        <is>
          <t>Intel Core Ultra 5 125U</t>
        </is>
      </c>
      <c r="K344" s="38" t="inlineStr">
        <is>
          <t>Intel Graphics</t>
        </is>
      </c>
      <c r="L344" s="38" t="inlineStr">
        <is>
          <t>IPS, 60Hz</t>
        </is>
      </c>
      <c r="M344" s="38" t="inlineStr">
        <is>
          <t>1920x1080</t>
        </is>
      </c>
      <c r="N344" s="38" t="inlineStr">
        <is>
          <t>2x Thunderbolt 4 (USB-C), 1x USB-A 3.2, HDMI 2.1, microSD, 3.5mm audio</t>
        </is>
      </c>
      <c r="O344" s="38" t="inlineStr">
        <is>
          <t>Windows 11 Home</t>
        </is>
      </c>
      <c r="P344" s="38" t="n">
        <v>7</v>
      </c>
      <c r="Q344" s="41" t="n">
        <v>1633</v>
      </c>
      <c r="R344" s="38" t="inlineStr">
        <is>
          <t>Longer battery than Zephyrus Sable X 15" Budget Laptop [ZEP-032-01] (7 vs 6 hrs); Lighter than Melpomene Flux Air 15" Budget Laptop [MEL-026-02] (1,633 g vs 1,706 g)</t>
        </is>
      </c>
      <c r="S344" s="38" t="inlineStr">
        <is>
          <t>budget, everyday, school</t>
        </is>
      </c>
      <c r="T344" s="0" t="inlineStr">
        <is>
          <t>in_stock</t>
        </is>
      </c>
      <c r="U344" s="0" t="n">
        <v>14</v>
      </c>
      <c r="V344" s="52" t="n">
        <v>615.99</v>
      </c>
      <c r="W344" s="0" t="inlineStr">
        <is>
          <t>2026-08-21</t>
        </is>
      </c>
      <c r="X344" s="0" t="n">
        <v>16</v>
      </c>
      <c r="Y344" s="0" t="n">
        <v>512</v>
      </c>
      <c r="Z344" s="0" t="n">
        <v>15.6</v>
      </c>
      <c r="AA344" s="0" t="inlineStr">
        <is>
          <t>No</t>
        </is>
      </c>
    </row>
    <row r="345" ht="15.75" customHeight="1" s="51">
      <c r="A345" s="38" t="inlineStr">
        <is>
          <t>SEL-034-03</t>
        </is>
      </c>
      <c r="B345" s="38" t="inlineStr">
        <is>
          <t>Selene</t>
        </is>
      </c>
      <c r="C345" s="38" t="inlineStr">
        <is>
          <t>Laptops</t>
        </is>
      </c>
      <c r="D345" s="38" t="inlineStr">
        <is>
          <t>Laptop</t>
        </is>
      </c>
      <c r="E345" s="39" t="inlineStr">
        <is>
          <t>Selene Strata Air 13" Ultrabook</t>
        </is>
      </c>
      <c r="F345" s="40" t="n">
        <v>1032.99</v>
      </c>
      <c r="G345" s="38" t="inlineStr">
        <is>
          <t>the Strata Air; Selene Strata Air; Selnee Strata Air; Strata Air laptop</t>
        </is>
      </c>
      <c r="H345" s="38" t="inlineStr">
        <is>
          <t>1 year limited</t>
        </is>
      </c>
      <c r="I345" s="38" t="inlineStr">
        <is>
          <t>FCC, CE, UL 62368-1, Energy Star, EPEAT Silver</t>
        </is>
      </c>
      <c r="J345" s="38" t="inlineStr">
        <is>
          <t>AMD Ryzen 5 8640HS</t>
        </is>
      </c>
      <c r="K345" s="38" t="inlineStr">
        <is>
          <t>AMD Radeon 760M</t>
        </is>
      </c>
      <c r="L345" s="38" t="inlineStr">
        <is>
          <t>IPS, 60Hz</t>
        </is>
      </c>
      <c r="M345" s="38" t="inlineStr">
        <is>
          <t>1920x1200</t>
        </is>
      </c>
      <c r="N345" s="38" t="inlineStr">
        <is>
          <t>2x USB-C 3.2, 1x USB-A 3.2, HDMI 1.4, 3.5mm audio</t>
        </is>
      </c>
      <c r="O345" s="38" t="inlineStr">
        <is>
          <t>Windows 11 Home</t>
        </is>
      </c>
      <c r="P345" s="38" t="n">
        <v>14</v>
      </c>
      <c r="Q345" s="41" t="n">
        <v>1103</v>
      </c>
      <c r="R345" s="38" t="inlineStr">
        <is>
          <t>Lower price than Auxo Prism Plus 13" Ultrabook [AUX-038-03] ($1,032.99 vs $1,321.99); Longer battery than Dolos Onyx Ultra 13" Ultrabook [DOL-045-05] (14 vs 13 hrs)</t>
        </is>
      </c>
      <c r="S345" s="38" t="inlineStr">
        <is>
          <t>travel, school, work</t>
        </is>
      </c>
      <c r="T345" s="0" t="inlineStr">
        <is>
          <t>in_stock</t>
        </is>
      </c>
      <c r="U345" s="0" t="n">
        <v>14</v>
      </c>
      <c r="V345" s="52" t="n">
        <v>1171.99</v>
      </c>
      <c r="W345" s="0" t="inlineStr">
        <is>
          <t>2026-08-04</t>
        </is>
      </c>
      <c r="X345" s="0" t="n">
        <v>16</v>
      </c>
      <c r="Y345" s="0" t="n">
        <v>1024</v>
      </c>
      <c r="Z345" s="0" t="n">
        <v>13.3</v>
      </c>
      <c r="AA345" s="0" t="inlineStr">
        <is>
          <t>No</t>
        </is>
      </c>
    </row>
    <row r="346" ht="15.75" customHeight="1" s="51">
      <c r="A346" s="38" t="inlineStr">
        <is>
          <t>SEL-034-04</t>
        </is>
      </c>
      <c r="B346" s="38" t="inlineStr">
        <is>
          <t>Selene</t>
        </is>
      </c>
      <c r="C346" s="38" t="inlineStr">
        <is>
          <t>Laptops</t>
        </is>
      </c>
      <c r="D346" s="38" t="inlineStr">
        <is>
          <t>Laptop</t>
        </is>
      </c>
      <c r="E346" s="39" t="inlineStr">
        <is>
          <t>Selene Aeon Pro 2-in-1 Convertible</t>
        </is>
      </c>
      <c r="F346" s="40" t="n">
        <v>1478.99</v>
      </c>
      <c r="G346" s="38" t="inlineStr">
        <is>
          <t>the Aeon Pro; Selene Aeon Pro; Selenee Aeon Pro; Aeon Pro laptop</t>
        </is>
      </c>
      <c r="H346" s="38" t="inlineStr">
        <is>
          <t>2 year limited</t>
        </is>
      </c>
      <c r="I346" s="38" t="inlineStr">
        <is>
          <t>FCC, CE, UL 62368-1, Energy Star, EPEAT Silver</t>
        </is>
      </c>
      <c r="J346" s="38" t="inlineStr">
        <is>
          <t>Intel Core Ultra 7 155H</t>
        </is>
      </c>
      <c r="K346" s="38" t="inlineStr">
        <is>
          <t>Intel Arc Graphics</t>
        </is>
      </c>
      <c r="L346" s="38" t="inlineStr">
        <is>
          <t>OLED touch, 60Hz</t>
        </is>
      </c>
      <c r="M346" s="38" t="inlineStr">
        <is>
          <t>2880x1800</t>
        </is>
      </c>
      <c r="N346" s="38" t="inlineStr">
        <is>
          <t>2x Thunderbolt 4 (USB-C), 1x USB-A 3.2, HDMI 2.1, microSD, 3.5mm audio</t>
        </is>
      </c>
      <c r="O346" s="38" t="inlineStr">
        <is>
          <t>Windows 11 Home</t>
        </is>
      </c>
      <c r="P346" s="38" t="n">
        <v>15</v>
      </c>
      <c r="Q346" s="41" t="n">
        <v>1518</v>
      </c>
      <c r="R346" s="38" t="inlineStr">
        <is>
          <t>Lighter than Hygieia Core 2-in-1 Convertible [HYG-048-03] (1,518 g vs 1,597 g); Longer battery than Momus Onyx Air 2-in-1 Convertible [MOM-043-06] (15 vs 10 hrs)</t>
        </is>
      </c>
      <c r="S346" s="38" t="inlineStr">
        <is>
          <t>school, note-taking, travel</t>
        </is>
      </c>
      <c r="T346" s="0" t="inlineStr">
        <is>
          <t>low_stock</t>
        </is>
      </c>
      <c r="U346" s="0" t="n">
        <v>14</v>
      </c>
      <c r="V346" s="52" t="n">
        <v>1646.99</v>
      </c>
      <c r="W346" s="0" t="inlineStr">
        <is>
          <t>2026-08-17</t>
        </is>
      </c>
      <c r="X346" s="0" t="n">
        <v>16</v>
      </c>
      <c r="Y346" s="0" t="n">
        <v>1024</v>
      </c>
      <c r="Z346" s="0" t="n">
        <v>14</v>
      </c>
      <c r="AA346" s="0" t="inlineStr">
        <is>
          <t>Yes</t>
        </is>
      </c>
    </row>
    <row r="347" ht="15.75" customHeight="1" s="51">
      <c r="A347" s="38" t="inlineStr">
        <is>
          <t>SEL-034-05</t>
        </is>
      </c>
      <c r="B347" s="38" t="inlineStr">
        <is>
          <t>Selene</t>
        </is>
      </c>
      <c r="C347" s="38" t="inlineStr">
        <is>
          <t>Laptops</t>
        </is>
      </c>
      <c r="D347" s="38" t="inlineStr">
        <is>
          <t>Laptop</t>
        </is>
      </c>
      <c r="E347" s="39" t="inlineStr">
        <is>
          <t>Selene Crest Air 14" Business Laptop</t>
        </is>
      </c>
      <c r="F347" s="40" t="n">
        <v>1528.99</v>
      </c>
      <c r="G347" s="38" t="inlineStr">
        <is>
          <t>the Crest Air; Selene Crest Air; Selenne Crest Air; Crest Air laptop</t>
        </is>
      </c>
      <c r="H347" s="38" t="inlineStr">
        <is>
          <t>3 year limited, on-site service</t>
        </is>
      </c>
      <c r="I347" s="38" t="inlineStr">
        <is>
          <t>FCC, CE, UL 62368-1, EPEAT Silver, TCO Certified, MIL-STD-810H</t>
        </is>
      </c>
      <c r="J347" s="38" t="inlineStr">
        <is>
          <t>Intel Core Ultra 7 155H</t>
        </is>
      </c>
      <c r="K347" s="38" t="inlineStr">
        <is>
          <t>Intel Arc Graphics</t>
        </is>
      </c>
      <c r="L347" s="38" t="inlineStr">
        <is>
          <t>OLED, 60Hz</t>
        </is>
      </c>
      <c r="M347" s="38" t="inlineStr">
        <is>
          <t>2880x1800</t>
        </is>
      </c>
      <c r="N347" s="38" t="inlineStr">
        <is>
          <t>2x Thunderbolt 4 (USB-C), 1x USB-A 3.2, HDMI 2.1, microSD, 3.5mm audio</t>
        </is>
      </c>
      <c r="O347" s="38" t="inlineStr">
        <is>
          <t>Windows 11 Pro</t>
        </is>
      </c>
      <c r="P347" s="38" t="n">
        <v>15</v>
      </c>
      <c r="Q347" s="41" t="n">
        <v>1448</v>
      </c>
      <c r="R347" s="38" t="inlineStr">
        <is>
          <t>Longer battery than Homonoia Echo Air 14" Business Laptop [HOM-033-06] (15 vs 10 hrs); Lower price than Heracles Apex SE 14" Business Laptop [HER-037-04] ($1,528.99 vs $1,655.99)</t>
        </is>
      </c>
      <c r="S347" s="38" t="inlineStr">
        <is>
          <t>work, travel, remote meetings</t>
        </is>
      </c>
      <c r="T347" s="0" t="inlineStr">
        <is>
          <t>out_of_stock</t>
        </is>
      </c>
      <c r="U347" s="0" t="n">
        <v>14</v>
      </c>
      <c r="V347" s="52" t="n">
        <v>1621.99</v>
      </c>
      <c r="W347" s="0" t="inlineStr">
        <is>
          <t>2026-08-26</t>
        </is>
      </c>
      <c r="X347" s="0" t="n">
        <v>16</v>
      </c>
      <c r="Y347" s="0" t="n">
        <v>1024</v>
      </c>
      <c r="Z347" s="0" t="n">
        <v>14</v>
      </c>
      <c r="AA347" s="0" t="inlineStr">
        <is>
          <t>No</t>
        </is>
      </c>
    </row>
    <row r="348" ht="15.75" customHeight="1" s="51">
      <c r="A348" s="38" t="inlineStr">
        <is>
          <t>SEL-034-06</t>
        </is>
      </c>
      <c r="B348" s="38" t="inlineStr">
        <is>
          <t>Selene</t>
        </is>
      </c>
      <c r="C348" s="38" t="inlineStr">
        <is>
          <t>Laptops</t>
        </is>
      </c>
      <c r="D348" s="38" t="inlineStr">
        <is>
          <t>Laptop</t>
        </is>
      </c>
      <c r="E348" s="39" t="inlineStr">
        <is>
          <t>Selene Vibe Max Mobile Workstation</t>
        </is>
      </c>
      <c r="F348" s="40" t="n">
        <v>2067.99</v>
      </c>
      <c r="G348" s="38" t="inlineStr">
        <is>
          <t>the Vibe Max; Selene Vibe Max; Sellene Vibe Max; Vibe Max laptop</t>
        </is>
      </c>
      <c r="H348" s="38" t="inlineStr">
        <is>
          <t>3 year limited, on-site service</t>
        </is>
      </c>
      <c r="I348" s="38" t="inlineStr">
        <is>
          <t>FCC, CE, UL 62368-1, Energy Star, EPEAT Silver, TCO Certified, MIL-STD-810H</t>
        </is>
      </c>
      <c r="J348" s="38" t="inlineStr">
        <is>
          <t>AMD Ryzen 7 8845HS</t>
        </is>
      </c>
      <c r="K348" s="38" t="inlineStr">
        <is>
          <t>NVIDIA RTX 2000 Ada 8GB Laptop GPU</t>
        </is>
      </c>
      <c r="L348" s="38" t="inlineStr">
        <is>
          <t>IPS, 60Hz</t>
        </is>
      </c>
      <c r="M348" s="38" t="inlineStr">
        <is>
          <t>1920x1200</t>
        </is>
      </c>
      <c r="N348" s="38" t="inlineStr">
        <is>
          <t>2x USB-C 3.2, 1x USB-A 3.2, HDMI 1.4, 3.5mm audio</t>
        </is>
      </c>
      <c r="O348" s="38" t="inlineStr">
        <is>
          <t>Windows 11 Pro</t>
        </is>
      </c>
      <c r="P348" s="38" t="n">
        <v>10</v>
      </c>
      <c r="Q348" s="41" t="n">
        <v>2341</v>
      </c>
      <c r="R348" s="38" t="inlineStr">
        <is>
          <t>Lower price than Hygieia Spark Plus Mobile Workstation [HYG-048-10] ($2,067.99 vs $4,632.99); Longer battery than Terpsichore Aeon Plus Mobile Workstation [TER-039-10] (10 vs 8 hrs)</t>
        </is>
      </c>
      <c r="S348" s="38" t="inlineStr">
        <is>
          <t>engineering, 3D rendering, data science</t>
        </is>
      </c>
      <c r="T348" s="0" t="inlineStr">
        <is>
          <t>low_stock</t>
        </is>
      </c>
      <c r="U348" s="0" t="n">
        <v>14</v>
      </c>
      <c r="V348" s="52" t="n">
        <v>2320.99</v>
      </c>
      <c r="W348" s="0" t="inlineStr">
        <is>
          <t>2026-08-28</t>
        </is>
      </c>
      <c r="X348" s="0" t="n">
        <v>32</v>
      </c>
      <c r="Y348" s="0" t="n">
        <v>2048</v>
      </c>
      <c r="Z348" s="0" t="n">
        <v>16</v>
      </c>
      <c r="AA348" s="0" t="inlineStr">
        <is>
          <t>No</t>
        </is>
      </c>
    </row>
    <row r="349" ht="15.75" customHeight="1" s="51">
      <c r="A349" s="38" t="inlineStr">
        <is>
          <t>SEL-034-07</t>
        </is>
      </c>
      <c r="B349" s="38" t="inlineStr">
        <is>
          <t>Selene</t>
        </is>
      </c>
      <c r="C349" s="38" t="inlineStr">
        <is>
          <t>Laptops</t>
        </is>
      </c>
      <c r="D349" s="38" t="inlineStr">
        <is>
          <t>Laptop</t>
        </is>
      </c>
      <c r="E349" s="39" t="inlineStr">
        <is>
          <t>Selene Axis Plus 15" Ultrabook</t>
        </is>
      </c>
      <c r="F349" s="40" t="n">
        <v>2121.99</v>
      </c>
      <c r="G349" s="38" t="inlineStr">
        <is>
          <t>the Axis Plus; Selene Axis Plus; Selenne Axis Plus; Axis Plus laptop</t>
        </is>
      </c>
      <c r="H349" s="38" t="inlineStr">
        <is>
          <t>2 year limited</t>
        </is>
      </c>
      <c r="I349" s="38" t="inlineStr">
        <is>
          <t>FCC, CE, UL 62368-1, Energy Star, EPEAT Gold</t>
        </is>
      </c>
      <c r="J349" s="38" t="inlineStr">
        <is>
          <t>AMD Ryzen AI 9 HX 370</t>
        </is>
      </c>
      <c r="K349" s="38" t="inlineStr">
        <is>
          <t>AMD Radeon 890M</t>
        </is>
      </c>
      <c r="L349" s="38" t="inlineStr">
        <is>
          <t>OLED, 120Hz</t>
        </is>
      </c>
      <c r="M349" s="38" t="inlineStr">
        <is>
          <t>2880x1800</t>
        </is>
      </c>
      <c r="N349" s="38" t="inlineStr">
        <is>
          <t>2x USB4 (USB-C), 2x USB-A 3.2, HDMI 2.1, SD card, 3.5mm audio</t>
        </is>
      </c>
      <c r="O349" s="38" t="inlineStr">
        <is>
          <t>Windows 11 Home</t>
        </is>
      </c>
      <c r="P349" s="38" t="n">
        <v>13</v>
      </c>
      <c r="Q349" s="41" t="n">
        <v>1533</v>
      </c>
      <c r="R349" s="38" t="inlineStr">
        <is>
          <t>Lighter than Aeolus Nimbus Ultra 15" Ultrabook [AEO-031-03] (1,533 g vs 1,545 g); Longer battery than Boreas Nova Lite 15" Ultrabook [BOR-044-04] (13 vs 10 hrs)</t>
        </is>
      </c>
      <c r="S349" s="38" t="inlineStr">
        <is>
          <t>work, school, everyday</t>
        </is>
      </c>
      <c r="T349" s="0" t="inlineStr">
        <is>
          <t>in_stock</t>
        </is>
      </c>
      <c r="U349" s="0" t="n">
        <v>14</v>
      </c>
      <c r="V349" s="52" t="n">
        <v>2323.99</v>
      </c>
      <c r="W349" s="0" t="inlineStr">
        <is>
          <t>2026-08-24</t>
        </is>
      </c>
      <c r="X349" s="0" t="n">
        <v>32</v>
      </c>
      <c r="Y349" s="0" t="n">
        <v>2048</v>
      </c>
      <c r="Z349" s="0" t="n">
        <v>15.6</v>
      </c>
      <c r="AA349" s="0" t="inlineStr">
        <is>
          <t>No</t>
        </is>
      </c>
    </row>
    <row r="350" ht="15.75" customHeight="1" s="51">
      <c r="A350" s="38" t="inlineStr">
        <is>
          <t>SEL-034-08</t>
        </is>
      </c>
      <c r="B350" s="38" t="inlineStr">
        <is>
          <t>Selene</t>
        </is>
      </c>
      <c r="C350" s="38" t="inlineStr">
        <is>
          <t>Laptops</t>
        </is>
      </c>
      <c r="D350" s="38" t="inlineStr">
        <is>
          <t>Laptop</t>
        </is>
      </c>
      <c r="E350" s="39" t="inlineStr">
        <is>
          <t>Selene Strata Pro 15" Gaming Laptop</t>
        </is>
      </c>
      <c r="F350" s="40" t="n">
        <v>2474.99</v>
      </c>
      <c r="G350" s="38" t="inlineStr">
        <is>
          <t>the Strata Pro; Selene Strata Pro; Sleene Strata Pro; Strata Pro laptop</t>
        </is>
      </c>
      <c r="H350" s="38" t="inlineStr">
        <is>
          <t>2 year limited</t>
        </is>
      </c>
      <c r="I350" s="38" t="inlineStr">
        <is>
          <t>FCC, CE, UL 62368-1, Energy Star, EPEAT Silver</t>
        </is>
      </c>
      <c r="J350" s="38" t="inlineStr">
        <is>
          <t>AMD Ryzen 9 7945HX</t>
        </is>
      </c>
      <c r="K350" s="38" t="inlineStr">
        <is>
          <t>NVIDIA GeForce RTX 4070 8GB Laptop GPU</t>
        </is>
      </c>
      <c r="L350" s="38" t="inlineStr">
        <is>
          <t>IPS, 240Hz</t>
        </is>
      </c>
      <c r="M350" s="38" t="inlineStr">
        <is>
          <t>2560x1600</t>
        </is>
      </c>
      <c r="N350" s="38" t="inlineStr">
        <is>
          <t>1x USB4, 3x USB-A 3.2, HDMI 2.1, RJ-45 Ethernet, 3.5mm audio</t>
        </is>
      </c>
      <c r="O350" s="38" t="inlineStr">
        <is>
          <t>Windows 11 Home</t>
        </is>
      </c>
      <c r="P350" s="38" t="n">
        <v>4</v>
      </c>
      <c r="Q350" s="41" t="n">
        <v>2310</v>
      </c>
      <c r="R350" s="38" t="inlineStr">
        <is>
          <t>Lighter than Momus Echo Plus 15" Gaming Laptop [MOM-043-09] (2,310 g vs 2,380 g); Lower price than Thanatos Strata Plus 15" Gaming Laptop [THA-049-08] ($2,474.99 vs $2,486.99)</t>
        </is>
      </c>
      <c r="S350" s="38" t="inlineStr">
        <is>
          <t>gaming, streaming</t>
        </is>
      </c>
      <c r="T350" s="0" t="inlineStr">
        <is>
          <t>in_stock</t>
        </is>
      </c>
      <c r="U350" s="0" t="n">
        <v>14</v>
      </c>
      <c r="V350" s="52" t="n">
        <v>2626.99</v>
      </c>
      <c r="W350" s="0" t="inlineStr">
        <is>
          <t>2026-08-14</t>
        </is>
      </c>
      <c r="X350" s="0" t="n">
        <v>32</v>
      </c>
      <c r="Y350" s="0" t="n">
        <v>2048</v>
      </c>
      <c r="Z350" s="0" t="n">
        <v>15.6</v>
      </c>
      <c r="AA350" s="0" t="inlineStr">
        <is>
          <t>No</t>
        </is>
      </c>
    </row>
    <row r="351" ht="15.75" customHeight="1" s="51">
      <c r="A351" s="38" t="inlineStr">
        <is>
          <t>SEL-034-09</t>
        </is>
      </c>
      <c r="B351" s="38" t="inlineStr">
        <is>
          <t>Selene</t>
        </is>
      </c>
      <c r="C351" s="38" t="inlineStr">
        <is>
          <t>Laptops</t>
        </is>
      </c>
      <c r="D351" s="38" t="inlineStr">
        <is>
          <t>Laptop</t>
        </is>
      </c>
      <c r="E351" s="39" t="inlineStr">
        <is>
          <t>Selene Aeon Air 16" Creator Laptop</t>
        </is>
      </c>
      <c r="F351" s="40" t="n">
        <v>2605.99</v>
      </c>
      <c r="G351" s="38" t="inlineStr">
        <is>
          <t>the Aeon Air; Selene Aeon Air; Selenee Aeon Air; Aeon Air laptop</t>
        </is>
      </c>
      <c r="H351" s="38" t="inlineStr">
        <is>
          <t>1 year limited</t>
        </is>
      </c>
      <c r="I351" s="38" t="inlineStr">
        <is>
          <t>FCC, CE, UL 62368-1, Energy Star, EPEAT Gold</t>
        </is>
      </c>
      <c r="J351" s="38" t="inlineStr">
        <is>
          <t>Intel Core i9-14900HX</t>
        </is>
      </c>
      <c r="K351" s="38" t="inlineStr">
        <is>
          <t>NVIDIA GeForce RTX 4070 8GB Laptop GPU</t>
        </is>
      </c>
      <c r="L351" s="38" t="inlineStr">
        <is>
          <t>Mini-LED, 165Hz</t>
        </is>
      </c>
      <c r="M351" s="38" t="inlineStr">
        <is>
          <t>3840x2400</t>
        </is>
      </c>
      <c r="N351" s="38" t="inlineStr">
        <is>
          <t>2x Thunderbolt 4 (USB-C), 1x USB-A 3.2, HDMI 2.1, microSD, 3.5mm audio</t>
        </is>
      </c>
      <c r="O351" s="38" t="inlineStr">
        <is>
          <t>Windows 11 Home</t>
        </is>
      </c>
      <c r="P351" s="38" t="n">
        <v>11</v>
      </c>
      <c r="Q351" s="41" t="n">
        <v>1957</v>
      </c>
      <c r="R351" s="38" t="inlineStr">
        <is>
          <t>Lighter than Thalia Apex Pro 16" Creator Laptop [THA-030-07] (1,957 g vs 2,175 g); Longer battery than Dolos Crest 16" Creator Laptop [DOL-045-09] (11 vs 8 hrs)</t>
        </is>
      </c>
      <c r="S351" s="38" t="inlineStr">
        <is>
          <t>video editing, photo editing, content creation</t>
        </is>
      </c>
      <c r="T351" s="0" t="inlineStr">
        <is>
          <t>in_stock</t>
        </is>
      </c>
      <c r="U351" s="0" t="n">
        <v>14</v>
      </c>
      <c r="V351" s="52" t="n">
        <v>2854.99</v>
      </c>
      <c r="W351" s="0" t="inlineStr">
        <is>
          <t>2026-08-13</t>
        </is>
      </c>
      <c r="X351" s="0" t="n">
        <v>32</v>
      </c>
      <c r="Y351" s="0" t="n">
        <v>2048</v>
      </c>
      <c r="Z351" s="0" t="n">
        <v>16</v>
      </c>
      <c r="AA351" s="0" t="inlineStr">
        <is>
          <t>No</t>
        </is>
      </c>
    </row>
    <row r="352" ht="15.75" customHeight="1" s="51">
      <c r="A352" s="38" t="inlineStr">
        <is>
          <t>SEL-034-10</t>
        </is>
      </c>
      <c r="B352" s="38" t="inlineStr">
        <is>
          <t>Selene</t>
        </is>
      </c>
      <c r="C352" s="38" t="inlineStr">
        <is>
          <t>Laptops</t>
        </is>
      </c>
      <c r="D352" s="38" t="inlineStr">
        <is>
          <t>Laptop</t>
        </is>
      </c>
      <c r="E352" s="39" t="inlineStr">
        <is>
          <t>Selene Drift X Rugged Laptop</t>
        </is>
      </c>
      <c r="F352" s="40" t="n">
        <v>3855.99</v>
      </c>
      <c r="G352" s="38" t="inlineStr">
        <is>
          <t>the Drift X; Selene Drift X; Sleene Drift X; Drift X laptop</t>
        </is>
      </c>
      <c r="H352" s="38" t="inlineStr">
        <is>
          <t>3 year limited, accidental damage</t>
        </is>
      </c>
      <c r="I352" s="38" t="inlineStr">
        <is>
          <t>FCC, CE, UL 62368-1, Energy Star, EPEAT Gold, MIL-STD-810H, IP65</t>
        </is>
      </c>
      <c r="J352" s="38" t="inlineStr">
        <is>
          <t>Intel Core Ultra 7 155H</t>
        </is>
      </c>
      <c r="K352" s="38" t="inlineStr">
        <is>
          <t>Intel Arc Graphics</t>
        </is>
      </c>
      <c r="L352" s="38" t="inlineStr">
        <is>
          <t>IPS sunlight-readable 1000 nits, touch</t>
        </is>
      </c>
      <c r="M352" s="38" t="inlineStr">
        <is>
          <t>1920x1080</t>
        </is>
      </c>
      <c r="N352" s="38" t="inlineStr">
        <is>
          <t>2x Thunderbolt 4 (USB-C), 1x USB-A 3.2, HDMI 2.1, microSD, 3.5mm audio, RJ-45 Ethernet, serial (RS-232), smart card reader</t>
        </is>
      </c>
      <c r="O352" s="38" t="inlineStr">
        <is>
          <t>Windows 11 Pro</t>
        </is>
      </c>
      <c r="P352" s="38" t="n">
        <v>15</v>
      </c>
      <c r="Q352" s="41" t="n">
        <v>2960</v>
      </c>
      <c r="R352" s="38" t="inlineStr">
        <is>
          <t>Lighter than Aeolus Arc Air Rugged Laptop [AEO-031-06] (2,960 g vs 2,986 g); Longer battery than Priapus Drift SE Rugged Laptop [PRI-042-07] (15 vs 11 hrs)</t>
        </is>
      </c>
      <c r="S352" s="38" t="inlineStr">
        <is>
          <t>fieldwork, outdoor, industrial</t>
        </is>
      </c>
      <c r="T352" s="0" t="inlineStr">
        <is>
          <t>in_stock</t>
        </is>
      </c>
      <c r="U352" s="0" t="n">
        <v>14</v>
      </c>
      <c r="V352" s="52" t="n">
        <v>4132.99</v>
      </c>
      <c r="W352" s="0" t="inlineStr">
        <is>
          <t>2026-09-17</t>
        </is>
      </c>
      <c r="X352" s="0" t="n">
        <v>64</v>
      </c>
      <c r="Y352" s="0" t="n">
        <v>4096</v>
      </c>
      <c r="Z352" s="0" t="n">
        <v>17.3</v>
      </c>
      <c r="AA352" s="0" t="inlineStr">
        <is>
          <t>Yes</t>
        </is>
      </c>
    </row>
    <row r="353" ht="15.75" customHeight="1" s="51">
      <c r="A353" s="38" t="inlineStr">
        <is>
          <t>ATR-035-01</t>
        </is>
      </c>
      <c r="B353" s="38" t="inlineStr">
        <is>
          <t>Atropos</t>
        </is>
      </c>
      <c r="C353" s="38" t="inlineStr">
        <is>
          <t>Laptops</t>
        </is>
      </c>
      <c r="D353" s="38" t="inlineStr">
        <is>
          <t>Laptop</t>
        </is>
      </c>
      <c r="E353" s="39" t="inlineStr">
        <is>
          <t>Atropos Titan 15" Budget Laptop</t>
        </is>
      </c>
      <c r="F353" s="40" t="n">
        <v>314.99</v>
      </c>
      <c r="G353" s="38" t="inlineStr">
        <is>
          <t>the Titan; Atropos Titan; Atroops Titan; Titan laptop</t>
        </is>
      </c>
      <c r="H353" s="38" t="inlineStr">
        <is>
          <t>1 year limited</t>
        </is>
      </c>
      <c r="I353" s="38" t="inlineStr">
        <is>
          <t>FCC, CE, UL 62368-1, Energy Star, EPEAT Gold</t>
        </is>
      </c>
      <c r="J353" s="38" t="inlineStr">
        <is>
          <t>Intel Core i3-1315U</t>
        </is>
      </c>
      <c r="K353" s="38" t="inlineStr">
        <is>
          <t>Intel UHD Graphics</t>
        </is>
      </c>
      <c r="L353" s="38" t="inlineStr">
        <is>
          <t>TN, 60Hz</t>
        </is>
      </c>
      <c r="M353" s="38" t="inlineStr">
        <is>
          <t>1366x768</t>
        </is>
      </c>
      <c r="N353" s="38" t="inlineStr">
        <is>
          <t>2x USB-C 3.2, 1x USB-A 3.2, HDMI 1.4, 3.5mm audio</t>
        </is>
      </c>
      <c r="O353" s="38" t="inlineStr">
        <is>
          <t>Windows 11 Home</t>
        </is>
      </c>
      <c r="P353" s="38" t="n">
        <v>6</v>
      </c>
      <c r="Q353" s="41" t="n">
        <v>1757</v>
      </c>
      <c r="R353" s="38" t="inlineStr">
        <is>
          <t>Lower price than Thallo Drift X 15" Budget Laptop [THA-046-02] ($314.99 vs $462.99); Lighter than Aeolus Echo Plus 15" Budget Laptop [AEO-031-01] (1,757 g vs 1,850 g)</t>
        </is>
      </c>
      <c r="S353" s="38" t="inlineStr">
        <is>
          <t>budget, everyday, school</t>
        </is>
      </c>
      <c r="T353" s="0" t="inlineStr">
        <is>
          <t>in_stock</t>
        </is>
      </c>
      <c r="U353" s="0" t="n">
        <v>30</v>
      </c>
      <c r="V353" s="52" t="n">
        <v>336.99</v>
      </c>
      <c r="W353" s="0" t="inlineStr">
        <is>
          <t>2026-08-24</t>
        </is>
      </c>
      <c r="X353" s="0" t="n">
        <v>8</v>
      </c>
      <c r="Y353" s="0" t="n">
        <v>256</v>
      </c>
      <c r="Z353" s="0" t="n">
        <v>15.6</v>
      </c>
      <c r="AA353" s="0" t="inlineStr">
        <is>
          <t>No</t>
        </is>
      </c>
    </row>
    <row r="354" ht="15.75" customHeight="1" s="51">
      <c r="A354" s="38" t="inlineStr">
        <is>
          <t>ATR-035-02</t>
        </is>
      </c>
      <c r="B354" s="38" t="inlineStr">
        <is>
          <t>Atropos</t>
        </is>
      </c>
      <c r="C354" s="38" t="inlineStr">
        <is>
          <t>Laptops</t>
        </is>
      </c>
      <c r="D354" s="38" t="inlineStr">
        <is>
          <t>Laptop</t>
        </is>
      </c>
      <c r="E354" s="39" t="inlineStr">
        <is>
          <t>Atropos Blaze Plus Chromebook</t>
        </is>
      </c>
      <c r="F354" s="40" t="n">
        <v>579.99</v>
      </c>
      <c r="G354" s="38" t="inlineStr">
        <is>
          <t>the Blaze Plus; Atropos Blaze Plus; Atropo Blaze Plus; Blaze Plus laptop</t>
        </is>
      </c>
      <c r="H354" s="38" t="inlineStr">
        <is>
          <t>2 year limited</t>
        </is>
      </c>
      <c r="I354" s="38" t="inlineStr">
        <is>
          <t>FCC, CE, UL 62368-1, EPEAT Gold</t>
        </is>
      </c>
      <c r="J354" s="38" t="inlineStr">
        <is>
          <t>Intel Core i3-N305</t>
        </is>
      </c>
      <c r="K354" s="38" t="inlineStr">
        <is>
          <t>Intel UHD Graphics</t>
        </is>
      </c>
      <c r="L354" s="38" t="inlineStr">
        <is>
          <t>IPS, 60Hz</t>
        </is>
      </c>
      <c r="M354" s="38" t="inlineStr">
        <is>
          <t>1920x1080</t>
        </is>
      </c>
      <c r="N354" s="38" t="inlineStr">
        <is>
          <t>2x USB-C 3.2, 1x USB-A 3.2, HDMI 1.4, 3.5mm audio</t>
        </is>
      </c>
      <c r="O354" s="38" t="inlineStr">
        <is>
          <t>ChromeOS</t>
        </is>
      </c>
      <c r="P354" s="38" t="n">
        <v>9</v>
      </c>
      <c r="Q354" s="41" t="n">
        <v>1318</v>
      </c>
      <c r="R354" s="38" t="inlineStr">
        <is>
          <t>Lighter than Heracles Crest Ultra Chromebook [HER-037-01] (1,318 g vs 1,392 g); Lower price than Priapus Volt Max Chromebook [PRI-042-03] ($579.99 vs $667.99)</t>
        </is>
      </c>
      <c r="S354" s="38" t="inlineStr">
        <is>
          <t>school, kids, budget</t>
        </is>
      </c>
      <c r="T354" s="0" t="inlineStr">
        <is>
          <t>in_stock</t>
        </is>
      </c>
      <c r="U354" s="0" t="n">
        <v>30</v>
      </c>
      <c r="V354" s="52" t="n">
        <v>632.99</v>
      </c>
      <c r="W354" s="0" t="inlineStr">
        <is>
          <t>2026-08-01</t>
        </is>
      </c>
      <c r="X354" s="0" t="n">
        <v>8</v>
      </c>
      <c r="Y354" s="0" t="n">
        <v>128</v>
      </c>
      <c r="Z354" s="0" t="n">
        <v>14</v>
      </c>
      <c r="AA354" s="0" t="inlineStr">
        <is>
          <t>No</t>
        </is>
      </c>
    </row>
    <row r="355" ht="15.75" customHeight="1" s="51">
      <c r="A355" s="38" t="inlineStr">
        <is>
          <t>ATR-035-03</t>
        </is>
      </c>
      <c r="B355" s="38" t="inlineStr">
        <is>
          <t>Atropos</t>
        </is>
      </c>
      <c r="C355" s="38" t="inlineStr">
        <is>
          <t>Laptops</t>
        </is>
      </c>
      <c r="D355" s="38" t="inlineStr">
        <is>
          <t>Laptop</t>
        </is>
      </c>
      <c r="E355" s="39" t="inlineStr">
        <is>
          <t>Atropos Prism Plus Student Laptop</t>
        </is>
      </c>
      <c r="F355" s="40" t="n">
        <v>605.99</v>
      </c>
      <c r="G355" s="38" t="inlineStr">
        <is>
          <t>the Prism Plus; Atropos Prism Plus; Atroposs Prism Plus; Prism Plus laptop</t>
        </is>
      </c>
      <c r="H355" s="38" t="inlineStr">
        <is>
          <t>1 year limited</t>
        </is>
      </c>
      <c r="I355" s="38" t="inlineStr">
        <is>
          <t>FCC, CE, UL 62368-1, EPEAT Silver</t>
        </is>
      </c>
      <c r="J355" s="38" t="inlineStr">
        <is>
          <t>AMD Ryzen 5 8640HS</t>
        </is>
      </c>
      <c r="K355" s="38" t="inlineStr">
        <is>
          <t>AMD Radeon 760M</t>
        </is>
      </c>
      <c r="L355" s="38" t="inlineStr">
        <is>
          <t>IPS, 60Hz</t>
        </is>
      </c>
      <c r="M355" s="38" t="inlineStr">
        <is>
          <t>1920x1080</t>
        </is>
      </c>
      <c r="N355" s="38" t="inlineStr">
        <is>
          <t>2x USB4 (USB-C), 2x USB-A 3.2, HDMI 2.1, SD card, 3.5mm audio</t>
        </is>
      </c>
      <c r="O355" s="38" t="inlineStr">
        <is>
          <t>Windows 11 Home</t>
        </is>
      </c>
      <c r="P355" s="38" t="n">
        <v>9</v>
      </c>
      <c r="Q355" s="41" t="n">
        <v>1656</v>
      </c>
      <c r="R355" s="38" t="inlineStr">
        <is>
          <t>Lower price than Zephyrus Zen Pro Student Laptop [ZEP-032-03] ($605.99 vs $700.99); Longer battery than Momus Blaze Pro Student Laptop [MOM-043-03] (9 vs 7 hrs)</t>
        </is>
      </c>
      <c r="S355" s="38" t="inlineStr">
        <is>
          <t>school, everyday, budget</t>
        </is>
      </c>
      <c r="T355" s="0" t="inlineStr">
        <is>
          <t>low_stock</t>
        </is>
      </c>
      <c r="U355" s="0" t="n">
        <v>30</v>
      </c>
      <c r="V355" s="52" t="n">
        <v>680.99</v>
      </c>
      <c r="W355" s="0" t="inlineStr">
        <is>
          <t>2026-08-21</t>
        </is>
      </c>
      <c r="X355" s="0" t="n">
        <v>16</v>
      </c>
      <c r="Y355" s="0" t="n">
        <v>512</v>
      </c>
      <c r="Z355" s="0" t="n">
        <v>15.6</v>
      </c>
      <c r="AA355" s="0" t="inlineStr">
        <is>
          <t>No</t>
        </is>
      </c>
    </row>
    <row r="356" ht="15.75" customHeight="1" s="51">
      <c r="A356" s="38" t="inlineStr">
        <is>
          <t>ATR-035-04</t>
        </is>
      </c>
      <c r="B356" s="38" t="inlineStr">
        <is>
          <t>Atropos</t>
        </is>
      </c>
      <c r="C356" s="38" t="inlineStr">
        <is>
          <t>Laptops</t>
        </is>
      </c>
      <c r="D356" s="38" t="inlineStr">
        <is>
          <t>Laptop</t>
        </is>
      </c>
      <c r="E356" s="39" t="inlineStr">
        <is>
          <t>Atropos Vertex 15" Ultrabook</t>
        </is>
      </c>
      <c r="F356" s="40" t="n">
        <v>1188.99</v>
      </c>
      <c r="G356" s="38" t="inlineStr">
        <is>
          <t>the Vertex; Atropos Vertex; Atropo Vertex; Vertex laptop</t>
        </is>
      </c>
      <c r="H356" s="38" t="inlineStr">
        <is>
          <t>1 year limited</t>
        </is>
      </c>
      <c r="I356" s="38" t="inlineStr">
        <is>
          <t>FCC, CE, UL 62368-1, Energy Star, EPEAT Silver</t>
        </is>
      </c>
      <c r="J356" s="38" t="inlineStr">
        <is>
          <t>Qualcomm Snapdragon X Plus X1P-42-100</t>
        </is>
      </c>
      <c r="K356" s="38" t="inlineStr">
        <is>
          <t>Qualcomm Adreno X1-45</t>
        </is>
      </c>
      <c r="L356" s="38" t="inlineStr">
        <is>
          <t>IPS, 60Hz</t>
        </is>
      </c>
      <c r="M356" s="38" t="inlineStr">
        <is>
          <t>1920x1200</t>
        </is>
      </c>
      <c r="N356" s="38" t="inlineStr">
        <is>
          <t>2x USB4 (USB-C), 1x USB-A 3.2, 3.5mm audio</t>
        </is>
      </c>
      <c r="O356" s="38" t="inlineStr">
        <is>
          <t>Windows 11 Home</t>
        </is>
      </c>
      <c r="P356" s="38" t="n">
        <v>11</v>
      </c>
      <c r="Q356" s="41" t="n">
        <v>1653</v>
      </c>
      <c r="R356" s="38" t="inlineStr">
        <is>
          <t>Lighter than Momus Blaze Ultra 15" Ultrabook [MOM-043-04] (1,653 g vs 1,654 g); Lower price than Zephyrus Nova Pro 15" Ultrabook [ZEP-032-07] ($1,188.99 vs $1,929.99)</t>
        </is>
      </c>
      <c r="S356" s="38" t="inlineStr">
        <is>
          <t>work, school, everyday</t>
        </is>
      </c>
      <c r="T356" s="0" t="inlineStr">
        <is>
          <t>in_stock</t>
        </is>
      </c>
      <c r="U356" s="0" t="n">
        <v>30</v>
      </c>
      <c r="V356" s="52" t="n">
        <v>1301.99</v>
      </c>
      <c r="W356" s="0" t="inlineStr">
        <is>
          <t>2026-09-13</t>
        </is>
      </c>
      <c r="X356" s="0" t="n">
        <v>16</v>
      </c>
      <c r="Y356" s="0" t="n">
        <v>1024</v>
      </c>
      <c r="Z356" s="0" t="n">
        <v>15.6</v>
      </c>
      <c r="AA356" s="0" t="inlineStr">
        <is>
          <t>No</t>
        </is>
      </c>
    </row>
    <row r="357" ht="15.75" customHeight="1" s="51">
      <c r="A357" s="38" t="inlineStr">
        <is>
          <t>ATR-035-05</t>
        </is>
      </c>
      <c r="B357" s="38" t="inlineStr">
        <is>
          <t>Atropos</t>
        </is>
      </c>
      <c r="C357" s="38" t="inlineStr">
        <is>
          <t>Laptops</t>
        </is>
      </c>
      <c r="D357" s="38" t="inlineStr">
        <is>
          <t>Laptop</t>
        </is>
      </c>
      <c r="E357" s="39" t="inlineStr">
        <is>
          <t>Atropos Nova Dual-Screen Laptop</t>
        </is>
      </c>
      <c r="F357" s="40" t="n">
        <v>1335.99</v>
      </c>
      <c r="G357" s="38" t="inlineStr">
        <is>
          <t>the Nova; Atropos Nova; Attropos Nova; Nova laptop</t>
        </is>
      </c>
      <c r="H357" s="38" t="inlineStr">
        <is>
          <t>1 year limited</t>
        </is>
      </c>
      <c r="I357" s="38" t="inlineStr">
        <is>
          <t>FCC, CE, UL 62368-1, Energy Star, EPEAT Gold</t>
        </is>
      </c>
      <c r="J357" s="38" t="inlineStr">
        <is>
          <t>Intel Core Ultra 5 125U</t>
        </is>
      </c>
      <c r="K357" s="38" t="inlineStr">
        <is>
          <t>Intel Graphics</t>
        </is>
      </c>
      <c r="L357" s="38" t="inlineStr">
        <is>
          <t>Dual OLED touch, 120Hz</t>
        </is>
      </c>
      <c r="M357" s="38" t="inlineStr">
        <is>
          <t>2x 2880x1800</t>
        </is>
      </c>
      <c r="N357" s="38" t="inlineStr">
        <is>
          <t>2x Thunderbolt 4 (USB-C), 1x USB-A 3.2, HDMI 2.1, microSD, 3.5mm audio</t>
        </is>
      </c>
      <c r="O357" s="38" t="inlineStr">
        <is>
          <t>Windows 11 Home</t>
        </is>
      </c>
      <c r="P357" s="38" t="n">
        <v>7</v>
      </c>
      <c r="Q357" s="41" t="n">
        <v>1506</v>
      </c>
      <c r="R357" s="38" t="inlineStr">
        <is>
          <t>Lower price than Polyhymnia Aeon Ultra Dual-Screen Laptop [POL-041-08] ($1,335.99 vs $2,647.99); Lighter than Demeter Titan Lite Dual-Screen Laptop [DEM-028-08] (1,506 g vs 1,575 g)</t>
        </is>
      </c>
      <c r="S357" s="38" t="inlineStr">
        <is>
          <t>multitasking, productivity, content creation</t>
        </is>
      </c>
      <c r="T357" s="0" t="inlineStr">
        <is>
          <t>in_stock</t>
        </is>
      </c>
      <c r="U357" s="0" t="n">
        <v>30</v>
      </c>
      <c r="V357" s="52" t="n">
        <v>1439.99</v>
      </c>
      <c r="W357" s="0" t="inlineStr">
        <is>
          <t>2026-09-04</t>
        </is>
      </c>
      <c r="X357" s="0" t="n">
        <v>16</v>
      </c>
      <c r="Y357" s="0" t="n">
        <v>1024</v>
      </c>
      <c r="Z357" s="0" t="n">
        <v>14</v>
      </c>
      <c r="AA357" s="0" t="inlineStr">
        <is>
          <t>Yes</t>
        </is>
      </c>
    </row>
    <row r="358" ht="15.75" customHeight="1" s="51">
      <c r="A358" s="38" t="inlineStr">
        <is>
          <t>ATR-035-06</t>
        </is>
      </c>
      <c r="B358" s="38" t="inlineStr">
        <is>
          <t>Atropos</t>
        </is>
      </c>
      <c r="C358" s="38" t="inlineStr">
        <is>
          <t>Laptops</t>
        </is>
      </c>
      <c r="D358" s="38" t="inlineStr">
        <is>
          <t>Laptop</t>
        </is>
      </c>
      <c r="E358" s="39" t="inlineStr">
        <is>
          <t>Atropos Volt SE 14" Business Laptop</t>
        </is>
      </c>
      <c r="F358" s="40" t="n">
        <v>1589.99</v>
      </c>
      <c r="G358" s="38" t="inlineStr">
        <is>
          <t>the Volt SE; Atropos Volt SE; Atroposs Volt SE; Volt SE laptop</t>
        </is>
      </c>
      <c r="H358" s="38" t="inlineStr">
        <is>
          <t>3 year limited, on-site service</t>
        </is>
      </c>
      <c r="I358" s="38" t="inlineStr">
        <is>
          <t>FCC, CE, UL 62368-1, Energy Star, EPEAT Silver, TCO Certified, MIL-STD-810H</t>
        </is>
      </c>
      <c r="J358" s="38" t="inlineStr">
        <is>
          <t>Intel Core Ultra 7 155H</t>
        </is>
      </c>
      <c r="K358" s="38" t="inlineStr">
        <is>
          <t>Intel Arc Graphics</t>
        </is>
      </c>
      <c r="L358" s="38" t="inlineStr">
        <is>
          <t>OLED, 60Hz</t>
        </is>
      </c>
      <c r="M358" s="38" t="inlineStr">
        <is>
          <t>2880x1800</t>
        </is>
      </c>
      <c r="N358" s="38" t="inlineStr">
        <is>
          <t>2x Thunderbolt 4 (USB-C), 1x USB-A 3.2, HDMI 2.1, microSD, 3.5mm audio</t>
        </is>
      </c>
      <c r="O358" s="38" t="inlineStr">
        <is>
          <t>Windows 11 Pro</t>
        </is>
      </c>
      <c r="P358" s="38" t="n">
        <v>12</v>
      </c>
      <c r="Q358" s="41" t="n">
        <v>1338</v>
      </c>
      <c r="R358" s="38" t="inlineStr">
        <is>
          <t>Longer battery than Thallo Volt Pro 14" Business Laptop [THA-046-05] (12 vs 10 hrs); Lighter than Selene Crest Air 14" Business Laptop [SEL-034-05] (1,338 g vs 1,448 g)</t>
        </is>
      </c>
      <c r="S358" s="38" t="inlineStr">
        <is>
          <t>work, travel, remote meetings</t>
        </is>
      </c>
      <c r="T358" s="0" t="inlineStr">
        <is>
          <t>in_stock</t>
        </is>
      </c>
      <c r="U358" s="0" t="n">
        <v>30</v>
      </c>
      <c r="V358" s="52" t="n">
        <v>1703.99</v>
      </c>
      <c r="W358" s="0" t="inlineStr">
        <is>
          <t>2026-09-14</t>
        </is>
      </c>
      <c r="X358" s="0" t="n">
        <v>16</v>
      </c>
      <c r="Y358" s="0" t="n">
        <v>1024</v>
      </c>
      <c r="Z358" s="0" t="n">
        <v>14</v>
      </c>
      <c r="AA358" s="0" t="inlineStr">
        <is>
          <t>No</t>
        </is>
      </c>
    </row>
    <row r="359" ht="15.75" customHeight="1" s="51">
      <c r="A359" s="38" t="inlineStr">
        <is>
          <t>ATR-035-07</t>
        </is>
      </c>
      <c r="B359" s="38" t="inlineStr">
        <is>
          <t>Atropos</t>
        </is>
      </c>
      <c r="C359" s="38" t="inlineStr">
        <is>
          <t>Laptops</t>
        </is>
      </c>
      <c r="D359" s="38" t="inlineStr">
        <is>
          <t>Laptop</t>
        </is>
      </c>
      <c r="E359" s="39" t="inlineStr">
        <is>
          <t>Atropos Lumen Air Rugged Laptop</t>
        </is>
      </c>
      <c r="F359" s="40" t="n">
        <v>1722.99</v>
      </c>
      <c r="G359" s="38" t="inlineStr">
        <is>
          <t>the Lumen Air; Atropos Lumen Air; Atroppos Lumen Air; Lumen Air laptop</t>
        </is>
      </c>
      <c r="H359" s="38" t="inlineStr">
        <is>
          <t>3 year limited, accidental damage</t>
        </is>
      </c>
      <c r="I359" s="38" t="inlineStr">
        <is>
          <t>FCC, CE, UL 62368-1, EPEAT Gold, MIL-STD-810H, IP65</t>
        </is>
      </c>
      <c r="J359" s="38" t="inlineStr">
        <is>
          <t>Qualcomm Snapdragon X Plus X1P-42-100</t>
        </is>
      </c>
      <c r="K359" s="38" t="inlineStr">
        <is>
          <t>Qualcomm Adreno X1-45</t>
        </is>
      </c>
      <c r="L359" s="38" t="inlineStr">
        <is>
          <t>IPS sunlight-readable 1000 nits, touch</t>
        </is>
      </c>
      <c r="M359" s="38" t="inlineStr">
        <is>
          <t>1920x1080</t>
        </is>
      </c>
      <c r="N359" s="38" t="inlineStr">
        <is>
          <t>2x USB4 (USB-C), 1x USB-A 3.2, 3.5mm audio, RJ-45 Ethernet, serial (RS-232), smart card reader</t>
        </is>
      </c>
      <c r="O359" s="38" t="inlineStr">
        <is>
          <t>Windows 11 Pro</t>
        </is>
      </c>
      <c r="P359" s="38" t="n">
        <v>15</v>
      </c>
      <c r="Q359" s="41" t="n">
        <v>3447</v>
      </c>
      <c r="R359" s="38" t="inlineStr">
        <is>
          <t>Longer battery than Aristaeus Vertex Rugged Laptop [ARI-027-07] (15 vs 8 hrs); Lower price than Boreas Strata Rugged Laptop [BOR-044-10] ($1,722.99 vs $3,411.99)</t>
        </is>
      </c>
      <c r="S359" s="38" t="inlineStr">
        <is>
          <t>fieldwork, outdoor, industrial</t>
        </is>
      </c>
      <c r="T359" s="0" t="inlineStr">
        <is>
          <t>low_stock</t>
        </is>
      </c>
      <c r="U359" s="0" t="n">
        <v>30</v>
      </c>
      <c r="V359" s="52" t="n">
        <v>1929.99</v>
      </c>
      <c r="W359" s="0" t="inlineStr">
        <is>
          <t>2026-09-16</t>
        </is>
      </c>
      <c r="X359" s="0" t="n">
        <v>16</v>
      </c>
      <c r="Y359" s="0" t="n">
        <v>1024</v>
      </c>
      <c r="Z359" s="0" t="n">
        <v>17.3</v>
      </c>
      <c r="AA359" s="0" t="inlineStr">
        <is>
          <t>Yes</t>
        </is>
      </c>
    </row>
    <row r="360" ht="15.75" customHeight="1" s="51">
      <c r="A360" s="38" t="inlineStr">
        <is>
          <t>ATR-035-08</t>
        </is>
      </c>
      <c r="B360" s="38" t="inlineStr">
        <is>
          <t>Atropos</t>
        </is>
      </c>
      <c r="C360" s="38" t="inlineStr">
        <is>
          <t>Laptops</t>
        </is>
      </c>
      <c r="D360" s="38" t="inlineStr">
        <is>
          <t>Laptop</t>
        </is>
      </c>
      <c r="E360" s="39" t="inlineStr">
        <is>
          <t>Atropos Echo Max 15" Gaming Laptop</t>
        </is>
      </c>
      <c r="F360" s="40" t="n">
        <v>2474.99</v>
      </c>
      <c r="G360" s="38" t="inlineStr">
        <is>
          <t>the Echo Max; Atropos Echo Max; Atroposs Echo Max; Echo Max laptop</t>
        </is>
      </c>
      <c r="H360" s="38" t="inlineStr">
        <is>
          <t>2 year limited</t>
        </is>
      </c>
      <c r="I360" s="38" t="inlineStr">
        <is>
          <t>FCC, CE, UL 62368-1, Energy Star, EPEAT Silver</t>
        </is>
      </c>
      <c r="J360" s="38" t="inlineStr">
        <is>
          <t>AMD Ryzen 9 7945HX</t>
        </is>
      </c>
      <c r="K360" s="38" t="inlineStr">
        <is>
          <t>NVIDIA GeForce RTX 4070 8GB Laptop GPU</t>
        </is>
      </c>
      <c r="L360" s="38" t="inlineStr">
        <is>
          <t>IPS, 240Hz</t>
        </is>
      </c>
      <c r="M360" s="38" t="inlineStr">
        <is>
          <t>2560x1600</t>
        </is>
      </c>
      <c r="N360" s="38" t="inlineStr">
        <is>
          <t>1x USB4, 3x USB-A 3.2, HDMI 2.1, RJ-45 Ethernet, 3.5mm audio</t>
        </is>
      </c>
      <c r="O360" s="38" t="inlineStr">
        <is>
          <t>Windows 11 Home</t>
        </is>
      </c>
      <c r="P360" s="38" t="n">
        <v>8</v>
      </c>
      <c r="Q360" s="41" t="n">
        <v>2431</v>
      </c>
      <c r="R360" s="38" t="inlineStr">
        <is>
          <t>Longer battery than Heracles Core Pro 15" Gaming Laptop [HER-037-07] (8 vs 7 hrs); Lighter than Thallo Vertex 15" Gaming Laptop [THA-046-04] (2,431 g vs 2,465 g)</t>
        </is>
      </c>
      <c r="S360" s="38" t="inlineStr">
        <is>
          <t>gaming, streaming</t>
        </is>
      </c>
      <c r="T360" s="0" t="inlineStr">
        <is>
          <t>low_stock</t>
        </is>
      </c>
      <c r="U360" s="0" t="n">
        <v>30</v>
      </c>
      <c r="V360" s="52" t="n">
        <v>2586.99</v>
      </c>
      <c r="W360" s="0" t="inlineStr">
        <is>
          <t>2026-08-09</t>
        </is>
      </c>
      <c r="X360" s="0" t="n">
        <v>32</v>
      </c>
      <c r="Y360" s="0" t="n">
        <v>2048</v>
      </c>
      <c r="Z360" s="0" t="n">
        <v>15.6</v>
      </c>
      <c r="AA360" s="0" t="inlineStr">
        <is>
          <t>No</t>
        </is>
      </c>
    </row>
    <row r="361" ht="15.75" customHeight="1" s="51">
      <c r="A361" s="38" t="inlineStr">
        <is>
          <t>ATR-035-09</t>
        </is>
      </c>
      <c r="B361" s="38" t="inlineStr">
        <is>
          <t>Atropos</t>
        </is>
      </c>
      <c r="C361" s="38" t="inlineStr">
        <is>
          <t>Laptops</t>
        </is>
      </c>
      <c r="D361" s="38" t="inlineStr">
        <is>
          <t>Laptop</t>
        </is>
      </c>
      <c r="E361" s="39" t="inlineStr">
        <is>
          <t>Atropos Apex 16" Creator Laptop</t>
        </is>
      </c>
      <c r="F361" s="40" t="n">
        <v>2748.99</v>
      </c>
      <c r="G361" s="38" t="inlineStr">
        <is>
          <t>the Apex; Atropos Apex; Attropos Apex; Apex laptop</t>
        </is>
      </c>
      <c r="H361" s="38" t="inlineStr">
        <is>
          <t>1 year limited</t>
        </is>
      </c>
      <c r="I361" s="38" t="inlineStr">
        <is>
          <t>FCC, CE, UL 62368-1, EPEAT Bronze</t>
        </is>
      </c>
      <c r="J361" s="38" t="inlineStr">
        <is>
          <t>Intel Core i9-14900HX</t>
        </is>
      </c>
      <c r="K361" s="38" t="inlineStr">
        <is>
          <t>NVIDIA GeForce RTX 4070 8GB Laptop GPU</t>
        </is>
      </c>
      <c r="L361" s="38" t="inlineStr">
        <is>
          <t>Mini-LED, 165Hz</t>
        </is>
      </c>
      <c r="M361" s="38" t="inlineStr">
        <is>
          <t>3840x2400</t>
        </is>
      </c>
      <c r="N361" s="38" t="inlineStr">
        <is>
          <t>2x Thunderbolt 4 (USB-C), 1x USB-A 3.2, HDMI 2.1, microSD, 3.5mm audio</t>
        </is>
      </c>
      <c r="O361" s="38" t="inlineStr">
        <is>
          <t>Windows 11 Home</t>
        </is>
      </c>
      <c r="P361" s="38" t="n">
        <v>8</v>
      </c>
      <c r="Q361" s="41" t="n">
        <v>2240</v>
      </c>
      <c r="R361" s="38" t="inlineStr">
        <is>
          <t>Lower price than Thanatos Echo Lite 16" Creator Laptop [THA-049-09] ($2,748.99 vs $3,192.99); Lighter than Melpomene Spark 16" Creator Laptop [MEL-026-06] (2,240 g vs 2,245 g)</t>
        </is>
      </c>
      <c r="S361" s="38" t="inlineStr">
        <is>
          <t>video editing, photo editing, content creation</t>
        </is>
      </c>
      <c r="T361" s="0" t="inlineStr">
        <is>
          <t>in_stock</t>
        </is>
      </c>
      <c r="U361" s="0" t="n">
        <v>30</v>
      </c>
      <c r="V361" s="52" t="n">
        <v>2853.99</v>
      </c>
      <c r="W361" s="0" t="inlineStr">
        <is>
          <t>2026-08-07</t>
        </is>
      </c>
      <c r="X361" s="0" t="n">
        <v>32</v>
      </c>
      <c r="Y361" s="0" t="n">
        <v>2048</v>
      </c>
      <c r="Z361" s="0" t="n">
        <v>16</v>
      </c>
      <c r="AA361" s="0" t="inlineStr">
        <is>
          <t>No</t>
        </is>
      </c>
    </row>
    <row r="362" ht="15.75" customHeight="1" s="51">
      <c r="A362" s="38" t="inlineStr">
        <is>
          <t>ATR-035-10</t>
        </is>
      </c>
      <c r="B362" s="38" t="inlineStr">
        <is>
          <t>Atropos</t>
        </is>
      </c>
      <c r="C362" s="38" t="inlineStr">
        <is>
          <t>Laptops</t>
        </is>
      </c>
      <c r="D362" s="38" t="inlineStr">
        <is>
          <t>Laptop</t>
        </is>
      </c>
      <c r="E362" s="39" t="inlineStr">
        <is>
          <t>Atropos Rift Ultra Mobile Workstation</t>
        </is>
      </c>
      <c r="F362" s="40" t="n">
        <v>4611.99</v>
      </c>
      <c r="G362" s="38" t="inlineStr">
        <is>
          <t>the Rift Ultra; Atropos Rift Ultra; Atroopos Rift Ultra; Rift Ultra laptop</t>
        </is>
      </c>
      <c r="H362" s="38" t="inlineStr">
        <is>
          <t>3 year limited, on-site service</t>
        </is>
      </c>
      <c r="I362" s="38" t="inlineStr">
        <is>
          <t>FCC, CE, UL 62368-1, Energy Star, EPEAT Silver, TCO Certified, MIL-STD-810H</t>
        </is>
      </c>
      <c r="J362" s="38" t="inlineStr">
        <is>
          <t>AMD Ryzen 9 7945HX</t>
        </is>
      </c>
      <c r="K362" s="38" t="inlineStr">
        <is>
          <t>NVIDIA RTX 5000 Ada 16GB Laptop GPU</t>
        </is>
      </c>
      <c r="L362" s="38" t="inlineStr">
        <is>
          <t>OLED, 120Hz</t>
        </is>
      </c>
      <c r="M362" s="38" t="inlineStr">
        <is>
          <t>3840x2400</t>
        </is>
      </c>
      <c r="N362" s="38" t="inlineStr">
        <is>
          <t>2x USB4 (USB-C), 2x USB-A 3.2, HDMI 2.1, SD card, 3.5mm audio</t>
        </is>
      </c>
      <c r="O362" s="38" t="inlineStr">
        <is>
          <t>Windows 11 Pro</t>
        </is>
      </c>
      <c r="P362" s="38" t="n">
        <v>5</v>
      </c>
      <c r="Q362" s="41" t="n">
        <v>2753</v>
      </c>
      <c r="R362" s="38" t="inlineStr">
        <is>
          <t>Lower price than Hygieia Spark Plus Mobile Workstation [HYG-048-10] ($4,611.99 vs $4,632.99); Lighter than Thalia Nimbus Plus Mobile Workstation [THA-030-10] (2,753 g vs 2,895 g)</t>
        </is>
      </c>
      <c r="S362" s="38" t="inlineStr">
        <is>
          <t>engineering, 3D rendering, data science</t>
        </is>
      </c>
      <c r="T362" s="0" t="inlineStr">
        <is>
          <t>in_stock</t>
        </is>
      </c>
      <c r="U362" s="0" t="n">
        <v>30</v>
      </c>
      <c r="V362" s="52" t="n">
        <v>4857.99</v>
      </c>
      <c r="W362" s="0" t="inlineStr">
        <is>
          <t>2026-09-01</t>
        </is>
      </c>
      <c r="X362" s="0" t="n">
        <v>64</v>
      </c>
      <c r="Y362" s="0" t="n">
        <v>4096</v>
      </c>
      <c r="Z362" s="0" t="n">
        <v>17.3</v>
      </c>
      <c r="AA362" s="0" t="inlineStr">
        <is>
          <t>No</t>
        </is>
      </c>
    </row>
    <row r="363" ht="15.75" customHeight="1" s="51">
      <c r="A363" s="38" t="inlineStr">
        <is>
          <t>PER-036-01</t>
        </is>
      </c>
      <c r="B363" s="38" t="inlineStr">
        <is>
          <t>Persephone</t>
        </is>
      </c>
      <c r="C363" s="38" t="inlineStr">
        <is>
          <t>Laptops</t>
        </is>
      </c>
      <c r="D363" s="38" t="inlineStr">
        <is>
          <t>Laptop</t>
        </is>
      </c>
      <c r="E363" s="39" t="inlineStr">
        <is>
          <t>Persephone Pulse Lite 15" Budget Laptop</t>
        </is>
      </c>
      <c r="F363" s="40" t="n">
        <v>427.99</v>
      </c>
      <c r="G363" s="38" t="inlineStr">
        <is>
          <t>the Pulse Lite; Persephone Pulse Lite; Persepphone Pulse Lite; Pulse Lite laptop</t>
        </is>
      </c>
      <c r="H363" s="38" t="inlineStr">
        <is>
          <t>1 year limited</t>
        </is>
      </c>
      <c r="I363" s="38" t="inlineStr">
        <is>
          <t>FCC, CE, UL 62368-1, Energy Star, EPEAT Gold</t>
        </is>
      </c>
      <c r="J363" s="38" t="inlineStr">
        <is>
          <t>AMD Ryzen 5 8640HS</t>
        </is>
      </c>
      <c r="K363" s="38" t="inlineStr">
        <is>
          <t>AMD Radeon 760M</t>
        </is>
      </c>
      <c r="L363" s="38" t="inlineStr">
        <is>
          <t>IPS, 60Hz</t>
        </is>
      </c>
      <c r="M363" s="38" t="inlineStr">
        <is>
          <t>1920x1080</t>
        </is>
      </c>
      <c r="N363" s="38" t="inlineStr">
        <is>
          <t>2x USB4 (USB-C), 2x USB-A 3.2, HDMI 2.1, SD card, 3.5mm audio</t>
        </is>
      </c>
      <c r="O363" s="38" t="inlineStr">
        <is>
          <t>Windows 11 Home</t>
        </is>
      </c>
      <c r="P363" s="38" t="n">
        <v>9</v>
      </c>
      <c r="Q363" s="41" t="n">
        <v>1634</v>
      </c>
      <c r="R363" s="38" t="inlineStr">
        <is>
          <t>Lower price than Aristaeus Axis 15" Budget Laptop [ARI-027-02] ($427.99 vs $572.99); Lighter than Thanatos Prism Max 15" Budget Laptop [THA-049-02] (1,634 g vs 1,712 g)</t>
        </is>
      </c>
      <c r="S363" s="38" t="inlineStr">
        <is>
          <t>budget, everyday, school</t>
        </is>
      </c>
      <c r="T363" s="0" t="inlineStr">
        <is>
          <t>in_stock</t>
        </is>
      </c>
      <c r="U363" s="0" t="n">
        <v>45</v>
      </c>
      <c r="V363" s="52" t="n">
        <v>451.99</v>
      </c>
      <c r="W363" s="0" t="inlineStr">
        <is>
          <t>2026-09-09</t>
        </is>
      </c>
      <c r="X363" s="0" t="n">
        <v>8</v>
      </c>
      <c r="Y363" s="0" t="n">
        <v>256</v>
      </c>
      <c r="Z363" s="0" t="n">
        <v>15.6</v>
      </c>
      <c r="AA363" s="0" t="inlineStr">
        <is>
          <t>No</t>
        </is>
      </c>
    </row>
    <row r="364" ht="15.75" customHeight="1" s="51">
      <c r="A364" s="38" t="inlineStr">
        <is>
          <t>PER-036-02</t>
        </is>
      </c>
      <c r="B364" s="38" t="inlineStr">
        <is>
          <t>Persephone</t>
        </is>
      </c>
      <c r="C364" s="38" t="inlineStr">
        <is>
          <t>Laptops</t>
        </is>
      </c>
      <c r="D364" s="38" t="inlineStr">
        <is>
          <t>Laptop</t>
        </is>
      </c>
      <c r="E364" s="39" t="inlineStr">
        <is>
          <t>Persephone Crest Max 14" Business Laptop</t>
        </is>
      </c>
      <c r="F364" s="40" t="n">
        <v>801.99</v>
      </c>
      <c r="G364" s="38" t="inlineStr">
        <is>
          <t>the Crest Max; Persephone Crest Max; Persehpone Crest Max; Crest Max laptop</t>
        </is>
      </c>
      <c r="H364" s="38" t="inlineStr">
        <is>
          <t>3 year limited, on-site service</t>
        </is>
      </c>
      <c r="I364" s="38" t="inlineStr">
        <is>
          <t>FCC, CE, UL 62368-1, Energy Star, EPEAT Silver, TCO Certified, MIL-STD-810H</t>
        </is>
      </c>
      <c r="J364" s="38" t="inlineStr">
        <is>
          <t>Intel Core Ultra 5 125U</t>
        </is>
      </c>
      <c r="K364" s="38" t="inlineStr">
        <is>
          <t>Intel Graphics</t>
        </is>
      </c>
      <c r="L364" s="38" t="inlineStr">
        <is>
          <t>IPS anti-glare, 60Hz</t>
        </is>
      </c>
      <c r="M364" s="38" t="inlineStr">
        <is>
          <t>1920x1200</t>
        </is>
      </c>
      <c r="N364" s="38" t="inlineStr">
        <is>
          <t>2x Thunderbolt 4 (USB-C), 1x USB-A 3.2, HDMI 2.1, microSD, 3.5mm audio</t>
        </is>
      </c>
      <c r="O364" s="38" t="inlineStr">
        <is>
          <t>Windows 11 Pro</t>
        </is>
      </c>
      <c r="P364" s="38" t="n">
        <v>13</v>
      </c>
      <c r="Q364" s="41" t="n">
        <v>1221</v>
      </c>
      <c r="R364" s="38" t="inlineStr">
        <is>
          <t>Lighter than Zephyrus Core Lite 14" Business Laptop [ZEP-032-04] (1,221 g vs 1,228 g); Lower price than Terpsichore Blaze Lite 14" Business Laptop [TER-039-05] ($801.99 vs $1,467.99)</t>
        </is>
      </c>
      <c r="S364" s="38" t="inlineStr">
        <is>
          <t>work, travel, remote meetings</t>
        </is>
      </c>
      <c r="T364" s="0" t="inlineStr">
        <is>
          <t>in_stock</t>
        </is>
      </c>
      <c r="U364" s="0" t="n">
        <v>45</v>
      </c>
      <c r="V364" s="52" t="n">
        <v>857.99</v>
      </c>
      <c r="W364" s="0" t="inlineStr">
        <is>
          <t>2026-08-16</t>
        </is>
      </c>
      <c r="X364" s="0" t="n">
        <v>16</v>
      </c>
      <c r="Y364" s="0" t="n">
        <v>512</v>
      </c>
      <c r="Z364" s="0" t="n">
        <v>14</v>
      </c>
      <c r="AA364" s="0" t="inlineStr">
        <is>
          <t>No</t>
        </is>
      </c>
    </row>
    <row r="365" ht="15.75" customHeight="1" s="51">
      <c r="A365" s="38" t="inlineStr">
        <is>
          <t>PER-036-03</t>
        </is>
      </c>
      <c r="B365" s="38" t="inlineStr">
        <is>
          <t>Persephone</t>
        </is>
      </c>
      <c r="C365" s="38" t="inlineStr">
        <is>
          <t>Laptops</t>
        </is>
      </c>
      <c r="D365" s="38" t="inlineStr">
        <is>
          <t>Laptop</t>
        </is>
      </c>
      <c r="E365" s="39" t="inlineStr">
        <is>
          <t>Persephone Lumen SE 2-in-1 Convertible</t>
        </is>
      </c>
      <c r="F365" s="40" t="n">
        <v>891.99</v>
      </c>
      <c r="G365" s="38" t="inlineStr">
        <is>
          <t>the Lumen SE; Persephone Lumen SE; Pesrephone Lumen SE; Lumen SE laptop</t>
        </is>
      </c>
      <c r="H365" s="38" t="inlineStr">
        <is>
          <t>1 year limited</t>
        </is>
      </c>
      <c r="I365" s="38" t="inlineStr">
        <is>
          <t>FCC, CE, UL 62368-1, Energy Star, EPEAT Silver</t>
        </is>
      </c>
      <c r="J365" s="38" t="inlineStr">
        <is>
          <t>Qualcomm Snapdragon X Plus X1P-42-100</t>
        </is>
      </c>
      <c r="K365" s="38" t="inlineStr">
        <is>
          <t>Qualcomm Adreno X1-45</t>
        </is>
      </c>
      <c r="L365" s="38" t="inlineStr">
        <is>
          <t>IPS touch, 60Hz</t>
        </is>
      </c>
      <c r="M365" s="38" t="inlineStr">
        <is>
          <t>1920x1200</t>
        </is>
      </c>
      <c r="N365" s="38" t="inlineStr">
        <is>
          <t>2x USB4 (USB-C), 1x USB-A 3.2, 3.5mm audio</t>
        </is>
      </c>
      <c r="O365" s="38" t="inlineStr">
        <is>
          <t>Windows 11 Home</t>
        </is>
      </c>
      <c r="P365" s="38" t="n">
        <v>9</v>
      </c>
      <c r="Q365" s="41" t="n">
        <v>1354</v>
      </c>
      <c r="R365" s="38" t="inlineStr">
        <is>
          <t>Lighter than Aeolus Lumen Lite 2-in-1 Convertible [AEO-031-04] (1,354 g vs 1,468 g); Lower price than Hygieia Core 2-in-1 Convertible [HYG-048-03] ($891.99 vs $1,277.99)</t>
        </is>
      </c>
      <c r="S365" s="38" t="inlineStr">
        <is>
          <t>school, note-taking, travel</t>
        </is>
      </c>
      <c r="T365" s="0" t="inlineStr">
        <is>
          <t>in_stock</t>
        </is>
      </c>
      <c r="U365" s="0" t="n">
        <v>45</v>
      </c>
      <c r="V365" s="52" t="n">
        <v>1009.99</v>
      </c>
      <c r="W365" s="0" t="inlineStr">
        <is>
          <t>2026-08-21</t>
        </is>
      </c>
      <c r="X365" s="0" t="n">
        <v>16</v>
      </c>
      <c r="Y365" s="0" t="n">
        <v>512</v>
      </c>
      <c r="Z365" s="0" t="n">
        <v>14</v>
      </c>
      <c r="AA365" s="0" t="inlineStr">
        <is>
          <t>Yes</t>
        </is>
      </c>
    </row>
    <row r="366" ht="15.75" customHeight="1" s="51">
      <c r="A366" s="38" t="inlineStr">
        <is>
          <t>PER-036-04</t>
        </is>
      </c>
      <c r="B366" s="38" t="inlineStr">
        <is>
          <t>Persephone</t>
        </is>
      </c>
      <c r="C366" s="38" t="inlineStr">
        <is>
          <t>Laptops</t>
        </is>
      </c>
      <c r="D366" s="38" t="inlineStr">
        <is>
          <t>Laptop</t>
        </is>
      </c>
      <c r="E366" s="39" t="inlineStr">
        <is>
          <t>Persephone Blaze Air 13" Ultrabook</t>
        </is>
      </c>
      <c r="F366" s="40" t="n">
        <v>985.99</v>
      </c>
      <c r="G366" s="38" t="inlineStr">
        <is>
          <t>the Blaze Air; Persephone Blaze Air; Perrsephone Blaze Air; Blaze Air laptop</t>
        </is>
      </c>
      <c r="H366" s="38" t="inlineStr">
        <is>
          <t>1 year limited</t>
        </is>
      </c>
      <c r="I366" s="38" t="inlineStr">
        <is>
          <t>FCC, CE, UL 62368-1, Energy Star, EPEAT Bronze</t>
        </is>
      </c>
      <c r="J366" s="38" t="inlineStr">
        <is>
          <t>AMD Ryzen 5 8640HS</t>
        </is>
      </c>
      <c r="K366" s="38" t="inlineStr">
        <is>
          <t>AMD Radeon 760M</t>
        </is>
      </c>
      <c r="L366" s="38" t="inlineStr">
        <is>
          <t>IPS, 60Hz</t>
        </is>
      </c>
      <c r="M366" s="38" t="inlineStr">
        <is>
          <t>1920x1200</t>
        </is>
      </c>
      <c r="N366" s="38" t="inlineStr">
        <is>
          <t>2x USB-C 3.2, 1x USB-A 3.2, HDMI 1.4, 3.5mm audio</t>
        </is>
      </c>
      <c r="O366" s="38" t="inlineStr">
        <is>
          <t>Windows 11 Home</t>
        </is>
      </c>
      <c r="P366" s="38" t="n">
        <v>19</v>
      </c>
      <c r="Q366" s="41" t="n">
        <v>1229</v>
      </c>
      <c r="R366" s="38" t="inlineStr">
        <is>
          <t>Lower price than Aeolus Crest SE 13" Ultrabook [AEO-031-07] ($985.99 vs $1,800.99); Longer battery than Aristaeus Sable 13" Ultrabook [ARI-027-04] (19 vs 13 hrs)</t>
        </is>
      </c>
      <c r="S366" s="38" t="inlineStr">
        <is>
          <t>travel, school, work</t>
        </is>
      </c>
      <c r="T366" s="0" t="inlineStr">
        <is>
          <t>in_stock</t>
        </is>
      </c>
      <c r="U366" s="0" t="n">
        <v>45</v>
      </c>
      <c r="V366" s="52" t="n">
        <v>1043.99</v>
      </c>
      <c r="W366" s="0" t="inlineStr">
        <is>
          <t>2026-09-15</t>
        </is>
      </c>
      <c r="X366" s="0" t="n">
        <v>16</v>
      </c>
      <c r="Y366" s="0" t="n">
        <v>512</v>
      </c>
      <c r="Z366" s="0" t="n">
        <v>13.3</v>
      </c>
      <c r="AA366" s="0" t="inlineStr">
        <is>
          <t>No</t>
        </is>
      </c>
    </row>
    <row r="367" ht="15.75" customHeight="1" s="51">
      <c r="A367" s="38" t="inlineStr">
        <is>
          <t>PER-036-05</t>
        </is>
      </c>
      <c r="B367" s="38" t="inlineStr">
        <is>
          <t>Persephone</t>
        </is>
      </c>
      <c r="C367" s="38" t="inlineStr">
        <is>
          <t>Laptops</t>
        </is>
      </c>
      <c r="D367" s="38" t="inlineStr">
        <is>
          <t>Laptop</t>
        </is>
      </c>
      <c r="E367" s="39" t="inlineStr">
        <is>
          <t>Persephone Wave Max Dual-Screen Laptop</t>
        </is>
      </c>
      <c r="F367" s="40" t="n">
        <v>1257.99</v>
      </c>
      <c r="G367" s="38" t="inlineStr">
        <is>
          <t>the Wave Max; Persephone Wave Max; Persephhone Wave Max; Wave Max laptop</t>
        </is>
      </c>
      <c r="H367" s="38" t="inlineStr">
        <is>
          <t>1 year limited</t>
        </is>
      </c>
      <c r="I367" s="38" t="inlineStr">
        <is>
          <t>FCC, CE, UL 62368-1, EPEAT Bronze</t>
        </is>
      </c>
      <c r="J367" s="38" t="inlineStr">
        <is>
          <t>Intel Core Ultra 5 125U</t>
        </is>
      </c>
      <c r="K367" s="38" t="inlineStr">
        <is>
          <t>Intel Graphics</t>
        </is>
      </c>
      <c r="L367" s="38" t="inlineStr">
        <is>
          <t>Dual OLED touch, 120Hz</t>
        </is>
      </c>
      <c r="M367" s="38" t="inlineStr">
        <is>
          <t>2x 2880x1800</t>
        </is>
      </c>
      <c r="N367" s="38" t="inlineStr">
        <is>
          <t>2x Thunderbolt 4 (USB-C), 1x USB-A 3.2, HDMI 2.1, microSD, 3.5mm audio</t>
        </is>
      </c>
      <c r="O367" s="38" t="inlineStr">
        <is>
          <t>Windows 11 Home</t>
        </is>
      </c>
      <c r="P367" s="38" t="n">
        <v>9</v>
      </c>
      <c r="Q367" s="41" t="n">
        <v>1798</v>
      </c>
      <c r="R367" s="38" t="inlineStr">
        <is>
          <t>Lower price than Thallo Quanta Ultra Dual-Screen Laptop [THA-046-08] ($1,257.99 vs $2,911.99); Longer battery than Momus Wave Lite Dual-Screen Laptop [MOM-043-05] (9 vs 7 hrs)</t>
        </is>
      </c>
      <c r="S367" s="38" t="inlineStr">
        <is>
          <t>multitasking, productivity, content creation</t>
        </is>
      </c>
      <c r="T367" s="0" t="inlineStr">
        <is>
          <t>in_stock</t>
        </is>
      </c>
      <c r="U367" s="0" t="n">
        <v>45</v>
      </c>
      <c r="V367" s="52" t="n">
        <v>1392.99</v>
      </c>
      <c r="W367" s="0" t="inlineStr">
        <is>
          <t>2026-09-22</t>
        </is>
      </c>
      <c r="X367" s="0" t="n">
        <v>16</v>
      </c>
      <c r="Y367" s="0" t="n">
        <v>1024</v>
      </c>
      <c r="Z367" s="0" t="n">
        <v>14</v>
      </c>
      <c r="AA367" s="0" t="inlineStr">
        <is>
          <t>Yes</t>
        </is>
      </c>
    </row>
    <row r="368" ht="15.75" customHeight="1" s="51">
      <c r="A368" s="38" t="inlineStr">
        <is>
          <t>PER-036-06</t>
        </is>
      </c>
      <c r="B368" s="38" t="inlineStr">
        <is>
          <t>Persephone</t>
        </is>
      </c>
      <c r="C368" s="38" t="inlineStr">
        <is>
          <t>Laptops</t>
        </is>
      </c>
      <c r="D368" s="38" t="inlineStr">
        <is>
          <t>Laptop</t>
        </is>
      </c>
      <c r="E368" s="39" t="inlineStr">
        <is>
          <t>Persephone Rift Plus 15" Ultrabook</t>
        </is>
      </c>
      <c r="F368" s="40" t="n">
        <v>1630.99</v>
      </c>
      <c r="G368" s="38" t="inlineStr">
        <is>
          <t>the Rift Plus; Persephone Rift Plus; Persephon Rift Plus; Rift Plus laptop</t>
        </is>
      </c>
      <c r="H368" s="38" t="inlineStr">
        <is>
          <t>1 year limited</t>
        </is>
      </c>
      <c r="I368" s="38" t="inlineStr">
        <is>
          <t>FCC, CE, UL 62368-1, EPEAT Bronze</t>
        </is>
      </c>
      <c r="J368" s="38" t="inlineStr">
        <is>
          <t>AMD Ryzen 5 8640HS</t>
        </is>
      </c>
      <c r="K368" s="38" t="inlineStr">
        <is>
          <t>AMD Radeon 760M</t>
        </is>
      </c>
      <c r="L368" s="38" t="inlineStr">
        <is>
          <t>IPS, 60Hz</t>
        </is>
      </c>
      <c r="M368" s="38" t="inlineStr">
        <is>
          <t>1920x1200</t>
        </is>
      </c>
      <c r="N368" s="38" t="inlineStr">
        <is>
          <t>2x USB4 (USB-C), 2x USB-A 3.2, HDMI 2.1, SD card, 3.5mm audio</t>
        </is>
      </c>
      <c r="O368" s="38" t="inlineStr">
        <is>
          <t>Windows 11 Home</t>
        </is>
      </c>
      <c r="P368" s="38" t="n">
        <v>11</v>
      </c>
      <c r="Q368" s="41" t="n">
        <v>1646</v>
      </c>
      <c r="R368" s="38" t="inlineStr">
        <is>
          <t>Lower price than Chronos Volt Plus 15" Ultrabook [CHR-050-05] ($1,630.99 vs $1,919.99); Longer battery than Boreas Nova Lite 15" Ultrabook [BOR-044-04] (11 vs 10 hrs)</t>
        </is>
      </c>
      <c r="S368" s="38" t="inlineStr">
        <is>
          <t>work, school, everyday</t>
        </is>
      </c>
      <c r="T368" s="0" t="inlineStr">
        <is>
          <t>in_stock</t>
        </is>
      </c>
      <c r="U368" s="0" t="n">
        <v>45</v>
      </c>
      <c r="V368" s="52" t="n">
        <v>1798.99</v>
      </c>
      <c r="W368" s="0" t="inlineStr">
        <is>
          <t>2026-09-07</t>
        </is>
      </c>
      <c r="X368" s="0" t="n">
        <v>16</v>
      </c>
      <c r="Y368" s="0" t="n">
        <v>1024</v>
      </c>
      <c r="Z368" s="0" t="n">
        <v>15.6</v>
      </c>
      <c r="AA368" s="0" t="inlineStr">
        <is>
          <t>No</t>
        </is>
      </c>
    </row>
    <row r="369" ht="15.75" customHeight="1" s="51">
      <c r="A369" s="38" t="inlineStr">
        <is>
          <t>PER-036-07</t>
        </is>
      </c>
      <c r="B369" s="38" t="inlineStr">
        <is>
          <t>Persephone</t>
        </is>
      </c>
      <c r="C369" s="38" t="inlineStr">
        <is>
          <t>Laptops</t>
        </is>
      </c>
      <c r="D369" s="38" t="inlineStr">
        <is>
          <t>Laptop</t>
        </is>
      </c>
      <c r="E369" s="39" t="inlineStr">
        <is>
          <t>Persephone Strata Air 15" Gaming Laptop</t>
        </is>
      </c>
      <c r="F369" s="40" t="n">
        <v>1876.99</v>
      </c>
      <c r="G369" s="38" t="inlineStr">
        <is>
          <t>the Strata Air; Persephone Strata Air; Perspehone Strata Air; Strata Air laptop</t>
        </is>
      </c>
      <c r="H369" s="38" t="inlineStr">
        <is>
          <t>1 year limited</t>
        </is>
      </c>
      <c r="I369" s="38" t="inlineStr">
        <is>
          <t>FCC, CE, UL 62368-1, Energy Star, EPEAT Bronze</t>
        </is>
      </c>
      <c r="J369" s="38" t="inlineStr">
        <is>
          <t>AMD Ryzen 7 8845HS</t>
        </is>
      </c>
      <c r="K369" s="38" t="inlineStr">
        <is>
          <t>NVIDIA GeForce RTX 4060 8GB Laptop GPU</t>
        </is>
      </c>
      <c r="L369" s="38" t="inlineStr">
        <is>
          <t>IPS, 240Hz</t>
        </is>
      </c>
      <c r="M369" s="38" t="inlineStr">
        <is>
          <t>2560x1600</t>
        </is>
      </c>
      <c r="N369" s="38" t="inlineStr">
        <is>
          <t>1x USB4, 3x USB-A 3.2, HDMI 2.1, RJ-45 Ethernet, 3.5mm audio</t>
        </is>
      </c>
      <c r="O369" s="38" t="inlineStr">
        <is>
          <t>Windows 11 Home</t>
        </is>
      </c>
      <c r="P369" s="38" t="n">
        <v>4</v>
      </c>
      <c r="Q369" s="41" t="n">
        <v>2160</v>
      </c>
      <c r="R369" s="38" t="inlineStr">
        <is>
          <t>Lower price than Demeter Core Ultra 15" Gaming Laptop [DEM-028-06] ($1,876.99 vs $2,411.99); Lighter than Thalia Pulse Max 15" Gaming Laptop [THA-030-06] (2,160 g vs 2,208 g)</t>
        </is>
      </c>
      <c r="S369" s="38" t="inlineStr">
        <is>
          <t>gaming, streaming</t>
        </is>
      </c>
      <c r="T369" s="0" t="inlineStr">
        <is>
          <t>in_stock</t>
        </is>
      </c>
      <c r="U369" s="0" t="n">
        <v>45</v>
      </c>
      <c r="V369" s="52" t="n">
        <v>1978.99</v>
      </c>
      <c r="W369" s="0" t="inlineStr">
        <is>
          <t>2026-09-07</t>
        </is>
      </c>
      <c r="X369" s="0" t="n">
        <v>32</v>
      </c>
      <c r="Y369" s="0" t="n">
        <v>1024</v>
      </c>
      <c r="Z369" s="0" t="n">
        <v>15.6</v>
      </c>
      <c r="AA369" s="0" t="inlineStr">
        <is>
          <t>No</t>
        </is>
      </c>
    </row>
    <row r="370" ht="15.75" customHeight="1" s="51">
      <c r="A370" s="38" t="inlineStr">
        <is>
          <t>PER-036-08</t>
        </is>
      </c>
      <c r="B370" s="38" t="inlineStr">
        <is>
          <t>Persephone</t>
        </is>
      </c>
      <c r="C370" s="38" t="inlineStr">
        <is>
          <t>Laptops</t>
        </is>
      </c>
      <c r="D370" s="38" t="inlineStr">
        <is>
          <t>Laptop</t>
        </is>
      </c>
      <c r="E370" s="39" t="inlineStr">
        <is>
          <t>Persephone Vibe Mobile Workstation</t>
        </is>
      </c>
      <c r="F370" s="40" t="n">
        <v>2083.99</v>
      </c>
      <c r="G370" s="38" t="inlineStr">
        <is>
          <t>the Vibe; Persephone Vibe; Persephhone Vibe; Vibe laptop</t>
        </is>
      </c>
      <c r="H370" s="38" t="inlineStr">
        <is>
          <t>3 year limited, on-site service</t>
        </is>
      </c>
      <c r="I370" s="38" t="inlineStr">
        <is>
          <t>FCC, CE, UL 62368-1, Energy Star, EPEAT Silver, TCO Certified, MIL-STD-810H</t>
        </is>
      </c>
      <c r="J370" s="38" t="inlineStr">
        <is>
          <t>AMD Ryzen 7 8845HS</t>
        </is>
      </c>
      <c r="K370" s="38" t="inlineStr">
        <is>
          <t>NVIDIA RTX 2000 Ada 8GB Laptop GPU</t>
        </is>
      </c>
      <c r="L370" s="38" t="inlineStr">
        <is>
          <t>IPS, 60Hz</t>
        </is>
      </c>
      <c r="M370" s="38" t="inlineStr">
        <is>
          <t>1920x1200</t>
        </is>
      </c>
      <c r="N370" s="38" t="inlineStr">
        <is>
          <t>2x USB-C 3.2, 1x USB-A 3.2, HDMI 1.4, 3.5mm audio</t>
        </is>
      </c>
      <c r="O370" s="38" t="inlineStr">
        <is>
          <t>Windows 11 Pro</t>
        </is>
      </c>
      <c r="P370" s="38" t="n">
        <v>8</v>
      </c>
      <c r="Q370" s="41" t="n">
        <v>2692</v>
      </c>
      <c r="R370" s="38" t="inlineStr">
        <is>
          <t>Lower price than Atropos Rift Ultra Mobile Workstation [ATR-035-10] ($2,083.99 vs $4,611.99); Lighter than Hygieia Spark Plus Mobile Workstation [HYG-048-10] (2,692 g vs 2,784 g)</t>
        </is>
      </c>
      <c r="S370" s="38" t="inlineStr">
        <is>
          <t>engineering, 3D rendering, data science</t>
        </is>
      </c>
      <c r="T370" s="0" t="inlineStr">
        <is>
          <t>in_stock</t>
        </is>
      </c>
      <c r="U370" s="0" t="n">
        <v>45</v>
      </c>
      <c r="V370" s="52" t="n">
        <v>2154.99</v>
      </c>
      <c r="W370" s="0" t="inlineStr">
        <is>
          <t>2026-08-09</t>
        </is>
      </c>
      <c r="X370" s="0" t="n">
        <v>32</v>
      </c>
      <c r="Y370" s="0" t="n">
        <v>2048</v>
      </c>
      <c r="Z370" s="0" t="n">
        <v>16</v>
      </c>
      <c r="AA370" s="0" t="inlineStr">
        <is>
          <t>No</t>
        </is>
      </c>
    </row>
    <row r="371" ht="15.75" customHeight="1" s="51">
      <c r="A371" s="38" t="inlineStr">
        <is>
          <t>PER-036-09</t>
        </is>
      </c>
      <c r="B371" s="38" t="inlineStr">
        <is>
          <t>Persephone</t>
        </is>
      </c>
      <c r="C371" s="38" t="inlineStr">
        <is>
          <t>Laptops</t>
        </is>
      </c>
      <c r="D371" s="38" t="inlineStr">
        <is>
          <t>Laptop</t>
        </is>
      </c>
      <c r="E371" s="39" t="inlineStr">
        <is>
          <t>Persephone Lumen Pro 17" Gaming Laptop</t>
        </is>
      </c>
      <c r="F371" s="40" t="n">
        <v>2639.99</v>
      </c>
      <c r="G371" s="38" t="inlineStr">
        <is>
          <t>the Lumen Pro; Persephone Lumen Pro; Perssephone Lumen Pro; Lumen Pro laptop</t>
        </is>
      </c>
      <c r="H371" s="38" t="inlineStr">
        <is>
          <t>1 year limited</t>
        </is>
      </c>
      <c r="I371" s="38" t="inlineStr">
        <is>
          <t>FCC, CE, UL 62368-1, Energy Star, EPEAT Bronze</t>
        </is>
      </c>
      <c r="J371" s="38" t="inlineStr">
        <is>
          <t>Intel Core i9-14900HX</t>
        </is>
      </c>
      <c r="K371" s="38" t="inlineStr">
        <is>
          <t>NVIDIA GeForce RTX 4080 12GB Laptop GPU</t>
        </is>
      </c>
      <c r="L371" s="38" t="inlineStr">
        <is>
          <t>IPS, 240Hz</t>
        </is>
      </c>
      <c r="M371" s="38" t="inlineStr">
        <is>
          <t>2560x1600</t>
        </is>
      </c>
      <c r="N371" s="38" t="inlineStr">
        <is>
          <t>1x Thunderbolt 4, 3x USB-A 3.2, HDMI 2.1, RJ-45 Ethernet, 3.5mm audio</t>
        </is>
      </c>
      <c r="O371" s="38" t="inlineStr">
        <is>
          <t>Windows 11 Home</t>
        </is>
      </c>
      <c r="P371" s="38" t="n">
        <v>3</v>
      </c>
      <c r="Q371" s="41" t="n">
        <v>2969</v>
      </c>
      <c r="R371" s="38" t="inlineStr">
        <is>
          <t>Lighter than Zephyrus Lumen Pro 17" Gaming Laptop [ZEP-032-08] (2,969 g vs 3,344 g); Lower price than Aeolus Spark 17" Gaming Laptop [AEO-031-09] ($2,639.99 vs $2,744.99)</t>
        </is>
      </c>
      <c r="S371" s="38" t="inlineStr">
        <is>
          <t>gaming, streaming, content creation</t>
        </is>
      </c>
      <c r="T371" s="0" t="inlineStr">
        <is>
          <t>in_stock</t>
        </is>
      </c>
      <c r="U371" s="0" t="n">
        <v>45</v>
      </c>
      <c r="V371" s="52" t="n">
        <v>2933.99</v>
      </c>
      <c r="W371" s="0" t="inlineStr">
        <is>
          <t>2026-08-18</t>
        </is>
      </c>
      <c r="X371" s="0" t="n">
        <v>32</v>
      </c>
      <c r="Y371" s="0" t="n">
        <v>2048</v>
      </c>
      <c r="Z371" s="0" t="n">
        <v>17.3</v>
      </c>
      <c r="AA371" s="0" t="inlineStr">
        <is>
          <t>No</t>
        </is>
      </c>
    </row>
    <row r="372" ht="15.75" customHeight="1" s="51">
      <c r="A372" s="38" t="inlineStr">
        <is>
          <t>PER-036-10</t>
        </is>
      </c>
      <c r="B372" s="38" t="inlineStr">
        <is>
          <t>Persephone</t>
        </is>
      </c>
      <c r="C372" s="38" t="inlineStr">
        <is>
          <t>Laptops</t>
        </is>
      </c>
      <c r="D372" s="38" t="inlineStr">
        <is>
          <t>Laptop</t>
        </is>
      </c>
      <c r="E372" s="39" t="inlineStr">
        <is>
          <t>Persephone Crest Air Rugged Laptop</t>
        </is>
      </c>
      <c r="F372" s="40" t="n">
        <v>3844.99</v>
      </c>
      <c r="G372" s="38" t="inlineStr">
        <is>
          <t>the Crest Air; Persephone Crest Air; Persephonee Crest Air; Crest Air laptop</t>
        </is>
      </c>
      <c r="H372" s="38" t="inlineStr">
        <is>
          <t>3 year limited, accidental damage</t>
        </is>
      </c>
      <c r="I372" s="38" t="inlineStr">
        <is>
          <t>FCC, CE, UL 62368-1, Energy Star, EPEAT Gold, MIL-STD-810H, IP65</t>
        </is>
      </c>
      <c r="J372" s="38" t="inlineStr">
        <is>
          <t>Intel Core Ultra 7 155H</t>
        </is>
      </c>
      <c r="K372" s="38" t="inlineStr">
        <is>
          <t>Intel Arc Graphics</t>
        </is>
      </c>
      <c r="L372" s="38" t="inlineStr">
        <is>
          <t>IPS sunlight-readable 1000 nits, touch</t>
        </is>
      </c>
      <c r="M372" s="38" t="inlineStr">
        <is>
          <t>1920x1080</t>
        </is>
      </c>
      <c r="N372" s="38" t="inlineStr">
        <is>
          <t>2x Thunderbolt 4 (USB-C), 1x USB-A 3.2, HDMI 2.1, microSD, 3.5mm audio, RJ-45 Ethernet, serial (RS-232), smart card reader</t>
        </is>
      </c>
      <c r="O372" s="38" t="inlineStr">
        <is>
          <t>Windows 11 Pro</t>
        </is>
      </c>
      <c r="P372" s="38" t="n">
        <v>11</v>
      </c>
      <c r="Q372" s="41" t="n">
        <v>2755</v>
      </c>
      <c r="R372" s="38" t="inlineStr">
        <is>
          <t>Longer battery than Rhea Strata Ultra Rugged Laptop [RHE-047-08] (11 vs 9 hrs); Lighter than Metis Drift Pro Rugged Laptop [MET-029-08] (2,755 g vs 2,836 g)</t>
        </is>
      </c>
      <c r="S372" s="38" t="inlineStr">
        <is>
          <t>fieldwork, outdoor, industrial</t>
        </is>
      </c>
      <c r="T372" s="0" t="inlineStr">
        <is>
          <t>in_stock</t>
        </is>
      </c>
      <c r="U372" s="0" t="n">
        <v>45</v>
      </c>
      <c r="V372" s="52" t="n">
        <v>4049.99</v>
      </c>
      <c r="W372" s="0" t="inlineStr">
        <is>
          <t>2026-08-04</t>
        </is>
      </c>
      <c r="X372" s="0" t="n">
        <v>64</v>
      </c>
      <c r="Y372" s="0" t="n">
        <v>4096</v>
      </c>
      <c r="Z372" s="0" t="n">
        <v>17.3</v>
      </c>
      <c r="AA372" s="0" t="inlineStr">
        <is>
          <t>Yes</t>
        </is>
      </c>
    </row>
    <row r="373" ht="15.75" customHeight="1" s="51">
      <c r="A373" s="38" t="inlineStr">
        <is>
          <t>HER-037-01</t>
        </is>
      </c>
      <c r="B373" s="38" t="inlineStr">
        <is>
          <t>Heracles</t>
        </is>
      </c>
      <c r="C373" s="38" t="inlineStr">
        <is>
          <t>Laptops</t>
        </is>
      </c>
      <c r="D373" s="38" t="inlineStr">
        <is>
          <t>Laptop</t>
        </is>
      </c>
      <c r="E373" s="39" t="inlineStr">
        <is>
          <t>Heracles Crest Ultra Chromebook</t>
        </is>
      </c>
      <c r="F373" s="40" t="n">
        <v>446.99</v>
      </c>
      <c r="G373" s="38" t="inlineStr">
        <is>
          <t>the Crest Ultra; Heracles Crest Ultra; Heracels Crest Ultra; Crest Ultra laptop</t>
        </is>
      </c>
      <c r="H373" s="38" t="inlineStr">
        <is>
          <t>1 year limited</t>
        </is>
      </c>
      <c r="I373" s="38" t="inlineStr">
        <is>
          <t>FCC, CE, UL 62368-1, Energy Star, EPEAT Gold</t>
        </is>
      </c>
      <c r="J373" s="38" t="inlineStr">
        <is>
          <t>MediaTek Kompanio 520</t>
        </is>
      </c>
      <c r="K373" s="38" t="inlineStr">
        <is>
          <t>Arm Mali-G52 MC2</t>
        </is>
      </c>
      <c r="L373" s="38" t="inlineStr">
        <is>
          <t>IPS, 60Hz</t>
        </is>
      </c>
      <c r="M373" s="38" t="inlineStr">
        <is>
          <t>1366x768</t>
        </is>
      </c>
      <c r="N373" s="38" t="inlineStr">
        <is>
          <t>2x USB-C 3.2, 1x USB-A 3.2, HDMI 1.4, 3.5mm audio</t>
        </is>
      </c>
      <c r="O373" s="38" t="inlineStr">
        <is>
          <t>ChromeOS</t>
        </is>
      </c>
      <c r="P373" s="38" t="n">
        <v>9</v>
      </c>
      <c r="Q373" s="41" t="n">
        <v>1392</v>
      </c>
      <c r="R373" s="38" t="inlineStr">
        <is>
          <t>Lower price than Priapus Volt Max Chromebook [PRI-042-03] ($446.99 vs $667.99); Lighter than Metis Blaze SE Chromebook [MET-029-02] (1,392 g vs 1,454 g)</t>
        </is>
      </c>
      <c r="S373" s="38" t="inlineStr">
        <is>
          <t>school, kids, budget</t>
        </is>
      </c>
      <c r="T373" s="0" t="inlineStr">
        <is>
          <t>in_stock</t>
        </is>
      </c>
      <c r="U373" s="0" t="n">
        <v>15</v>
      </c>
      <c r="V373" s="52" t="n">
        <v>499.99</v>
      </c>
      <c r="W373" s="0" t="inlineStr">
        <is>
          <t>2026-09-05</t>
        </is>
      </c>
      <c r="X373" s="0" t="n">
        <v>8</v>
      </c>
      <c r="Y373" s="0" t="n">
        <v>128</v>
      </c>
      <c r="Z373" s="0" t="n">
        <v>14</v>
      </c>
      <c r="AA373" s="0" t="inlineStr">
        <is>
          <t>No</t>
        </is>
      </c>
    </row>
    <row r="374" ht="15.75" customHeight="1" s="51">
      <c r="A374" s="38" t="inlineStr">
        <is>
          <t>HER-037-02</t>
        </is>
      </c>
      <c r="B374" s="38" t="inlineStr">
        <is>
          <t>Heracles</t>
        </is>
      </c>
      <c r="C374" s="38" t="inlineStr">
        <is>
          <t>Laptops</t>
        </is>
      </c>
      <c r="D374" s="38" t="inlineStr">
        <is>
          <t>Laptop</t>
        </is>
      </c>
      <c r="E374" s="39" t="inlineStr">
        <is>
          <t>Heracles Nova Max 15" Budget Laptop</t>
        </is>
      </c>
      <c r="F374" s="40" t="n">
        <v>593.99</v>
      </c>
      <c r="G374" s="38" t="inlineStr">
        <is>
          <t>the Nova Max; Heracles Nova Max; Herracles Nova Max; Nova Max laptop</t>
        </is>
      </c>
      <c r="H374" s="38" t="inlineStr">
        <is>
          <t>2 year limited</t>
        </is>
      </c>
      <c r="I374" s="38" t="inlineStr">
        <is>
          <t>FCC, CE, UL 62368-1, Energy Star, EPEAT Bronze</t>
        </is>
      </c>
      <c r="J374" s="38" t="inlineStr">
        <is>
          <t>Intel Core Ultra 5 125U</t>
        </is>
      </c>
      <c r="K374" s="38" t="inlineStr">
        <is>
          <t>Intel Graphics</t>
        </is>
      </c>
      <c r="L374" s="38" t="inlineStr">
        <is>
          <t>IPS, 60Hz</t>
        </is>
      </c>
      <c r="M374" s="38" t="inlineStr">
        <is>
          <t>1920x1080</t>
        </is>
      </c>
      <c r="N374" s="38" t="inlineStr">
        <is>
          <t>2x Thunderbolt 4 (USB-C), 1x USB-A 3.2, HDMI 2.1, microSD, 3.5mm audio</t>
        </is>
      </c>
      <c r="O374" s="38" t="inlineStr">
        <is>
          <t>Windows 11 Home</t>
        </is>
      </c>
      <c r="P374" s="38" t="n">
        <v>8</v>
      </c>
      <c r="Q374" s="41" t="n">
        <v>1708</v>
      </c>
      <c r="R374" s="38" t="inlineStr">
        <is>
          <t>Longer battery than Atropos Titan 15" Budget Laptop [ATR-035-01] (8 vs 6 hrs); Lighter than Thanatos Prism Max 15" Budget Laptop [THA-049-02] (1,708 g vs 1,712 g)</t>
        </is>
      </c>
      <c r="S374" s="38" t="inlineStr">
        <is>
          <t>budget, everyday, school</t>
        </is>
      </c>
      <c r="T374" s="0" t="inlineStr">
        <is>
          <t>in_stock</t>
        </is>
      </c>
      <c r="U374" s="0" t="n">
        <v>15</v>
      </c>
      <c r="V374" s="52" t="n">
        <v>641.99</v>
      </c>
      <c r="W374" s="0" t="inlineStr">
        <is>
          <t>2026-09-15</t>
        </is>
      </c>
      <c r="X374" s="0" t="n">
        <v>16</v>
      </c>
      <c r="Y374" s="0" t="n">
        <v>512</v>
      </c>
      <c r="Z374" s="0" t="n">
        <v>15.6</v>
      </c>
      <c r="AA374" s="0" t="inlineStr">
        <is>
          <t>No</t>
        </is>
      </c>
    </row>
    <row r="375" ht="15.75" customHeight="1" s="51">
      <c r="A375" s="38" t="inlineStr">
        <is>
          <t>HER-037-03</t>
        </is>
      </c>
      <c r="B375" s="38" t="inlineStr">
        <is>
          <t>Heracles</t>
        </is>
      </c>
      <c r="C375" s="38" t="inlineStr">
        <is>
          <t>Laptops</t>
        </is>
      </c>
      <c r="D375" s="38" t="inlineStr">
        <is>
          <t>Laptop</t>
        </is>
      </c>
      <c r="E375" s="39" t="inlineStr">
        <is>
          <t>Heracles Apex X Student Laptop</t>
        </is>
      </c>
      <c r="F375" s="40" t="n">
        <v>645.99</v>
      </c>
      <c r="G375" s="38" t="inlineStr">
        <is>
          <t>the Apex X; Heracles Apex X; Heeracles Apex X; Apex X laptop</t>
        </is>
      </c>
      <c r="H375" s="38" t="inlineStr">
        <is>
          <t>1 year limited</t>
        </is>
      </c>
      <c r="I375" s="38" t="inlineStr">
        <is>
          <t>FCC, CE, UL 62368-1, Energy Star, EPEAT Silver</t>
        </is>
      </c>
      <c r="J375" s="38" t="inlineStr">
        <is>
          <t>Intel Core Ultra 5 125U</t>
        </is>
      </c>
      <c r="K375" s="38" t="inlineStr">
        <is>
          <t>Intel Graphics</t>
        </is>
      </c>
      <c r="L375" s="38" t="inlineStr">
        <is>
          <t>IPS, 60Hz</t>
        </is>
      </c>
      <c r="M375" s="38" t="inlineStr">
        <is>
          <t>1920x1080</t>
        </is>
      </c>
      <c r="N375" s="38" t="inlineStr">
        <is>
          <t>2x Thunderbolt 4 (USB-C), 1x USB-A 3.2, HDMI 2.1, microSD, 3.5mm audio</t>
        </is>
      </c>
      <c r="O375" s="38" t="inlineStr">
        <is>
          <t>Windows 11 Home</t>
        </is>
      </c>
      <c r="P375" s="38" t="n">
        <v>12</v>
      </c>
      <c r="Q375" s="41" t="n">
        <v>1598</v>
      </c>
      <c r="R375" s="38" t="inlineStr">
        <is>
          <t>Longer battery than Momus Blaze Pro Student Laptop [MOM-043-03] (12 vs 7 hrs); Lower price than Aristaeus Pulse Student Laptop [ARI-027-03] ($645.99 vs $760.99)</t>
        </is>
      </c>
      <c r="S375" s="38" t="inlineStr">
        <is>
          <t>school, everyday, budget</t>
        </is>
      </c>
      <c r="T375" s="0" t="inlineStr">
        <is>
          <t>out_of_stock</t>
        </is>
      </c>
      <c r="U375" s="0" t="n">
        <v>15</v>
      </c>
      <c r="V375" s="52" t="n">
        <v>706.99</v>
      </c>
      <c r="W375" s="0" t="inlineStr">
        <is>
          <t>2026-08-15</t>
        </is>
      </c>
      <c r="X375" s="0" t="n">
        <v>16</v>
      </c>
      <c r="Y375" s="0" t="n">
        <v>512</v>
      </c>
      <c r="Z375" s="0" t="n">
        <v>14</v>
      </c>
      <c r="AA375" s="0" t="inlineStr">
        <is>
          <t>No</t>
        </is>
      </c>
    </row>
    <row r="376" ht="15.75" customHeight="1" s="51">
      <c r="A376" s="38" t="inlineStr">
        <is>
          <t>HER-037-04</t>
        </is>
      </c>
      <c r="B376" s="38" t="inlineStr">
        <is>
          <t>Heracles</t>
        </is>
      </c>
      <c r="C376" s="38" t="inlineStr">
        <is>
          <t>Laptops</t>
        </is>
      </c>
      <c r="D376" s="38" t="inlineStr">
        <is>
          <t>Laptop</t>
        </is>
      </c>
      <c r="E376" s="39" t="inlineStr">
        <is>
          <t>Heracles Apex SE 14" Business Laptop</t>
        </is>
      </c>
      <c r="F376" s="40" t="n">
        <v>1655.99</v>
      </c>
      <c r="G376" s="38" t="inlineStr">
        <is>
          <t>the Apex SE; Heracles Apex SE; Heeracles Apex SE; Apex SE laptop</t>
        </is>
      </c>
      <c r="H376" s="38" t="inlineStr">
        <is>
          <t>3 year limited, on-site service</t>
        </is>
      </c>
      <c r="I376" s="38" t="inlineStr">
        <is>
          <t>FCC, CE, UL 62368-1, EPEAT Silver, TCO Certified, MIL-STD-810H</t>
        </is>
      </c>
      <c r="J376" s="38" t="inlineStr">
        <is>
          <t>Qualcomm Snapdragon X Elite X1E-78-100</t>
        </is>
      </c>
      <c r="K376" s="38" t="inlineStr">
        <is>
          <t>Qualcomm Adreno X1-85</t>
        </is>
      </c>
      <c r="L376" s="38" t="inlineStr">
        <is>
          <t>OLED, 60Hz</t>
        </is>
      </c>
      <c r="M376" s="38" t="inlineStr">
        <is>
          <t>2880x1800</t>
        </is>
      </c>
      <c r="N376" s="38" t="inlineStr">
        <is>
          <t>2x USB4 (USB-C), 1x USB-A 3.2, 3.5mm audio</t>
        </is>
      </c>
      <c r="O376" s="38" t="inlineStr">
        <is>
          <t>Windows 11 Pro</t>
        </is>
      </c>
      <c r="P376" s="38" t="n">
        <v>18</v>
      </c>
      <c r="Q376" s="41" t="n">
        <v>1345</v>
      </c>
      <c r="R376" s="38" t="inlineStr">
        <is>
          <t>Lighter than Demeter Prism SE 14" Business Laptop [DEM-028-05] (1,345 g vs 1,364 g); Longer battery than Aeolus Apex Air 14" Business Laptop [AEO-031-05] (18 vs 16 hrs)</t>
        </is>
      </c>
      <c r="S376" s="38" t="inlineStr">
        <is>
          <t>work, travel, remote meetings</t>
        </is>
      </c>
      <c r="T376" s="0" t="inlineStr">
        <is>
          <t>in_stock</t>
        </is>
      </c>
      <c r="U376" s="0" t="n">
        <v>15</v>
      </c>
      <c r="V376" s="52" t="n">
        <v>1751.99</v>
      </c>
      <c r="W376" s="0" t="inlineStr">
        <is>
          <t>2026-09-02</t>
        </is>
      </c>
      <c r="X376" s="0" t="n">
        <v>16</v>
      </c>
      <c r="Y376" s="0" t="n">
        <v>1024</v>
      </c>
      <c r="Z376" s="0" t="n">
        <v>14</v>
      </c>
      <c r="AA376" s="0" t="inlineStr">
        <is>
          <t>No</t>
        </is>
      </c>
    </row>
    <row r="377" ht="15.75" customHeight="1" s="51">
      <c r="A377" s="38" t="inlineStr">
        <is>
          <t>HER-037-05</t>
        </is>
      </c>
      <c r="B377" s="38" t="inlineStr">
        <is>
          <t>Heracles</t>
        </is>
      </c>
      <c r="C377" s="38" t="inlineStr">
        <is>
          <t>Laptops</t>
        </is>
      </c>
      <c r="D377" s="38" t="inlineStr">
        <is>
          <t>Laptop</t>
        </is>
      </c>
      <c r="E377" s="39" t="inlineStr">
        <is>
          <t>Heracles Vibe Lite 17" Gaming Laptop</t>
        </is>
      </c>
      <c r="F377" s="40" t="n">
        <v>1713.99</v>
      </c>
      <c r="G377" s="38" t="inlineStr">
        <is>
          <t>the Vibe Lite; Heracles Vibe Lite; Heeracles Vibe Lite; Vibe Lite laptop</t>
        </is>
      </c>
      <c r="H377" s="38" t="inlineStr">
        <is>
          <t>1 year limited</t>
        </is>
      </c>
      <c r="I377" s="38" t="inlineStr">
        <is>
          <t>FCC, CE, UL 62368-1, Energy Star, EPEAT Gold</t>
        </is>
      </c>
      <c r="J377" s="38" t="inlineStr">
        <is>
          <t>AMD Ryzen 9 7945HX</t>
        </is>
      </c>
      <c r="K377" s="38" t="inlineStr">
        <is>
          <t>NVIDIA GeForce RTX 4070 8GB Laptop GPU</t>
        </is>
      </c>
      <c r="L377" s="38" t="inlineStr">
        <is>
          <t>IPS, 240Hz</t>
        </is>
      </c>
      <c r="M377" s="38" t="inlineStr">
        <is>
          <t>2560x1600</t>
        </is>
      </c>
      <c r="N377" s="38" t="inlineStr">
        <is>
          <t>1x USB4, 3x USB-A 3.2, HDMI 2.1, RJ-45 Ethernet, 3.5mm audio</t>
        </is>
      </c>
      <c r="O377" s="38" t="inlineStr">
        <is>
          <t>Windows 11 Home</t>
        </is>
      </c>
      <c r="P377" s="38" t="n">
        <v>4</v>
      </c>
      <c r="Q377" s="41" t="n">
        <v>2824</v>
      </c>
      <c r="R377" s="38" t="inlineStr">
        <is>
          <t>Lower price than Polyhymnia Echo Pro 17" Gaming Laptop [POL-041-07] ($1,713.99 vs $2,204.99); Longer battery than Persephone Lumen Pro 17" Gaming Laptop [PER-036-09] (4 vs 3 hrs)</t>
        </is>
      </c>
      <c r="S377" s="38" t="inlineStr">
        <is>
          <t>gaming, streaming, content creation</t>
        </is>
      </c>
      <c r="T377" s="0" t="inlineStr">
        <is>
          <t>out_of_stock</t>
        </is>
      </c>
      <c r="U377" s="0" t="n">
        <v>15</v>
      </c>
      <c r="V377" s="52" t="n">
        <v>1907.99</v>
      </c>
      <c r="W377" s="0" t="inlineStr">
        <is>
          <t>2026-09-09</t>
        </is>
      </c>
      <c r="X377" s="0" t="n">
        <v>32</v>
      </c>
      <c r="Y377" s="0" t="n">
        <v>1024</v>
      </c>
      <c r="Z377" s="0" t="n">
        <v>17.3</v>
      </c>
      <c r="AA377" s="0" t="inlineStr">
        <is>
          <t>No</t>
        </is>
      </c>
    </row>
    <row r="378" ht="15.75" customHeight="1" s="51">
      <c r="A378" s="38" t="inlineStr">
        <is>
          <t>HER-037-06</t>
        </is>
      </c>
      <c r="B378" s="38" t="inlineStr">
        <is>
          <t>Heracles</t>
        </is>
      </c>
      <c r="C378" s="38" t="inlineStr">
        <is>
          <t>Laptops</t>
        </is>
      </c>
      <c r="D378" s="38" t="inlineStr">
        <is>
          <t>Laptop</t>
        </is>
      </c>
      <c r="E378" s="39" t="inlineStr">
        <is>
          <t>Heracles Orbit Max 13" Ultrabook</t>
        </is>
      </c>
      <c r="F378" s="40" t="n">
        <v>1794.99</v>
      </c>
      <c r="G378" s="38" t="inlineStr">
        <is>
          <t>the Orbit Max; Heracles Orbit Max; Herakles Orbit Max; Orbit Max laptop</t>
        </is>
      </c>
      <c r="H378" s="38" t="inlineStr">
        <is>
          <t>2 year limited</t>
        </is>
      </c>
      <c r="I378" s="38" t="inlineStr">
        <is>
          <t>FCC, CE, UL 62368-1, Energy Star, EPEAT Bronze</t>
        </is>
      </c>
      <c r="J378" s="38" t="inlineStr">
        <is>
          <t>AMD Ryzen AI 9 HX 370</t>
        </is>
      </c>
      <c r="K378" s="38" t="inlineStr">
        <is>
          <t>AMD Radeon 890M</t>
        </is>
      </c>
      <c r="L378" s="38" t="inlineStr">
        <is>
          <t>OLED, 90Hz</t>
        </is>
      </c>
      <c r="M378" s="38" t="inlineStr">
        <is>
          <t>2880x1800</t>
        </is>
      </c>
      <c r="N378" s="38" t="inlineStr">
        <is>
          <t>2x USB4 (USB-C), 2x USB-A 3.2, HDMI 2.1, SD card, 3.5mm audio</t>
        </is>
      </c>
      <c r="O378" s="38" t="inlineStr">
        <is>
          <t>Windows 11 Home</t>
        </is>
      </c>
      <c r="P378" s="38" t="n">
        <v>14</v>
      </c>
      <c r="Q378" s="41" t="n">
        <v>1191</v>
      </c>
      <c r="R378" s="38" t="inlineStr">
        <is>
          <t>Lighter than Chronos Core Max 13" Ultrabook [CHR-050-02] (1,191 g vs 1,240 g); Lower price than Homonoia Lumen 13" Ultrabook [HOM-033-04] ($1,794.99 vs $1,849.99)</t>
        </is>
      </c>
      <c r="S378" s="38" t="inlineStr">
        <is>
          <t>travel, school, work</t>
        </is>
      </c>
      <c r="T378" s="0" t="inlineStr">
        <is>
          <t>out_of_stock</t>
        </is>
      </c>
      <c r="U378" s="0" t="n">
        <v>15</v>
      </c>
      <c r="V378" s="52" t="n">
        <v>1948.99</v>
      </c>
      <c r="W378" s="0" t="inlineStr">
        <is>
          <t>2026-08-23</t>
        </is>
      </c>
      <c r="X378" s="0" t="n">
        <v>16</v>
      </c>
      <c r="Y378" s="0" t="n">
        <v>1024</v>
      </c>
      <c r="Z378" s="0" t="n">
        <v>13.3</v>
      </c>
      <c r="AA378" s="0" t="inlineStr">
        <is>
          <t>No</t>
        </is>
      </c>
    </row>
    <row r="379" ht="15.75" customHeight="1" s="51">
      <c r="A379" s="38" t="inlineStr">
        <is>
          <t>HER-037-07</t>
        </is>
      </c>
      <c r="B379" s="38" t="inlineStr">
        <is>
          <t>Heracles</t>
        </is>
      </c>
      <c r="C379" s="38" t="inlineStr">
        <is>
          <t>Laptops</t>
        </is>
      </c>
      <c r="D379" s="38" t="inlineStr">
        <is>
          <t>Laptop</t>
        </is>
      </c>
      <c r="E379" s="39" t="inlineStr">
        <is>
          <t>Heracles Core Pro 15" Gaming Laptop</t>
        </is>
      </c>
      <c r="F379" s="40" t="n">
        <v>1846.99</v>
      </c>
      <c r="G379" s="38" t="inlineStr">
        <is>
          <t>the Core Pro; Heracles Core Pro; Heracle Core Pro; Core Pro laptop</t>
        </is>
      </c>
      <c r="H379" s="38" t="inlineStr">
        <is>
          <t>1 year limited</t>
        </is>
      </c>
      <c r="I379" s="38" t="inlineStr">
        <is>
          <t>FCC, CE, UL 62368-1, Energy Star, EPEAT Silver</t>
        </is>
      </c>
      <c r="J379" s="38" t="inlineStr">
        <is>
          <t>Intel Core Ultra 7 155H</t>
        </is>
      </c>
      <c r="K379" s="38" t="inlineStr">
        <is>
          <t>NVIDIA GeForce RTX 4060 8GB Laptop GPU</t>
        </is>
      </c>
      <c r="L379" s="38" t="inlineStr">
        <is>
          <t>IPS, 240Hz</t>
        </is>
      </c>
      <c r="M379" s="38" t="inlineStr">
        <is>
          <t>2560x1600</t>
        </is>
      </c>
      <c r="N379" s="38" t="inlineStr">
        <is>
          <t>1x Thunderbolt 4, 3x USB-A 3.2, HDMI 2.1, RJ-45 Ethernet, 3.5mm audio</t>
        </is>
      </c>
      <c r="O379" s="38" t="inlineStr">
        <is>
          <t>Windows 11 Home</t>
        </is>
      </c>
      <c r="P379" s="38" t="n">
        <v>7</v>
      </c>
      <c r="Q379" s="41" t="n">
        <v>2138</v>
      </c>
      <c r="R379" s="38" t="inlineStr">
        <is>
          <t>Lighter than Atropos Echo Max 15" Gaming Laptop [ATR-035-08] (2,138 g vs 2,431 g); Longer battery than Boreas Titan 15" Gaming Laptop [BOR-044-05] (7 vs 4 hrs)</t>
        </is>
      </c>
      <c r="S379" s="38" t="inlineStr">
        <is>
          <t>gaming, streaming</t>
        </is>
      </c>
      <c r="T379" s="0" t="inlineStr">
        <is>
          <t>low_stock</t>
        </is>
      </c>
      <c r="U379" s="0" t="n">
        <v>15</v>
      </c>
      <c r="V379" s="52" t="n">
        <v>2008.99</v>
      </c>
      <c r="W379" s="0" t="inlineStr">
        <is>
          <t>2026-09-18</t>
        </is>
      </c>
      <c r="X379" s="0" t="n">
        <v>32</v>
      </c>
      <c r="Y379" s="0" t="n">
        <v>1024</v>
      </c>
      <c r="Z379" s="0" t="n">
        <v>15.6</v>
      </c>
      <c r="AA379" s="0" t="inlineStr">
        <is>
          <t>No</t>
        </is>
      </c>
    </row>
    <row r="380" ht="15.75" customHeight="1" s="51">
      <c r="A380" s="38" t="inlineStr">
        <is>
          <t>HER-037-08</t>
        </is>
      </c>
      <c r="B380" s="38" t="inlineStr">
        <is>
          <t>Heracles</t>
        </is>
      </c>
      <c r="C380" s="38" t="inlineStr">
        <is>
          <t>Laptops</t>
        </is>
      </c>
      <c r="D380" s="38" t="inlineStr">
        <is>
          <t>Laptop</t>
        </is>
      </c>
      <c r="E380" s="39" t="inlineStr">
        <is>
          <t>Heracles Flux Max Rugged Laptop</t>
        </is>
      </c>
      <c r="F380" s="40" t="n">
        <v>3058.99</v>
      </c>
      <c r="G380" s="38" t="inlineStr">
        <is>
          <t>the Flux Max; Heracles Flux Max; Heraclles Flux Max; Flux Max laptop</t>
        </is>
      </c>
      <c r="H380" s="38" t="inlineStr">
        <is>
          <t>3 year limited, accidental damage</t>
        </is>
      </c>
      <c r="I380" s="38" t="inlineStr">
        <is>
          <t>FCC, CE, UL 62368-1, Energy Star, EPEAT Bronze, MIL-STD-810H, IP65</t>
        </is>
      </c>
      <c r="J380" s="38" t="inlineStr">
        <is>
          <t>Qualcomm Snapdragon X Elite X1E-78-100</t>
        </is>
      </c>
      <c r="K380" s="38" t="inlineStr">
        <is>
          <t>Qualcomm Adreno X1-85</t>
        </is>
      </c>
      <c r="L380" s="38" t="inlineStr">
        <is>
          <t>IPS sunlight-readable 1000 nits, touch</t>
        </is>
      </c>
      <c r="M380" s="38" t="inlineStr">
        <is>
          <t>1920x1080</t>
        </is>
      </c>
      <c r="N380" s="38" t="inlineStr">
        <is>
          <t>2x USB4 (USB-C), 1x USB-A 3.2, 3.5mm audio, RJ-45 Ethernet, serial (RS-232), smart card reader</t>
        </is>
      </c>
      <c r="O380" s="38" t="inlineStr">
        <is>
          <t>Windows 11 Pro</t>
        </is>
      </c>
      <c r="P380" s="38" t="n">
        <v>14</v>
      </c>
      <c r="Q380" s="41" t="n">
        <v>2440</v>
      </c>
      <c r="R380" s="38" t="inlineStr">
        <is>
          <t>Lighter than Metis Drift Pro Rugged Laptop [MET-029-08] (2,440 g vs 2,836 g); Longer battery than Rhea Strata Ultra Rugged Laptop [RHE-047-08] (14 vs 9 hrs)</t>
        </is>
      </c>
      <c r="S380" s="38" t="inlineStr">
        <is>
          <t>fieldwork, outdoor, industrial</t>
        </is>
      </c>
      <c r="T380" s="0" t="inlineStr">
        <is>
          <t>in_stock</t>
        </is>
      </c>
      <c r="U380" s="0" t="n">
        <v>15</v>
      </c>
      <c r="V380" s="52" t="n">
        <v>3176.99</v>
      </c>
      <c r="W380" s="0" t="inlineStr">
        <is>
          <t>2026-08-24</t>
        </is>
      </c>
      <c r="X380" s="0" t="n">
        <v>64</v>
      </c>
      <c r="Y380" s="0" t="n">
        <v>2048</v>
      </c>
      <c r="Z380" s="0" t="n">
        <v>16</v>
      </c>
      <c r="AA380" s="0" t="inlineStr">
        <is>
          <t>Yes</t>
        </is>
      </c>
    </row>
    <row r="381" ht="15.75" customHeight="1" s="51">
      <c r="A381" s="38" t="inlineStr">
        <is>
          <t>HER-037-09</t>
        </is>
      </c>
      <c r="B381" s="38" t="inlineStr">
        <is>
          <t>Heracles</t>
        </is>
      </c>
      <c r="C381" s="38" t="inlineStr">
        <is>
          <t>Laptops</t>
        </is>
      </c>
      <c r="D381" s="38" t="inlineStr">
        <is>
          <t>Laptop</t>
        </is>
      </c>
      <c r="E381" s="39" t="inlineStr">
        <is>
          <t>Heracles Flux Plus 16" Creator Laptop</t>
        </is>
      </c>
      <c r="F381" s="40" t="n">
        <v>3496.99</v>
      </c>
      <c r="G381" s="38" t="inlineStr">
        <is>
          <t>the Flux Plus; Heracles Flux Plus; Heracle Flux Plus; Flux Plus laptop</t>
        </is>
      </c>
      <c r="H381" s="38" t="inlineStr">
        <is>
          <t>2 year limited</t>
        </is>
      </c>
      <c r="I381" s="38" t="inlineStr">
        <is>
          <t>FCC, CE, UL 62368-1, Energy Star, EPEAT Silver</t>
        </is>
      </c>
      <c r="J381" s="38" t="inlineStr">
        <is>
          <t>Intel Core Ultra 7 155H</t>
        </is>
      </c>
      <c r="K381" s="38" t="inlineStr">
        <is>
          <t>NVIDIA GeForce RTX 4080 12GB Laptop GPU</t>
        </is>
      </c>
      <c r="L381" s="38" t="inlineStr">
        <is>
          <t>Mini-LED, 165Hz</t>
        </is>
      </c>
      <c r="M381" s="38" t="inlineStr">
        <is>
          <t>3840x2400</t>
        </is>
      </c>
      <c r="N381" s="38" t="inlineStr">
        <is>
          <t>2x Thunderbolt 4 (USB-C), 1x USB-A 3.2, HDMI 2.1, microSD, 3.5mm audio</t>
        </is>
      </c>
      <c r="O381" s="38" t="inlineStr">
        <is>
          <t>Windows 11 Home</t>
        </is>
      </c>
      <c r="P381" s="38" t="n">
        <v>6</v>
      </c>
      <c r="Q381" s="41" t="n">
        <v>2282</v>
      </c>
      <c r="R381" s="38" t="inlineStr">
        <is>
          <t>None verified</t>
        </is>
      </c>
      <c r="S381" s="38" t="inlineStr">
        <is>
          <t>video editing, photo editing, content creation</t>
        </is>
      </c>
      <c r="T381" s="0" t="inlineStr">
        <is>
          <t>in_stock</t>
        </is>
      </c>
      <c r="U381" s="0" t="n">
        <v>15</v>
      </c>
      <c r="V381" s="52" t="n">
        <v>3642.99</v>
      </c>
      <c r="W381" s="0" t="inlineStr">
        <is>
          <t>2026-08-12</t>
        </is>
      </c>
      <c r="X381" s="0" t="n">
        <v>64</v>
      </c>
      <c r="Y381" s="0" t="n">
        <v>2048</v>
      </c>
      <c r="Z381" s="0" t="n">
        <v>16</v>
      </c>
      <c r="AA381" s="0" t="inlineStr">
        <is>
          <t>No</t>
        </is>
      </c>
    </row>
    <row r="382" ht="15.75" customHeight="1" s="51">
      <c r="A382" s="38" t="inlineStr">
        <is>
          <t>HER-037-10</t>
        </is>
      </c>
      <c r="B382" s="38" t="inlineStr">
        <is>
          <t>Heracles</t>
        </is>
      </c>
      <c r="C382" s="38" t="inlineStr">
        <is>
          <t>Laptops</t>
        </is>
      </c>
      <c r="D382" s="38" t="inlineStr">
        <is>
          <t>Laptop</t>
        </is>
      </c>
      <c r="E382" s="39" t="inlineStr">
        <is>
          <t>Heracles Crest Mobile Workstation</t>
        </is>
      </c>
      <c r="F382" s="40" t="n">
        <v>4888.99</v>
      </c>
      <c r="G382" s="38" t="inlineStr">
        <is>
          <t>the Crest; Heracles Crest; Heraclles Crest; Crest laptop</t>
        </is>
      </c>
      <c r="H382" s="38" t="inlineStr">
        <is>
          <t>3 year limited, on-site service</t>
        </is>
      </c>
      <c r="I382" s="38" t="inlineStr">
        <is>
          <t>FCC, CE, UL 62368-1, EPEAT Bronze, TCO Certified, MIL-STD-810H</t>
        </is>
      </c>
      <c r="J382" s="38" t="inlineStr">
        <is>
          <t>AMD Ryzen 9 7945HX</t>
        </is>
      </c>
      <c r="K382" s="38" t="inlineStr">
        <is>
          <t>NVIDIA RTX 5000 Ada 16GB Laptop GPU</t>
        </is>
      </c>
      <c r="L382" s="38" t="inlineStr">
        <is>
          <t>OLED, 120Hz</t>
        </is>
      </c>
      <c r="M382" s="38" t="inlineStr">
        <is>
          <t>3840x2400</t>
        </is>
      </c>
      <c r="N382" s="38" t="inlineStr">
        <is>
          <t>2x USB4 (USB-C), 2x USB-A 3.2, HDMI 2.1, SD card, 3.5mm audio</t>
        </is>
      </c>
      <c r="O382" s="38" t="inlineStr">
        <is>
          <t>Windows 11 Pro</t>
        </is>
      </c>
      <c r="P382" s="38" t="n">
        <v>8</v>
      </c>
      <c r="Q382" s="41" t="n">
        <v>2382</v>
      </c>
      <c r="R382" s="38" t="inlineStr">
        <is>
          <t>Longer battery than Aeolus Drift Mobile Workstation [AEO-031-10] (8 vs 6 hrs); Lighter than Thalia Nimbus Plus Mobile Workstation [THA-030-10] (2,382 g vs 2,895 g)</t>
        </is>
      </c>
      <c r="S382" s="38" t="inlineStr">
        <is>
          <t>engineering, 3D rendering, data science</t>
        </is>
      </c>
      <c r="T382" s="0" t="inlineStr">
        <is>
          <t>in_stock</t>
        </is>
      </c>
      <c r="U382" s="0" t="n">
        <v>15</v>
      </c>
      <c r="V382" s="52" t="n">
        <v>5187.99</v>
      </c>
      <c r="W382" s="0" t="inlineStr">
        <is>
          <t>2026-09-24</t>
        </is>
      </c>
      <c r="X382" s="0" t="n">
        <v>64</v>
      </c>
      <c r="Y382" s="0" t="n">
        <v>4096</v>
      </c>
      <c r="Z382" s="0" t="n">
        <v>16</v>
      </c>
      <c r="AA382" s="0" t="inlineStr">
        <is>
          <t>No</t>
        </is>
      </c>
    </row>
    <row r="383" ht="15.75" customHeight="1" s="51">
      <c r="A383" s="38" t="inlineStr">
        <is>
          <t>AUX-038-01</t>
        </is>
      </c>
      <c r="B383" s="38" t="inlineStr">
        <is>
          <t>Auxo</t>
        </is>
      </c>
      <c r="C383" s="38" t="inlineStr">
        <is>
          <t>Laptops</t>
        </is>
      </c>
      <c r="D383" s="38" t="inlineStr">
        <is>
          <t>Laptop</t>
        </is>
      </c>
      <c r="E383" s="39" t="inlineStr">
        <is>
          <t>Auxo Aria Plus Student Laptop</t>
        </is>
      </c>
      <c r="F383" s="40" t="n">
        <v>584.99</v>
      </c>
      <c r="G383" s="38" t="inlineStr">
        <is>
          <t>the Aria Plus; Auxo Aria Plus; Auxxo Aria Plus; Aria Plus laptop</t>
        </is>
      </c>
      <c r="H383" s="38" t="inlineStr">
        <is>
          <t>1 year limited</t>
        </is>
      </c>
      <c r="I383" s="38" t="inlineStr">
        <is>
          <t>FCC, CE, UL 62368-1, EPEAT Silver</t>
        </is>
      </c>
      <c r="J383" s="38" t="inlineStr">
        <is>
          <t>Intel Core Ultra 5 125U</t>
        </is>
      </c>
      <c r="K383" s="38" t="inlineStr">
        <is>
          <t>Intel Graphics</t>
        </is>
      </c>
      <c r="L383" s="38" t="inlineStr">
        <is>
          <t>IPS, 60Hz</t>
        </is>
      </c>
      <c r="M383" s="38" t="inlineStr">
        <is>
          <t>1920x1080</t>
        </is>
      </c>
      <c r="N383" s="38" t="inlineStr">
        <is>
          <t>2x Thunderbolt 4 (USB-C), 1x USB-A 3.2, HDMI 2.1, microSD, 3.5mm audio</t>
        </is>
      </c>
      <c r="O383" s="38" t="inlineStr">
        <is>
          <t>Windows 11 Home</t>
        </is>
      </c>
      <c r="P383" s="38" t="n">
        <v>7</v>
      </c>
      <c r="Q383" s="41" t="n">
        <v>1537</v>
      </c>
      <c r="R383" s="38" t="inlineStr">
        <is>
          <t>Lighter than Priapus Drift Plus Student Laptop [PRI-042-01] (1,537 g vs 1,570 g); Lower price than Heracles Apex X Student Laptop [HER-037-03] ($584.99 vs $645.99)</t>
        </is>
      </c>
      <c r="S383" s="38" t="inlineStr">
        <is>
          <t>school, everyday, budget</t>
        </is>
      </c>
      <c r="T383" s="0" t="inlineStr">
        <is>
          <t>in_stock</t>
        </is>
      </c>
      <c r="U383" s="0" t="n">
        <v>15</v>
      </c>
      <c r="V383" s="52" t="n">
        <v>648.99</v>
      </c>
      <c r="W383" s="0" t="inlineStr">
        <is>
          <t>2026-08-29</t>
        </is>
      </c>
      <c r="X383" s="0" t="n">
        <v>16</v>
      </c>
      <c r="Y383" s="0" t="n">
        <v>512</v>
      </c>
      <c r="Z383" s="0" t="n">
        <v>14</v>
      </c>
      <c r="AA383" s="0" t="inlineStr">
        <is>
          <t>No</t>
        </is>
      </c>
    </row>
    <row r="384" ht="15.75" customHeight="1" s="51">
      <c r="A384" s="38" t="inlineStr">
        <is>
          <t>AUX-038-02</t>
        </is>
      </c>
      <c r="B384" s="38" t="inlineStr">
        <is>
          <t>Auxo</t>
        </is>
      </c>
      <c r="C384" s="38" t="inlineStr">
        <is>
          <t>Laptops</t>
        </is>
      </c>
      <c r="D384" s="38" t="inlineStr">
        <is>
          <t>Laptop</t>
        </is>
      </c>
      <c r="E384" s="39" t="inlineStr">
        <is>
          <t>Auxo Nimbus 15" Ultrabook</t>
        </is>
      </c>
      <c r="F384" s="40" t="n">
        <v>1145.99</v>
      </c>
      <c r="G384" s="38" t="inlineStr">
        <is>
          <t>the Nimbus; Auxo Nimbus; Auuxo Nimbus; Nimbus laptop</t>
        </is>
      </c>
      <c r="H384" s="38" t="inlineStr">
        <is>
          <t>1 year limited</t>
        </is>
      </c>
      <c r="I384" s="38" t="inlineStr">
        <is>
          <t>FCC, CE, UL 62368-1, Energy Star, EPEAT Silver</t>
        </is>
      </c>
      <c r="J384" s="38" t="inlineStr">
        <is>
          <t>Qualcomm Snapdragon X Plus X1P-42-100</t>
        </is>
      </c>
      <c r="K384" s="38" t="inlineStr">
        <is>
          <t>Qualcomm Adreno X1-45</t>
        </is>
      </c>
      <c r="L384" s="38" t="inlineStr">
        <is>
          <t>IPS, 60Hz</t>
        </is>
      </c>
      <c r="M384" s="38" t="inlineStr">
        <is>
          <t>1920x1200</t>
        </is>
      </c>
      <c r="N384" s="38" t="inlineStr">
        <is>
          <t>2x USB4 (USB-C), 1x USB-A 3.2, 3.5mm audio</t>
        </is>
      </c>
      <c r="O384" s="38" t="inlineStr">
        <is>
          <t>Windows 11 Home</t>
        </is>
      </c>
      <c r="P384" s="38" t="n">
        <v>18</v>
      </c>
      <c r="Q384" s="41" t="n">
        <v>1487</v>
      </c>
      <c r="R384" s="38" t="inlineStr">
        <is>
          <t>Lower price than Boreas Nova Lite 15" Ultrabook [BOR-044-04] ($1,145.99 vs $1,581.99); Lighter than Aristaeus Volt Plus 15" Ultrabook [ARI-027-05] (1,487 g vs 1,720 g)</t>
        </is>
      </c>
      <c r="S384" s="38" t="inlineStr">
        <is>
          <t>work, school, everyday</t>
        </is>
      </c>
      <c r="T384" s="0" t="inlineStr">
        <is>
          <t>in_stock</t>
        </is>
      </c>
      <c r="U384" s="0" t="n">
        <v>15</v>
      </c>
      <c r="V384" s="52" t="n">
        <v>1272.99</v>
      </c>
      <c r="W384" s="0" t="inlineStr">
        <is>
          <t>2026-08-31</t>
        </is>
      </c>
      <c r="X384" s="0" t="n">
        <v>16</v>
      </c>
      <c r="Y384" s="0" t="n">
        <v>1024</v>
      </c>
      <c r="Z384" s="0" t="n">
        <v>15.6</v>
      </c>
      <c r="AA384" s="0" t="inlineStr">
        <is>
          <t>No</t>
        </is>
      </c>
    </row>
    <row r="385" ht="15.75" customHeight="1" s="51">
      <c r="A385" s="38" t="inlineStr">
        <is>
          <t>AUX-038-03</t>
        </is>
      </c>
      <c r="B385" s="38" t="inlineStr">
        <is>
          <t>Auxo</t>
        </is>
      </c>
      <c r="C385" s="38" t="inlineStr">
        <is>
          <t>Laptops</t>
        </is>
      </c>
      <c r="D385" s="38" t="inlineStr">
        <is>
          <t>Laptop</t>
        </is>
      </c>
      <c r="E385" s="39" t="inlineStr">
        <is>
          <t>Auxo Prism Plus 13" Ultrabook</t>
        </is>
      </c>
      <c r="F385" s="40" t="n">
        <v>1321.99</v>
      </c>
      <c r="G385" s="38" t="inlineStr">
        <is>
          <t>the Prism Plus; Auxo Prism Plus; Auuxo Prism Plus; Prism Plus laptop</t>
        </is>
      </c>
      <c r="H385" s="38" t="inlineStr">
        <is>
          <t>1 year limited</t>
        </is>
      </c>
      <c r="I385" s="38" t="inlineStr">
        <is>
          <t>FCC, CE, UL 62368-1, EPEAT Gold</t>
        </is>
      </c>
      <c r="J385" s="38" t="inlineStr">
        <is>
          <t>AMD Ryzen 5 8640HS</t>
        </is>
      </c>
      <c r="K385" s="38" t="inlineStr">
        <is>
          <t>AMD Radeon 760M</t>
        </is>
      </c>
      <c r="L385" s="38" t="inlineStr">
        <is>
          <t>IPS, 60Hz</t>
        </is>
      </c>
      <c r="M385" s="38" t="inlineStr">
        <is>
          <t>1920x1200</t>
        </is>
      </c>
      <c r="N385" s="38" t="inlineStr">
        <is>
          <t>2x USB4 (USB-C), 2x USB-A 3.2, HDMI 2.1, SD card, 3.5mm audio</t>
        </is>
      </c>
      <c r="O385" s="38" t="inlineStr">
        <is>
          <t>Windows 11 Home</t>
        </is>
      </c>
      <c r="P385" s="38" t="n">
        <v>21</v>
      </c>
      <c r="Q385" s="41" t="n">
        <v>991</v>
      </c>
      <c r="R385" s="38" t="inlineStr">
        <is>
          <t>Lighter than Rhea Sable Lite 13" Ultrabook [RHE-047-05] (991 g vs 1,068 g); Lower price than Priapus Vibe X 13" Ultrabook [PRI-042-06] ($1,321.99 vs $1,600.99)</t>
        </is>
      </c>
      <c r="S385" s="38" t="inlineStr">
        <is>
          <t>travel, school, work</t>
        </is>
      </c>
      <c r="T385" s="0" t="inlineStr">
        <is>
          <t>low_stock</t>
        </is>
      </c>
      <c r="U385" s="0" t="n">
        <v>15</v>
      </c>
      <c r="V385" s="52" t="n">
        <v>1411.99</v>
      </c>
      <c r="W385" s="0" t="inlineStr">
        <is>
          <t>2026-09-24</t>
        </is>
      </c>
      <c r="X385" s="0" t="n">
        <v>16</v>
      </c>
      <c r="Y385" s="0" t="n">
        <v>1024</v>
      </c>
      <c r="Z385" s="0" t="n">
        <v>13.3</v>
      </c>
      <c r="AA385" s="0" t="inlineStr">
        <is>
          <t>No</t>
        </is>
      </c>
    </row>
    <row r="386" ht="15.75" customHeight="1" s="51">
      <c r="A386" s="38" t="inlineStr">
        <is>
          <t>AUX-038-04</t>
        </is>
      </c>
      <c r="B386" s="38" t="inlineStr">
        <is>
          <t>Auxo</t>
        </is>
      </c>
      <c r="C386" s="38" t="inlineStr">
        <is>
          <t>Laptops</t>
        </is>
      </c>
      <c r="D386" s="38" t="inlineStr">
        <is>
          <t>Laptop</t>
        </is>
      </c>
      <c r="E386" s="39" t="inlineStr">
        <is>
          <t>Auxo Strata Plus Rugged Laptop</t>
        </is>
      </c>
      <c r="F386" s="40" t="n">
        <v>1616.99</v>
      </c>
      <c r="G386" s="38" t="inlineStr">
        <is>
          <t>the Strata Plus; Auxo Strata Plus; Aux Strata Plus; Strata Plus laptop</t>
        </is>
      </c>
      <c r="H386" s="38" t="inlineStr">
        <is>
          <t>3 year limited, accidental damage</t>
        </is>
      </c>
      <c r="I386" s="38" t="inlineStr">
        <is>
          <t>FCC, CE, UL 62368-1, Energy Star, EPEAT Gold, MIL-STD-810H, IP65</t>
        </is>
      </c>
      <c r="J386" s="38" t="inlineStr">
        <is>
          <t>AMD Ryzen 5 8640HS</t>
        </is>
      </c>
      <c r="K386" s="38" t="inlineStr">
        <is>
          <t>AMD Radeon 760M</t>
        </is>
      </c>
      <c r="L386" s="38" t="inlineStr">
        <is>
          <t>IPS sunlight-readable 1000 nits, touch</t>
        </is>
      </c>
      <c r="M386" s="38" t="inlineStr">
        <is>
          <t>1920x1080</t>
        </is>
      </c>
      <c r="N386" s="38" t="inlineStr">
        <is>
          <t>2x USB-C 3.2, 1x USB-A 3.2, HDMI 1.4, 3.5mm audio, RJ-45 Ethernet, serial (RS-232), smart card reader</t>
        </is>
      </c>
      <c r="O386" s="38" t="inlineStr">
        <is>
          <t>Windows 11 Pro</t>
        </is>
      </c>
      <c r="P386" s="38" t="n">
        <v>13</v>
      </c>
      <c r="Q386" s="41" t="n">
        <v>2877</v>
      </c>
      <c r="R386" s="38" t="inlineStr">
        <is>
          <t>Lower price than Aristaeus Vertex Rugged Laptop [ARI-027-07] ($1,616.99 vs $1,668.99); Longer battery than Rhea Strata Ultra Rugged Laptop [RHE-047-08] (13 vs 9 hrs)</t>
        </is>
      </c>
      <c r="S386" s="38" t="inlineStr">
        <is>
          <t>fieldwork, outdoor, industrial</t>
        </is>
      </c>
      <c r="T386" s="0" t="inlineStr">
        <is>
          <t>in_stock</t>
        </is>
      </c>
      <c r="U386" s="0" t="n">
        <v>15</v>
      </c>
      <c r="V386" s="52" t="n">
        <v>1825.99</v>
      </c>
      <c r="W386" s="0" t="inlineStr">
        <is>
          <t>2026-08-12</t>
        </is>
      </c>
      <c r="X386" s="0" t="n">
        <v>16</v>
      </c>
      <c r="Y386" s="0" t="n">
        <v>1024</v>
      </c>
      <c r="Z386" s="0" t="n">
        <v>17.3</v>
      </c>
      <c r="AA386" s="0" t="inlineStr">
        <is>
          <t>Yes</t>
        </is>
      </c>
    </row>
    <row r="387" ht="15.75" customHeight="1" s="51">
      <c r="A387" s="38" t="inlineStr">
        <is>
          <t>AUX-038-05</t>
        </is>
      </c>
      <c r="B387" s="38" t="inlineStr">
        <is>
          <t>Auxo</t>
        </is>
      </c>
      <c r="C387" s="38" t="inlineStr">
        <is>
          <t>Laptops</t>
        </is>
      </c>
      <c r="D387" s="38" t="inlineStr">
        <is>
          <t>Laptop</t>
        </is>
      </c>
      <c r="E387" s="39" t="inlineStr">
        <is>
          <t>Auxo Vertex X 2-in-1 Convertible</t>
        </is>
      </c>
      <c r="F387" s="40" t="n">
        <v>1777.99</v>
      </c>
      <c r="G387" s="38" t="inlineStr">
        <is>
          <t>the Vertex X; Auxo Vertex X; Aux Vertex X; Vertex X laptop</t>
        </is>
      </c>
      <c r="H387" s="38" t="inlineStr">
        <is>
          <t>2 year limited</t>
        </is>
      </c>
      <c r="I387" s="38" t="inlineStr">
        <is>
          <t>FCC, CE, UL 62368-1, Energy Star, EPEAT Bronze</t>
        </is>
      </c>
      <c r="J387" s="38" t="inlineStr">
        <is>
          <t>AMD Ryzen AI 9 HX 370</t>
        </is>
      </c>
      <c r="K387" s="38" t="inlineStr">
        <is>
          <t>AMD Radeon 890M</t>
        </is>
      </c>
      <c r="L387" s="38" t="inlineStr">
        <is>
          <t>OLED touch, 60Hz</t>
        </is>
      </c>
      <c r="M387" s="38" t="inlineStr">
        <is>
          <t>2880x1800</t>
        </is>
      </c>
      <c r="N387" s="38" t="inlineStr">
        <is>
          <t>2x USB4 (USB-C), 2x USB-A 3.2, HDMI 2.1, SD card, 3.5mm audio</t>
        </is>
      </c>
      <c r="O387" s="38" t="inlineStr">
        <is>
          <t>Windows 11 Home</t>
        </is>
      </c>
      <c r="P387" s="38" t="n">
        <v>13</v>
      </c>
      <c r="Q387" s="41" t="n">
        <v>1407</v>
      </c>
      <c r="R387" s="38" t="inlineStr">
        <is>
          <t>Longer battery than Rhea Echo Plus 2-in-1 Convertible [RHE-047-04] (13 vs 10 hrs); Lighter than Thanatos Core 2-in-1 Convertible [THA-049-05] (1,407 g vs 1,529 g)</t>
        </is>
      </c>
      <c r="S387" s="38" t="inlineStr">
        <is>
          <t>school, note-taking, travel</t>
        </is>
      </c>
      <c r="T387" s="0" t="inlineStr">
        <is>
          <t>in_stock</t>
        </is>
      </c>
      <c r="U387" s="0" t="n">
        <v>15</v>
      </c>
      <c r="V387" s="52" t="n">
        <v>2003.99</v>
      </c>
      <c r="W387" s="0" t="inlineStr">
        <is>
          <t>2026-09-22</t>
        </is>
      </c>
      <c r="X387" s="0" t="n">
        <v>16</v>
      </c>
      <c r="Y387" s="0" t="n">
        <v>1024</v>
      </c>
      <c r="Z387" s="0" t="n">
        <v>14</v>
      </c>
      <c r="AA387" s="0" t="inlineStr">
        <is>
          <t>Yes</t>
        </is>
      </c>
    </row>
    <row r="388" ht="15.75" customHeight="1" s="51">
      <c r="A388" s="38" t="inlineStr">
        <is>
          <t>AUX-038-06</t>
        </is>
      </c>
      <c r="B388" s="38" t="inlineStr">
        <is>
          <t>Auxo</t>
        </is>
      </c>
      <c r="C388" s="38" t="inlineStr">
        <is>
          <t>Laptops</t>
        </is>
      </c>
      <c r="D388" s="38" t="inlineStr">
        <is>
          <t>Laptop</t>
        </is>
      </c>
      <c r="E388" s="39" t="inlineStr">
        <is>
          <t>Auxo Pulse Ultra 15" Gaming Laptop</t>
        </is>
      </c>
      <c r="F388" s="40" t="n">
        <v>1891.99</v>
      </c>
      <c r="G388" s="38" t="inlineStr">
        <is>
          <t>the Pulse Ultra; Auxo Pulse Ultra; Auuxo Pulse Ultra; Pulse Ultra laptop</t>
        </is>
      </c>
      <c r="H388" s="38" t="inlineStr">
        <is>
          <t>1 year limited</t>
        </is>
      </c>
      <c r="I388" s="38" t="inlineStr">
        <is>
          <t>FCC, CE, UL 62368-1, Energy Star, EPEAT Bronze</t>
        </is>
      </c>
      <c r="J388" s="38" t="inlineStr">
        <is>
          <t>Intel Core Ultra 7 155H</t>
        </is>
      </c>
      <c r="K388" s="38" t="inlineStr">
        <is>
          <t>NVIDIA GeForce RTX 4060 8GB Laptop GPU</t>
        </is>
      </c>
      <c r="L388" s="38" t="inlineStr">
        <is>
          <t>IPS, 240Hz</t>
        </is>
      </c>
      <c r="M388" s="38" t="inlineStr">
        <is>
          <t>2560x1600</t>
        </is>
      </c>
      <c r="N388" s="38" t="inlineStr">
        <is>
          <t>1x Thunderbolt 4, 3x USB-A 3.2, HDMI 2.1, RJ-45 Ethernet, 3.5mm audio</t>
        </is>
      </c>
      <c r="O388" s="38" t="inlineStr">
        <is>
          <t>Windows 11 Home</t>
        </is>
      </c>
      <c r="P388" s="38" t="n">
        <v>8</v>
      </c>
      <c r="Q388" s="41" t="n">
        <v>2184</v>
      </c>
      <c r="R388" s="38" t="inlineStr">
        <is>
          <t>Lower price than Homonoia Zen 15" Gaming Laptop [HOM-033-08] ($1,891.99 vs $2,203.99); Longer battery than Demeter Core Ultra 15" Gaming Laptop [DEM-028-06] (8 vs 6 hrs)</t>
        </is>
      </c>
      <c r="S388" s="38" t="inlineStr">
        <is>
          <t>gaming, streaming</t>
        </is>
      </c>
      <c r="T388" s="0" t="inlineStr">
        <is>
          <t>in_stock</t>
        </is>
      </c>
      <c r="U388" s="0" t="n">
        <v>15</v>
      </c>
      <c r="V388" s="52" t="n">
        <v>2149.99</v>
      </c>
      <c r="W388" s="0" t="inlineStr">
        <is>
          <t>2026-08-06</t>
        </is>
      </c>
      <c r="X388" s="0" t="n">
        <v>32</v>
      </c>
      <c r="Y388" s="0" t="n">
        <v>1024</v>
      </c>
      <c r="Z388" s="0" t="n">
        <v>15.6</v>
      </c>
      <c r="AA388" s="0" t="inlineStr">
        <is>
          <t>No</t>
        </is>
      </c>
    </row>
    <row r="389" ht="15.75" customHeight="1" s="51">
      <c r="A389" s="38" t="inlineStr">
        <is>
          <t>AUX-038-07</t>
        </is>
      </c>
      <c r="B389" s="38" t="inlineStr">
        <is>
          <t>Auxo</t>
        </is>
      </c>
      <c r="C389" s="38" t="inlineStr">
        <is>
          <t>Laptops</t>
        </is>
      </c>
      <c r="D389" s="38" t="inlineStr">
        <is>
          <t>Laptop</t>
        </is>
      </c>
      <c r="E389" s="39" t="inlineStr">
        <is>
          <t>Auxo Nimbus Air 16" Creator Laptop</t>
        </is>
      </c>
      <c r="F389" s="40" t="n">
        <v>1927.99</v>
      </c>
      <c r="G389" s="38" t="inlineStr">
        <is>
          <t>the Nimbus Air; Auxo Nimbus Air; Auxoo Nimbus Air; Nimbus Air laptop</t>
        </is>
      </c>
      <c r="H389" s="38" t="inlineStr">
        <is>
          <t>1 year limited</t>
        </is>
      </c>
      <c r="I389" s="38" t="inlineStr">
        <is>
          <t>FCC, CE, UL 62368-1, Energy Star, EPEAT Gold</t>
        </is>
      </c>
      <c r="J389" s="38" t="inlineStr">
        <is>
          <t>Intel Core Ultra 7 155H</t>
        </is>
      </c>
      <c r="K389" s="38" t="inlineStr">
        <is>
          <t>NVIDIA GeForce RTX 4060 8GB Laptop GPU</t>
        </is>
      </c>
      <c r="L389" s="38" t="inlineStr">
        <is>
          <t>OLED, 120Hz</t>
        </is>
      </c>
      <c r="M389" s="38" t="inlineStr">
        <is>
          <t>3200x2000</t>
        </is>
      </c>
      <c r="N389" s="38" t="inlineStr">
        <is>
          <t>2x Thunderbolt 4 (USB-C), 1x USB-A 3.2, HDMI 2.1, microSD, 3.5mm audio</t>
        </is>
      </c>
      <c r="O389" s="38" t="inlineStr">
        <is>
          <t>Windows 11 Home</t>
        </is>
      </c>
      <c r="P389" s="38" t="n">
        <v>11</v>
      </c>
      <c r="Q389" s="41" t="n">
        <v>1947</v>
      </c>
      <c r="R389" s="38" t="inlineStr">
        <is>
          <t>Longer battery than Atropos Apex 16" Creator Laptop [ATR-035-09] (11 vs 8 hrs); Lighter than Homonoia Aeon 16" Creator Laptop [HOM-033-10] (1,947 g vs 2,008 g)</t>
        </is>
      </c>
      <c r="S389" s="38" t="inlineStr">
        <is>
          <t>video editing, photo editing, content creation</t>
        </is>
      </c>
      <c r="T389" s="0" t="inlineStr">
        <is>
          <t>in_stock</t>
        </is>
      </c>
      <c r="U389" s="0" t="n">
        <v>15</v>
      </c>
      <c r="V389" s="52" t="n">
        <v>2206.99</v>
      </c>
      <c r="W389" s="0" t="inlineStr">
        <is>
          <t>2026-09-19</t>
        </is>
      </c>
      <c r="X389" s="0" t="n">
        <v>32</v>
      </c>
      <c r="Y389" s="0" t="n">
        <v>1024</v>
      </c>
      <c r="Z389" s="0" t="n">
        <v>16</v>
      </c>
      <c r="AA389" s="0" t="inlineStr">
        <is>
          <t>No</t>
        </is>
      </c>
    </row>
    <row r="390" ht="15.75" customHeight="1" s="51">
      <c r="A390" s="38" t="inlineStr">
        <is>
          <t>AUX-038-08</t>
        </is>
      </c>
      <c r="B390" s="38" t="inlineStr">
        <is>
          <t>Auxo</t>
        </is>
      </c>
      <c r="C390" s="38" t="inlineStr">
        <is>
          <t>Laptops</t>
        </is>
      </c>
      <c r="D390" s="38" t="inlineStr">
        <is>
          <t>Laptop</t>
        </is>
      </c>
      <c r="E390" s="39" t="inlineStr">
        <is>
          <t>Auxo Pulse Ultra 17" Gaming Laptop</t>
        </is>
      </c>
      <c r="F390" s="40" t="n">
        <v>1989.99</v>
      </c>
      <c r="G390" s="38" t="inlineStr">
        <is>
          <t>the Pulse Ultra; Auxo Pulse Ultra; Aukso Pulse Ultra; Pulse Ultra laptop</t>
        </is>
      </c>
      <c r="H390" s="38" t="inlineStr">
        <is>
          <t>1 year limited</t>
        </is>
      </c>
      <c r="I390" s="38" t="inlineStr">
        <is>
          <t>FCC, CE, UL 62368-1, Energy Star, EPEAT Silver</t>
        </is>
      </c>
      <c r="J390" s="38" t="inlineStr">
        <is>
          <t>Intel Core i9-14900HX</t>
        </is>
      </c>
      <c r="K390" s="38" t="inlineStr">
        <is>
          <t>NVIDIA GeForce RTX 4070 8GB Laptop GPU</t>
        </is>
      </c>
      <c r="L390" s="38" t="inlineStr">
        <is>
          <t>IPS, 240Hz</t>
        </is>
      </c>
      <c r="M390" s="38" t="inlineStr">
        <is>
          <t>2560x1600</t>
        </is>
      </c>
      <c r="N390" s="38" t="inlineStr">
        <is>
          <t>1x Thunderbolt 4, 3x USB-A 3.2, HDMI 2.1, RJ-45 Ethernet, 3.5mm audio</t>
        </is>
      </c>
      <c r="O390" s="38" t="inlineStr">
        <is>
          <t>Windows 11 Home</t>
        </is>
      </c>
      <c r="P390" s="38" t="n">
        <v>6</v>
      </c>
      <c r="Q390" s="41" t="n">
        <v>3322</v>
      </c>
      <c r="R390" s="38" t="inlineStr">
        <is>
          <t>Lower price than Chronos Onyx 17" Gaming Laptop [CHR-050-09] ($1,989.99 vs $3,316.99); Longer battery than Calliope Aeon X 17" Gaming Laptop [CAL-040-10] (6 vs 4 hrs)</t>
        </is>
      </c>
      <c r="S390" s="38" t="inlineStr">
        <is>
          <t>gaming, streaming, content creation</t>
        </is>
      </c>
      <c r="T390" s="0" t="inlineStr">
        <is>
          <t>low_stock</t>
        </is>
      </c>
      <c r="U390" s="0" t="n">
        <v>15</v>
      </c>
      <c r="V390" s="52" t="n">
        <v>2245.99</v>
      </c>
      <c r="W390" s="0" t="inlineStr">
        <is>
          <t>2026-08-04</t>
        </is>
      </c>
      <c r="X390" s="0" t="n">
        <v>32</v>
      </c>
      <c r="Y390" s="0" t="n">
        <v>1024</v>
      </c>
      <c r="Z390" s="0" t="n">
        <v>17.3</v>
      </c>
      <c r="AA390" s="0" t="inlineStr">
        <is>
          <t>No</t>
        </is>
      </c>
    </row>
    <row r="391" ht="15.75" customHeight="1" s="51">
      <c r="A391" s="38" t="inlineStr">
        <is>
          <t>AUX-038-09</t>
        </is>
      </c>
      <c r="B391" s="38" t="inlineStr">
        <is>
          <t>Auxo</t>
        </is>
      </c>
      <c r="C391" s="38" t="inlineStr">
        <is>
          <t>Laptops</t>
        </is>
      </c>
      <c r="D391" s="38" t="inlineStr">
        <is>
          <t>Laptop</t>
        </is>
      </c>
      <c r="E391" s="39" t="inlineStr">
        <is>
          <t>Auxo Arc Air Dual-Screen Laptop</t>
        </is>
      </c>
      <c r="F391" s="40" t="n">
        <v>2639.99</v>
      </c>
      <c r="G391" s="38" t="inlineStr">
        <is>
          <t>the Arc Air; Auxo Arc Air; Aux Arc Air; Arc Air laptop</t>
        </is>
      </c>
      <c r="H391" s="38" t="inlineStr">
        <is>
          <t>2 year limited</t>
        </is>
      </c>
      <c r="I391" s="38" t="inlineStr">
        <is>
          <t>FCC, CE, UL 62368-1, Energy Star, EPEAT Gold</t>
        </is>
      </c>
      <c r="J391" s="38" t="inlineStr">
        <is>
          <t>Intel Core Ultra 7 155H</t>
        </is>
      </c>
      <c r="K391" s="38" t="inlineStr">
        <is>
          <t>Intel Arc Graphics</t>
        </is>
      </c>
      <c r="L391" s="38" t="inlineStr">
        <is>
          <t>Dual OLED touch, 120Hz</t>
        </is>
      </c>
      <c r="M391" s="38" t="inlineStr">
        <is>
          <t>2x 2880x1800</t>
        </is>
      </c>
      <c r="N391" s="38" t="inlineStr">
        <is>
          <t>2x Thunderbolt 4 (USB-C), 1x USB-A 3.2, HDMI 2.1, microSD, 3.5mm audio</t>
        </is>
      </c>
      <c r="O391" s="38" t="inlineStr">
        <is>
          <t>Windows 11 Home</t>
        </is>
      </c>
      <c r="P391" s="38" t="n">
        <v>11</v>
      </c>
      <c r="Q391" s="41" t="n">
        <v>1830</v>
      </c>
      <c r="R391" s="38" t="inlineStr">
        <is>
          <t>Longer battery than Hygieia Wave Ultra Dual-Screen Laptop [HYG-048-06] (11 vs 8 hrs); Lower price than Zephyrus Quanta X Dual-Screen Laptop [ZEP-032-09] ($2,639.99 vs $2,813.99)</t>
        </is>
      </c>
      <c r="S391" s="38" t="inlineStr">
        <is>
          <t>multitasking, productivity, content creation</t>
        </is>
      </c>
      <c r="T391" s="0" t="inlineStr">
        <is>
          <t>in_stock</t>
        </is>
      </c>
      <c r="U391" s="0" t="n">
        <v>15</v>
      </c>
      <c r="V391" s="52" t="n">
        <v>2798.99</v>
      </c>
      <c r="W391" s="0" t="inlineStr">
        <is>
          <t>2026-08-25</t>
        </is>
      </c>
      <c r="X391" s="0" t="n">
        <v>32</v>
      </c>
      <c r="Y391" s="0" t="n">
        <v>2048</v>
      </c>
      <c r="Z391" s="0" t="n">
        <v>14</v>
      </c>
      <c r="AA391" s="0" t="inlineStr">
        <is>
          <t>Yes</t>
        </is>
      </c>
    </row>
    <row r="392" ht="15.75" customHeight="1" s="51">
      <c r="A392" s="38" t="inlineStr">
        <is>
          <t>AUX-038-10</t>
        </is>
      </c>
      <c r="B392" s="38" t="inlineStr">
        <is>
          <t>Auxo</t>
        </is>
      </c>
      <c r="C392" s="38" t="inlineStr">
        <is>
          <t>Laptops</t>
        </is>
      </c>
      <c r="D392" s="38" t="inlineStr">
        <is>
          <t>Laptop</t>
        </is>
      </c>
      <c r="E392" s="39" t="inlineStr">
        <is>
          <t>Auxo Vertex Lite Mobile Workstation</t>
        </is>
      </c>
      <c r="F392" s="40" t="n">
        <v>4857.99</v>
      </c>
      <c r="G392" s="38" t="inlineStr">
        <is>
          <t>the Vertex Lite; Auxo Vertex Lite; Axuo Vertex Lite; Vertex Lite laptop</t>
        </is>
      </c>
      <c r="H392" s="38" t="inlineStr">
        <is>
          <t>3 year limited, on-site service</t>
        </is>
      </c>
      <c r="I392" s="38" t="inlineStr">
        <is>
          <t>FCC, CE, UL 62368-1, Energy Star, EPEAT Bronze, TCO Certified, MIL-STD-810H</t>
        </is>
      </c>
      <c r="J392" s="38" t="inlineStr">
        <is>
          <t>Intel Core i9-14900HX</t>
        </is>
      </c>
      <c r="K392" s="38" t="inlineStr">
        <is>
          <t>NVIDIA RTX 5000 Ada 16GB Laptop GPU</t>
        </is>
      </c>
      <c r="L392" s="38" t="inlineStr">
        <is>
          <t>OLED, 120Hz</t>
        </is>
      </c>
      <c r="M392" s="38" t="inlineStr">
        <is>
          <t>3840x2400</t>
        </is>
      </c>
      <c r="N392" s="38" t="inlineStr">
        <is>
          <t>2x Thunderbolt 4 (USB-C), 1x USB-A 3.2, HDMI 2.1, microSD, 3.5mm audio</t>
        </is>
      </c>
      <c r="O392" s="38" t="inlineStr">
        <is>
          <t>Windows 11 Pro</t>
        </is>
      </c>
      <c r="P392" s="38" t="n">
        <v>7</v>
      </c>
      <c r="Q392" s="41" t="n">
        <v>2684</v>
      </c>
      <c r="R392" s="38" t="inlineStr">
        <is>
          <t>Lighter than Hygieia Spark Plus Mobile Workstation [HYG-048-10] (2,684 g vs 2,784 g); Longer battery than Dolos Nova Plus Mobile Workstation [DOL-045-10] (7 vs 5 hrs)</t>
        </is>
      </c>
      <c r="S392" s="38" t="inlineStr">
        <is>
          <t>engineering, 3D rendering, data science</t>
        </is>
      </c>
      <c r="T392" s="0" t="inlineStr">
        <is>
          <t>in_stock</t>
        </is>
      </c>
      <c r="U392" s="0" t="n">
        <v>15</v>
      </c>
      <c r="V392" s="52" t="n">
        <v>5332.99</v>
      </c>
      <c r="W392" s="0" t="inlineStr">
        <is>
          <t>2026-08-19</t>
        </is>
      </c>
      <c r="X392" s="0" t="n">
        <v>64</v>
      </c>
      <c r="Y392" s="0" t="n">
        <v>4096</v>
      </c>
      <c r="Z392" s="0" t="n">
        <v>16</v>
      </c>
      <c r="AA392" s="0" t="inlineStr">
        <is>
          <t>No</t>
        </is>
      </c>
    </row>
    <row r="393" ht="15.75" customHeight="1" s="51">
      <c r="A393" s="38" t="inlineStr">
        <is>
          <t>TER-039-01</t>
        </is>
      </c>
      <c r="B393" s="38" t="inlineStr">
        <is>
          <t>Terpsichore</t>
        </is>
      </c>
      <c r="C393" s="38" t="inlineStr">
        <is>
          <t>Laptops</t>
        </is>
      </c>
      <c r="D393" s="38" t="inlineStr">
        <is>
          <t>Laptop</t>
        </is>
      </c>
      <c r="E393" s="39" t="inlineStr">
        <is>
          <t>Terpsichore Vertex 15" Budget Laptop</t>
        </is>
      </c>
      <c r="F393" s="40" t="n">
        <v>293.99</v>
      </c>
      <c r="G393" s="38" t="inlineStr">
        <is>
          <t>the Vertex; Terpsichore Vertex; Terpsiichore Vertex; Vertex laptop</t>
        </is>
      </c>
      <c r="H393" s="38" t="inlineStr">
        <is>
          <t>1 year limited</t>
        </is>
      </c>
      <c r="I393" s="38" t="inlineStr">
        <is>
          <t>FCC, CE, UL 62368-1, Energy Star, EPEAT Gold</t>
        </is>
      </c>
      <c r="J393" s="38" t="inlineStr">
        <is>
          <t>Intel Core i3-1315U</t>
        </is>
      </c>
      <c r="K393" s="38" t="inlineStr">
        <is>
          <t>Intel UHD Graphics</t>
        </is>
      </c>
      <c r="L393" s="38" t="inlineStr">
        <is>
          <t>TN, 60Hz</t>
        </is>
      </c>
      <c r="M393" s="38" t="inlineStr">
        <is>
          <t>1366x768</t>
        </is>
      </c>
      <c r="N393" s="38" t="inlineStr">
        <is>
          <t>2x USB-C 3.2, 1x USB-A 3.2, HDMI 1.4, 3.5mm audio</t>
        </is>
      </c>
      <c r="O393" s="38" t="inlineStr">
        <is>
          <t>Windows 11 Home</t>
        </is>
      </c>
      <c r="P393" s="38" t="n">
        <v>6</v>
      </c>
      <c r="Q393" s="41" t="n">
        <v>1856</v>
      </c>
      <c r="R393" s="38" t="inlineStr">
        <is>
          <t>Lower price than Boreas Onyx Max 15" Budget Laptop [BOR-044-01] ($293.99 vs $484.99)</t>
        </is>
      </c>
      <c r="S393" s="38" t="inlineStr">
        <is>
          <t>budget, everyday, school</t>
        </is>
      </c>
      <c r="T393" s="0" t="inlineStr">
        <is>
          <t>low_stock</t>
        </is>
      </c>
      <c r="U393" s="0" t="n">
        <v>15</v>
      </c>
      <c r="V393" s="52" t="n">
        <v>326.99</v>
      </c>
      <c r="W393" s="0" t="inlineStr">
        <is>
          <t>2026-09-02</t>
        </is>
      </c>
      <c r="X393" s="0" t="n">
        <v>8</v>
      </c>
      <c r="Y393" s="0" t="n">
        <v>256</v>
      </c>
      <c r="Z393" s="0" t="n">
        <v>15.6</v>
      </c>
      <c r="AA393" s="0" t="inlineStr">
        <is>
          <t>No</t>
        </is>
      </c>
    </row>
    <row r="394" ht="15.75" customHeight="1" s="51">
      <c r="A394" s="38" t="inlineStr">
        <is>
          <t>TER-039-02</t>
        </is>
      </c>
      <c r="B394" s="38" t="inlineStr">
        <is>
          <t>Terpsichore</t>
        </is>
      </c>
      <c r="C394" s="38" t="inlineStr">
        <is>
          <t>Laptops</t>
        </is>
      </c>
      <c r="D394" s="38" t="inlineStr">
        <is>
          <t>Laptop</t>
        </is>
      </c>
      <c r="E394" s="39" t="inlineStr">
        <is>
          <t>Terpsichore Orbit Air 13" Ultrabook</t>
        </is>
      </c>
      <c r="F394" s="40" t="n">
        <v>1031.99</v>
      </c>
      <c r="G394" s="38" t="inlineStr">
        <is>
          <t>the Orbit Air; Terpsichore Orbit Air; Terpsichoree Orbit Air; Orbit Air laptop</t>
        </is>
      </c>
      <c r="H394" s="38" t="inlineStr">
        <is>
          <t>1 year limited</t>
        </is>
      </c>
      <c r="I394" s="38" t="inlineStr">
        <is>
          <t>FCC, CE, UL 62368-1, Energy Star, EPEAT Silver</t>
        </is>
      </c>
      <c r="J394" s="38" t="inlineStr">
        <is>
          <t>Intel Core Ultra 5 125U</t>
        </is>
      </c>
      <c r="K394" s="38" t="inlineStr">
        <is>
          <t>Intel Graphics</t>
        </is>
      </c>
      <c r="L394" s="38" t="inlineStr">
        <is>
          <t>IPS, 60Hz</t>
        </is>
      </c>
      <c r="M394" s="38" t="inlineStr">
        <is>
          <t>1920x1200</t>
        </is>
      </c>
      <c r="N394" s="38" t="inlineStr">
        <is>
          <t>2x Thunderbolt 4 (USB-C), 1x USB-A 3.2, HDMI 2.1, microSD, 3.5mm audio</t>
        </is>
      </c>
      <c r="O394" s="38" t="inlineStr">
        <is>
          <t>Windows 11 Home</t>
        </is>
      </c>
      <c r="P394" s="38" t="n">
        <v>14</v>
      </c>
      <c r="Q394" s="41" t="n">
        <v>1205</v>
      </c>
      <c r="R394" s="38" t="inlineStr">
        <is>
          <t>Lower price than Auxo Prism Plus 13" Ultrabook [AUX-038-03] ($1,031.99 vs $1,321.99); Longer battery than Melpomene Pulse Lite 13" Ultrabook [MEL-026-05] (14 vs 13 hrs)</t>
        </is>
      </c>
      <c r="S394" s="38" t="inlineStr">
        <is>
          <t>travel, school, work</t>
        </is>
      </c>
      <c r="T394" s="0" t="inlineStr">
        <is>
          <t>out_of_stock</t>
        </is>
      </c>
      <c r="U394" s="0" t="n">
        <v>15</v>
      </c>
      <c r="V394" s="52" t="n">
        <v>1157.99</v>
      </c>
      <c r="W394" s="0" t="inlineStr">
        <is>
          <t>2026-09-17</t>
        </is>
      </c>
      <c r="X394" s="0" t="n">
        <v>16</v>
      </c>
      <c r="Y394" s="0" t="n">
        <v>1024</v>
      </c>
      <c r="Z394" s="0" t="n">
        <v>13.3</v>
      </c>
      <c r="AA394" s="0" t="inlineStr">
        <is>
          <t>No</t>
        </is>
      </c>
    </row>
    <row r="395" ht="15.75" customHeight="1" s="51">
      <c r="A395" s="38" t="inlineStr">
        <is>
          <t>TER-039-03</t>
        </is>
      </c>
      <c r="B395" s="38" t="inlineStr">
        <is>
          <t>Terpsichore</t>
        </is>
      </c>
      <c r="C395" s="38" t="inlineStr">
        <is>
          <t>Laptops</t>
        </is>
      </c>
      <c r="D395" s="38" t="inlineStr">
        <is>
          <t>Laptop</t>
        </is>
      </c>
      <c r="E395" s="39" t="inlineStr">
        <is>
          <t>Terpsichore Quanta Plus 15" Gaming Laptop</t>
        </is>
      </c>
      <c r="F395" s="40" t="n">
        <v>1395.99</v>
      </c>
      <c r="G395" s="38" t="inlineStr">
        <is>
          <t>the Quanta Plus; Terpsichore Quanta Plus; Terpsichoree Quanta Plus; Quanta Plus laptop</t>
        </is>
      </c>
      <c r="H395" s="38" t="inlineStr">
        <is>
          <t>1 year limited</t>
        </is>
      </c>
      <c r="I395" s="38" t="inlineStr">
        <is>
          <t>FCC, CE, UL 62368-1, Energy Star, EPEAT Gold</t>
        </is>
      </c>
      <c r="J395" s="38" t="inlineStr">
        <is>
          <t>AMD Ryzen 7 8845HS</t>
        </is>
      </c>
      <c r="K395" s="38" t="inlineStr">
        <is>
          <t>NVIDIA GeForce RTX 4050 6GB Laptop GPU</t>
        </is>
      </c>
      <c r="L395" s="38" t="inlineStr">
        <is>
          <t>IPS, 165Hz</t>
        </is>
      </c>
      <c r="M395" s="38" t="inlineStr">
        <is>
          <t>1920x1080</t>
        </is>
      </c>
      <c r="N395" s="38" t="inlineStr">
        <is>
          <t>1x USB4, 3x USB-A 3.2, HDMI 2.1, RJ-45 Ethernet, 3.5mm audio</t>
        </is>
      </c>
      <c r="O395" s="38" t="inlineStr">
        <is>
          <t>Windows 11 Home</t>
        </is>
      </c>
      <c r="P395" s="38" t="n">
        <v>8</v>
      </c>
      <c r="Q395" s="41" t="n">
        <v>2496</v>
      </c>
      <c r="R395" s="38" t="inlineStr">
        <is>
          <t>Lower price than Atropos Echo Max 15" Gaming Laptop [ATR-035-08] ($1,395.99 vs $2,474.99); Longer battery than Selene Strata Pro 15" Gaming Laptop [SEL-034-08] (8 vs 4 hrs)</t>
        </is>
      </c>
      <c r="S395" s="38" t="inlineStr">
        <is>
          <t>gaming, streaming</t>
        </is>
      </c>
      <c r="T395" s="0" t="inlineStr">
        <is>
          <t>in_stock</t>
        </is>
      </c>
      <c r="U395" s="0" t="n">
        <v>15</v>
      </c>
      <c r="V395" s="52" t="n">
        <v>1471.99</v>
      </c>
      <c r="W395" s="0" t="inlineStr">
        <is>
          <t>2026-09-12</t>
        </is>
      </c>
      <c r="X395" s="0" t="n">
        <v>32</v>
      </c>
      <c r="Y395" s="0" t="n">
        <v>1024</v>
      </c>
      <c r="Z395" s="0" t="n">
        <v>15.6</v>
      </c>
      <c r="AA395" s="0" t="inlineStr">
        <is>
          <t>No</t>
        </is>
      </c>
    </row>
    <row r="396" ht="15.75" customHeight="1" s="51">
      <c r="A396" s="38" t="inlineStr">
        <is>
          <t>TER-039-04</t>
        </is>
      </c>
      <c r="B396" s="38" t="inlineStr">
        <is>
          <t>Terpsichore</t>
        </is>
      </c>
      <c r="C396" s="38" t="inlineStr">
        <is>
          <t>Laptops</t>
        </is>
      </c>
      <c r="D396" s="38" t="inlineStr">
        <is>
          <t>Laptop</t>
        </is>
      </c>
      <c r="E396" s="39" t="inlineStr">
        <is>
          <t>Terpsichore Strata Max 2-in-1 Convertible</t>
        </is>
      </c>
      <c r="F396" s="40" t="n">
        <v>1408.99</v>
      </c>
      <c r="G396" s="38" t="inlineStr">
        <is>
          <t>the Strata Max; Terpsichore Strata Max; Terpsicchore Strata Max; Strata Max laptop</t>
        </is>
      </c>
      <c r="H396" s="38" t="inlineStr">
        <is>
          <t>1 year limited</t>
        </is>
      </c>
      <c r="I396" s="38" t="inlineStr">
        <is>
          <t>FCC, CE, UL 62368-1, Energy Star, EPEAT Gold</t>
        </is>
      </c>
      <c r="J396" s="38" t="inlineStr">
        <is>
          <t>AMD Ryzen AI 9 HX 370</t>
        </is>
      </c>
      <c r="K396" s="38" t="inlineStr">
        <is>
          <t>AMD Radeon 890M</t>
        </is>
      </c>
      <c r="L396" s="38" t="inlineStr">
        <is>
          <t>OLED touch, 60Hz</t>
        </is>
      </c>
      <c r="M396" s="38" t="inlineStr">
        <is>
          <t>2880x1800</t>
        </is>
      </c>
      <c r="N396" s="38" t="inlineStr">
        <is>
          <t>2x USB4 (USB-C), 2x USB-A 3.2, HDMI 2.1, SD card, 3.5mm audio</t>
        </is>
      </c>
      <c r="O396" s="38" t="inlineStr">
        <is>
          <t>Windows 11 Home</t>
        </is>
      </c>
      <c r="P396" s="38" t="n">
        <v>11</v>
      </c>
      <c r="Q396" s="41" t="n">
        <v>1457</v>
      </c>
      <c r="R396" s="38" t="inlineStr">
        <is>
          <t>Longer battery than Momus Onyx Air 2-in-1 Convertible [MOM-043-06] (11 vs 10 hrs); Lower price than Polyhymnia Rift X 2-in-1 Convertible [POL-041-06] ($1,408.99 vs $1,519.99)</t>
        </is>
      </c>
      <c r="S396" s="38" t="inlineStr">
        <is>
          <t>school, note-taking, travel</t>
        </is>
      </c>
      <c r="T396" s="0" t="inlineStr">
        <is>
          <t>low_stock</t>
        </is>
      </c>
      <c r="U396" s="0" t="n">
        <v>15</v>
      </c>
      <c r="V396" s="52" t="n">
        <v>1545.99</v>
      </c>
      <c r="W396" s="0" t="inlineStr">
        <is>
          <t>2026-08-03</t>
        </is>
      </c>
      <c r="X396" s="0" t="n">
        <v>16</v>
      </c>
      <c r="Y396" s="0" t="n">
        <v>1024</v>
      </c>
      <c r="Z396" s="0" t="n">
        <v>14</v>
      </c>
      <c r="AA396" s="0" t="inlineStr">
        <is>
          <t>Yes</t>
        </is>
      </c>
    </row>
    <row r="397" ht="15.75" customHeight="1" s="51">
      <c r="A397" s="38" t="inlineStr">
        <is>
          <t>TER-039-05</t>
        </is>
      </c>
      <c r="B397" s="38" t="inlineStr">
        <is>
          <t>Terpsichore</t>
        </is>
      </c>
      <c r="C397" s="38" t="inlineStr">
        <is>
          <t>Laptops</t>
        </is>
      </c>
      <c r="D397" s="38" t="inlineStr">
        <is>
          <t>Laptop</t>
        </is>
      </c>
      <c r="E397" s="39" t="inlineStr">
        <is>
          <t>Terpsichore Blaze Lite 14" Business Laptop</t>
        </is>
      </c>
      <c r="F397" s="40" t="n">
        <v>1467.99</v>
      </c>
      <c r="G397" s="38" t="inlineStr">
        <is>
          <t>the Blaze Lite; Terpsichore Blaze Lite; Terpsikhore Blaze Lite; Blaze Lite laptop</t>
        </is>
      </c>
      <c r="H397" s="38" t="inlineStr">
        <is>
          <t>3 year limited, on-site service</t>
        </is>
      </c>
      <c r="I397" s="38" t="inlineStr">
        <is>
          <t>FCC, CE, UL 62368-1, EPEAT Silver, TCO Certified, MIL-STD-810H</t>
        </is>
      </c>
      <c r="J397" s="38" t="inlineStr">
        <is>
          <t>Intel Core Ultra 5 125U</t>
        </is>
      </c>
      <c r="K397" s="38" t="inlineStr">
        <is>
          <t>Intel Graphics</t>
        </is>
      </c>
      <c r="L397" s="38" t="inlineStr">
        <is>
          <t>IPS anti-glare, 60Hz</t>
        </is>
      </c>
      <c r="M397" s="38" t="inlineStr">
        <is>
          <t>1920x1200</t>
        </is>
      </c>
      <c r="N397" s="38" t="inlineStr">
        <is>
          <t>2x Thunderbolt 4 (USB-C), 1x USB-A 3.2, HDMI 2.1, microSD, 3.5mm audio</t>
        </is>
      </c>
      <c r="O397" s="38" t="inlineStr">
        <is>
          <t>Windows 11 Pro</t>
        </is>
      </c>
      <c r="P397" s="38" t="n">
        <v>15</v>
      </c>
      <c r="Q397" s="41" t="n">
        <v>1226</v>
      </c>
      <c r="R397" s="38" t="inlineStr">
        <is>
          <t>Lower price than Aristaeus Wave Max 14" Business Laptop [ARI-027-06] ($1,467.99 vs $1,656.99); Lighter than Atropos Volt SE 14" Business Laptop [ATR-035-06] (1,226 g vs 1,338 g)</t>
        </is>
      </c>
      <c r="S397" s="38" t="inlineStr">
        <is>
          <t>work, travel, remote meetings</t>
        </is>
      </c>
      <c r="T397" s="0" t="inlineStr">
        <is>
          <t>low_stock</t>
        </is>
      </c>
      <c r="U397" s="0" t="n">
        <v>15</v>
      </c>
      <c r="V397" s="52" t="n">
        <v>1599.99</v>
      </c>
      <c r="W397" s="0" t="inlineStr">
        <is>
          <t>2026-09-19</t>
        </is>
      </c>
      <c r="X397" s="0" t="n">
        <v>16</v>
      </c>
      <c r="Y397" s="0" t="n">
        <v>1024</v>
      </c>
      <c r="Z397" s="0" t="n">
        <v>14</v>
      </c>
      <c r="AA397" s="0" t="inlineStr">
        <is>
          <t>No</t>
        </is>
      </c>
    </row>
    <row r="398" ht="15.75" customHeight="1" s="51">
      <c r="A398" s="38" t="inlineStr">
        <is>
          <t>TER-039-06</t>
        </is>
      </c>
      <c r="B398" s="38" t="inlineStr">
        <is>
          <t>Terpsichore</t>
        </is>
      </c>
      <c r="C398" s="38" t="inlineStr">
        <is>
          <t>Laptops</t>
        </is>
      </c>
      <c r="D398" s="38" t="inlineStr">
        <is>
          <t>Laptop</t>
        </is>
      </c>
      <c r="E398" s="39" t="inlineStr">
        <is>
          <t>Terpsichore Arc Plus 15" Ultrabook</t>
        </is>
      </c>
      <c r="F398" s="40" t="n">
        <v>1693.99</v>
      </c>
      <c r="G398" s="38" t="inlineStr">
        <is>
          <t>the Arc Plus; Terpsichore Arc Plus; Terpischore Arc Plus; Arc Plus laptop</t>
        </is>
      </c>
      <c r="H398" s="38" t="inlineStr">
        <is>
          <t>1 year limited</t>
        </is>
      </c>
      <c r="I398" s="38" t="inlineStr">
        <is>
          <t>FCC, CE, UL 62368-1, Energy Star, EPEAT Bronze</t>
        </is>
      </c>
      <c r="J398" s="38" t="inlineStr">
        <is>
          <t>AMD Ryzen AI 9 HX 370</t>
        </is>
      </c>
      <c r="K398" s="38" t="inlineStr">
        <is>
          <t>AMD Radeon 890M</t>
        </is>
      </c>
      <c r="L398" s="38" t="inlineStr">
        <is>
          <t>OLED, 120Hz</t>
        </is>
      </c>
      <c r="M398" s="38" t="inlineStr">
        <is>
          <t>2880x1800</t>
        </is>
      </c>
      <c r="N398" s="38" t="inlineStr">
        <is>
          <t>2x USB4 (USB-C), 2x USB-A 3.2, HDMI 2.1, SD card, 3.5mm audio</t>
        </is>
      </c>
      <c r="O398" s="38" t="inlineStr">
        <is>
          <t>Windows 11 Home</t>
        </is>
      </c>
      <c r="P398" s="38" t="n">
        <v>15</v>
      </c>
      <c r="Q398" s="41" t="n">
        <v>1738</v>
      </c>
      <c r="R398" s="38" t="inlineStr">
        <is>
          <t>Longer battery than Dolos Pulse Plus 15" Ultrabook [DOL-045-06] (15 vs 11 hrs); Lower price than Selene Axis Plus 15" Ultrabook [SEL-034-07] ($1,693.99 vs $2,121.99)</t>
        </is>
      </c>
      <c r="S398" s="38" t="inlineStr">
        <is>
          <t>work, school, everyday</t>
        </is>
      </c>
      <c r="T398" s="0" t="inlineStr">
        <is>
          <t>in_stock</t>
        </is>
      </c>
      <c r="U398" s="0" t="n">
        <v>15</v>
      </c>
      <c r="V398" s="52" t="n">
        <v>1747.99</v>
      </c>
      <c r="W398" s="0" t="inlineStr">
        <is>
          <t>2026-08-22</t>
        </is>
      </c>
      <c r="X398" s="0" t="n">
        <v>16</v>
      </c>
      <c r="Y398" s="0" t="n">
        <v>1024</v>
      </c>
      <c r="Z398" s="0" t="n">
        <v>15.6</v>
      </c>
      <c r="AA398" s="0" t="inlineStr">
        <is>
          <t>No</t>
        </is>
      </c>
    </row>
    <row r="399" ht="15.75" customHeight="1" s="51">
      <c r="A399" s="38" t="inlineStr">
        <is>
          <t>TER-039-07</t>
        </is>
      </c>
      <c r="B399" s="38" t="inlineStr">
        <is>
          <t>Terpsichore</t>
        </is>
      </c>
      <c r="C399" s="38" t="inlineStr">
        <is>
          <t>Laptops</t>
        </is>
      </c>
      <c r="D399" s="38" t="inlineStr">
        <is>
          <t>Laptop</t>
        </is>
      </c>
      <c r="E399" s="39" t="inlineStr">
        <is>
          <t>Terpsichore Orbit Dual-Screen Laptop</t>
        </is>
      </c>
      <c r="F399" s="40" t="n">
        <v>2018.99</v>
      </c>
      <c r="G399" s="38" t="inlineStr">
        <is>
          <t>the Orbit; Terpsichore Orbit; Trepsichore Orbit; Orbit laptop</t>
        </is>
      </c>
      <c r="H399" s="38" t="inlineStr">
        <is>
          <t>1 year limited</t>
        </is>
      </c>
      <c r="I399" s="38" t="inlineStr">
        <is>
          <t>FCC, CE, UL 62368-1, EPEAT Bronze</t>
        </is>
      </c>
      <c r="J399" s="38" t="inlineStr">
        <is>
          <t>Qualcomm Snapdragon X Plus X1P-42-100</t>
        </is>
      </c>
      <c r="K399" s="38" t="inlineStr">
        <is>
          <t>Qualcomm Adreno X1-45</t>
        </is>
      </c>
      <c r="L399" s="38" t="inlineStr">
        <is>
          <t>Dual OLED touch, 120Hz</t>
        </is>
      </c>
      <c r="M399" s="38" t="inlineStr">
        <is>
          <t>2x 2880x1800</t>
        </is>
      </c>
      <c r="N399" s="38" t="inlineStr">
        <is>
          <t>2x USB4 (USB-C), 1x USB-A 3.2, 3.5mm audio</t>
        </is>
      </c>
      <c r="O399" s="38" t="inlineStr">
        <is>
          <t>Windows 11 Home</t>
        </is>
      </c>
      <c r="P399" s="38" t="n">
        <v>11</v>
      </c>
      <c r="Q399" s="41" t="n">
        <v>1677</v>
      </c>
      <c r="R399" s="38" t="inlineStr">
        <is>
          <t>Longer battery than Hygieia Wave Ultra Dual-Screen Laptop [HYG-048-06] (11 vs 8 hrs); Lower price than Polyhymnia Aeon Ultra Dual-Screen Laptop [POL-041-08] ($2,018.99 vs $2,647.99)</t>
        </is>
      </c>
      <c r="S399" s="38" t="inlineStr">
        <is>
          <t>multitasking, productivity, content creation</t>
        </is>
      </c>
      <c r="T399" s="0" t="inlineStr">
        <is>
          <t>in_stock</t>
        </is>
      </c>
      <c r="U399" s="0" t="n">
        <v>15</v>
      </c>
      <c r="V399" s="52" t="n">
        <v>2320.99</v>
      </c>
      <c r="W399" s="0" t="inlineStr">
        <is>
          <t>2026-09-03</t>
        </is>
      </c>
      <c r="X399" s="0" t="n">
        <v>32</v>
      </c>
      <c r="Y399" s="0" t="n">
        <v>2048</v>
      </c>
      <c r="Z399" s="0" t="n">
        <v>14</v>
      </c>
      <c r="AA399" s="0" t="inlineStr">
        <is>
          <t>Yes</t>
        </is>
      </c>
    </row>
    <row r="400" ht="15.75" customHeight="1" s="51">
      <c r="A400" s="38" t="inlineStr">
        <is>
          <t>TER-039-08</t>
        </is>
      </c>
      <c r="B400" s="38" t="inlineStr">
        <is>
          <t>Terpsichore</t>
        </is>
      </c>
      <c r="C400" s="38" t="inlineStr">
        <is>
          <t>Laptops</t>
        </is>
      </c>
      <c r="D400" s="38" t="inlineStr">
        <is>
          <t>Laptop</t>
        </is>
      </c>
      <c r="E400" s="39" t="inlineStr">
        <is>
          <t>Terpsichore Nova Air 17" Gaming Laptop</t>
        </is>
      </c>
      <c r="F400" s="40" t="n">
        <v>2186.99</v>
      </c>
      <c r="G400" s="38" t="inlineStr">
        <is>
          <t>the Nova Air; Terpsichore Nova Air; Terpsichorre Nova Air; Nova Air laptop</t>
        </is>
      </c>
      <c r="H400" s="38" t="inlineStr">
        <is>
          <t>1 year limited</t>
        </is>
      </c>
      <c r="I400" s="38" t="inlineStr">
        <is>
          <t>FCC, CE, UL 62368-1, EPEAT Silver</t>
        </is>
      </c>
      <c r="J400" s="38" t="inlineStr">
        <is>
          <t>AMD Ryzen 9 7945HX</t>
        </is>
      </c>
      <c r="K400" s="38" t="inlineStr">
        <is>
          <t>NVIDIA GeForce RTX 4070 8GB Laptop GPU</t>
        </is>
      </c>
      <c r="L400" s="38" t="inlineStr">
        <is>
          <t>IPS, 240Hz</t>
        </is>
      </c>
      <c r="M400" s="38" t="inlineStr">
        <is>
          <t>2560x1600</t>
        </is>
      </c>
      <c r="N400" s="38" t="inlineStr">
        <is>
          <t>1x USB4, 3x USB-A 3.2, HDMI 2.1, RJ-45 Ethernet, 3.5mm audio</t>
        </is>
      </c>
      <c r="O400" s="38" t="inlineStr">
        <is>
          <t>Windows 11 Home</t>
        </is>
      </c>
      <c r="P400" s="38" t="n">
        <v>6</v>
      </c>
      <c r="Q400" s="41" t="n">
        <v>2838</v>
      </c>
      <c r="R400" s="38" t="inlineStr">
        <is>
          <t>Lower price than Priapus Volt 17" Gaming Laptop [PRI-042-10] ($2,186.99 vs $3,580.99); Longer battery than Boreas Wave Pro 17" Gaming Laptop [BOR-044-09] (6 vs 5 hrs)</t>
        </is>
      </c>
      <c r="S400" s="38" t="inlineStr">
        <is>
          <t>gaming, streaming, content creation</t>
        </is>
      </c>
      <c r="T400" s="0" t="inlineStr">
        <is>
          <t>in_stock</t>
        </is>
      </c>
      <c r="U400" s="0" t="n">
        <v>15</v>
      </c>
      <c r="V400" s="52" t="n">
        <v>2265.99</v>
      </c>
      <c r="W400" s="0" t="inlineStr">
        <is>
          <t>2026-08-16</t>
        </is>
      </c>
      <c r="X400" s="0" t="n">
        <v>32</v>
      </c>
      <c r="Y400" s="0" t="n">
        <v>2048</v>
      </c>
      <c r="Z400" s="0" t="n">
        <v>17.3</v>
      </c>
      <c r="AA400" s="0" t="inlineStr">
        <is>
          <t>No</t>
        </is>
      </c>
    </row>
    <row r="401" ht="15.75" customHeight="1" s="51">
      <c r="A401" s="38" t="inlineStr">
        <is>
          <t>TER-039-09</t>
        </is>
      </c>
      <c r="B401" s="38" t="inlineStr">
        <is>
          <t>Terpsichore</t>
        </is>
      </c>
      <c r="C401" s="38" t="inlineStr">
        <is>
          <t>Laptops</t>
        </is>
      </c>
      <c r="D401" s="38" t="inlineStr">
        <is>
          <t>Laptop</t>
        </is>
      </c>
      <c r="E401" s="39" t="inlineStr">
        <is>
          <t>Terpsichore Vertex X Rugged Laptop</t>
        </is>
      </c>
      <c r="F401" s="40" t="n">
        <v>2294.99</v>
      </c>
      <c r="G401" s="38" t="inlineStr">
        <is>
          <t>the Vertex X; Terpsichore Vertex X; Terpsicohre Vertex X; Vertex X laptop</t>
        </is>
      </c>
      <c r="H401" s="38" t="inlineStr">
        <is>
          <t>3 year limited, accidental damage</t>
        </is>
      </c>
      <c r="I401" s="38" t="inlineStr">
        <is>
          <t>FCC, CE, UL 62368-1, Energy Star, EPEAT Silver, MIL-STD-810H, IP65</t>
        </is>
      </c>
      <c r="J401" s="38" t="inlineStr">
        <is>
          <t>Intel Core Ultra 5 125U</t>
        </is>
      </c>
      <c r="K401" s="38" t="inlineStr">
        <is>
          <t>Intel Graphics</t>
        </is>
      </c>
      <c r="L401" s="38" t="inlineStr">
        <is>
          <t>IPS sunlight-readable 1000 nits, touch</t>
        </is>
      </c>
      <c r="M401" s="38" t="inlineStr">
        <is>
          <t>1920x1080</t>
        </is>
      </c>
      <c r="N401" s="38" t="inlineStr">
        <is>
          <t>2x Thunderbolt 4 (USB-C), 1x USB-A 3.2, HDMI 2.1, microSD, 3.5mm audio, RJ-45 Ethernet, serial (RS-232), smart card reader</t>
        </is>
      </c>
      <c r="O401" s="38" t="inlineStr">
        <is>
          <t>Windows 11 Pro</t>
        </is>
      </c>
      <c r="P401" s="38" t="n">
        <v>14</v>
      </c>
      <c r="Q401" s="41" t="n">
        <v>2496</v>
      </c>
      <c r="R401" s="38" t="inlineStr">
        <is>
          <t>Longer battery than Aeolus Arc Air Rugged Laptop [AEO-031-06] (14 vs 12 hrs); Lighter than Selene Drift X Rugged Laptop [SEL-034-10] (2,496 g vs 2,960 g)</t>
        </is>
      </c>
      <c r="S401" s="38" t="inlineStr">
        <is>
          <t>fieldwork, outdoor, industrial</t>
        </is>
      </c>
      <c r="T401" s="0" t="inlineStr">
        <is>
          <t>in_stock</t>
        </is>
      </c>
      <c r="U401" s="0" t="n">
        <v>15</v>
      </c>
      <c r="V401" s="52" t="n">
        <v>2450.99</v>
      </c>
      <c r="W401" s="0" t="inlineStr">
        <is>
          <t>2026-09-16</t>
        </is>
      </c>
      <c r="X401" s="0" t="n">
        <v>32</v>
      </c>
      <c r="Y401" s="0" t="n">
        <v>2048</v>
      </c>
      <c r="Z401" s="0" t="n">
        <v>16</v>
      </c>
      <c r="AA401" s="0" t="inlineStr">
        <is>
          <t>Yes</t>
        </is>
      </c>
    </row>
    <row r="402" ht="15.75" customHeight="1" s="51">
      <c r="A402" s="38" t="inlineStr">
        <is>
          <t>TER-039-10</t>
        </is>
      </c>
      <c r="B402" s="38" t="inlineStr">
        <is>
          <t>Terpsichore</t>
        </is>
      </c>
      <c r="C402" s="38" t="inlineStr">
        <is>
          <t>Laptops</t>
        </is>
      </c>
      <c r="D402" s="38" t="inlineStr">
        <is>
          <t>Laptop</t>
        </is>
      </c>
      <c r="E402" s="39" t="inlineStr">
        <is>
          <t>Terpsichore Aeon Plus Mobile Workstation</t>
        </is>
      </c>
      <c r="F402" s="40" t="n">
        <v>4329.99</v>
      </c>
      <c r="G402" s="38" t="inlineStr">
        <is>
          <t>the Aeon Plus; Terpsichore Aeon Plus; Terspichore Aeon Plus; Aeon Plus laptop</t>
        </is>
      </c>
      <c r="H402" s="38" t="inlineStr">
        <is>
          <t>3 year limited, on-site service</t>
        </is>
      </c>
      <c r="I402" s="38" t="inlineStr">
        <is>
          <t>FCC, CE, UL 62368-1, Energy Star, EPEAT Bronze, TCO Certified, MIL-STD-810H</t>
        </is>
      </c>
      <c r="J402" s="38" t="inlineStr">
        <is>
          <t>AMD Ryzen 9 7945HX</t>
        </is>
      </c>
      <c r="K402" s="38" t="inlineStr">
        <is>
          <t>NVIDIA RTX 5000 Ada 16GB Laptop GPU</t>
        </is>
      </c>
      <c r="L402" s="38" t="inlineStr">
        <is>
          <t>OLED, 120Hz</t>
        </is>
      </c>
      <c r="M402" s="38" t="inlineStr">
        <is>
          <t>3840x2400</t>
        </is>
      </c>
      <c r="N402" s="38" t="inlineStr">
        <is>
          <t>2x USB4 (USB-C), 2x USB-A 3.2, HDMI 2.1, SD card, 3.5mm audio</t>
        </is>
      </c>
      <c r="O402" s="38" t="inlineStr">
        <is>
          <t>Windows 11 Pro</t>
        </is>
      </c>
      <c r="P402" s="38" t="n">
        <v>8</v>
      </c>
      <c r="Q402" s="41" t="n">
        <v>2808</v>
      </c>
      <c r="R402" s="38" t="inlineStr">
        <is>
          <t>Longer battery than Priapus Zen Mobile Workstation [PRI-042-09] (8 vs 5 hrs); Lower price than Auxo Vertex Lite Mobile Workstation [AUX-038-10] ($4,329.99 vs $4,857.99)</t>
        </is>
      </c>
      <c r="S402" s="38" t="inlineStr">
        <is>
          <t>engineering, 3D rendering, data science</t>
        </is>
      </c>
      <c r="T402" s="0" t="inlineStr">
        <is>
          <t>in_stock</t>
        </is>
      </c>
      <c r="U402" s="0" t="n">
        <v>15</v>
      </c>
      <c r="V402" s="52" t="n">
        <v>4562.99</v>
      </c>
      <c r="W402" s="0" t="inlineStr">
        <is>
          <t>2026-09-25</t>
        </is>
      </c>
      <c r="X402" s="0" t="n">
        <v>64</v>
      </c>
      <c r="Y402" s="0" t="n">
        <v>4096</v>
      </c>
      <c r="Z402" s="0" t="n">
        <v>17.3</v>
      </c>
      <c r="AA402" s="0" t="inlineStr">
        <is>
          <t>No</t>
        </is>
      </c>
    </row>
    <row r="403" ht="15.75" customHeight="1" s="51">
      <c r="A403" s="38" t="inlineStr">
        <is>
          <t>CAL-040-01</t>
        </is>
      </c>
      <c r="B403" s="38" t="inlineStr">
        <is>
          <t>Calliope</t>
        </is>
      </c>
      <c r="C403" s="38" t="inlineStr">
        <is>
          <t>Laptops</t>
        </is>
      </c>
      <c r="D403" s="38" t="inlineStr">
        <is>
          <t>Laptop</t>
        </is>
      </c>
      <c r="E403" s="39" t="inlineStr">
        <is>
          <t>Calliope Echo Plus Chromebook</t>
        </is>
      </c>
      <c r="F403" s="40" t="n">
        <v>217.99</v>
      </c>
      <c r="G403" s="38" t="inlineStr">
        <is>
          <t>the Echo Plus; Calliope Echo Plus; Calliop Echo Plus; Echo Plus laptop</t>
        </is>
      </c>
      <c r="H403" s="38" t="inlineStr">
        <is>
          <t>1 year limited</t>
        </is>
      </c>
      <c r="I403" s="38" t="inlineStr">
        <is>
          <t>FCC, CE, UL 62368-1, EPEAT Gold</t>
        </is>
      </c>
      <c r="J403" s="38" t="inlineStr">
        <is>
          <t>Intel N100</t>
        </is>
      </c>
      <c r="K403" s="38" t="inlineStr">
        <is>
          <t>Intel UHD Graphics</t>
        </is>
      </c>
      <c r="L403" s="38" t="inlineStr">
        <is>
          <t>IPS, 60Hz</t>
        </is>
      </c>
      <c r="M403" s="38" t="inlineStr">
        <is>
          <t>1366x768</t>
        </is>
      </c>
      <c r="N403" s="38" t="inlineStr">
        <is>
          <t>2x USB-C 3.2, 1x USB-A 3.2, HDMI 1.4, 3.5mm audio</t>
        </is>
      </c>
      <c r="O403" s="38" t="inlineStr">
        <is>
          <t>ChromeOS</t>
        </is>
      </c>
      <c r="P403" s="38" t="n">
        <v>12</v>
      </c>
      <c r="Q403" s="41" t="n">
        <v>1476</v>
      </c>
      <c r="R403" s="38" t="inlineStr">
        <is>
          <t>Lower price than Heracles Crest Ultra Chromebook [HER-037-01] ($217.99 vs $446.99); Longer battery than Chronos Nimbus Plus Chromebook [CHR-050-01] (12 vs 9 hrs)</t>
        </is>
      </c>
      <c r="S403" s="38" t="inlineStr">
        <is>
          <t>school, kids, budget</t>
        </is>
      </c>
      <c r="T403" s="0" t="inlineStr">
        <is>
          <t>in_stock</t>
        </is>
      </c>
      <c r="U403" s="0" t="n">
        <v>60</v>
      </c>
      <c r="V403" s="52" t="n">
        <v>233.99</v>
      </c>
      <c r="W403" s="0" t="inlineStr">
        <is>
          <t>2026-08-02</t>
        </is>
      </c>
      <c r="X403" s="0" t="n">
        <v>4</v>
      </c>
      <c r="Y403" s="0" t="n">
        <v>64</v>
      </c>
      <c r="Z403" s="0" t="n">
        <v>14</v>
      </c>
      <c r="AA403" s="0" t="inlineStr">
        <is>
          <t>No</t>
        </is>
      </c>
    </row>
    <row r="404" ht="15.75" customHeight="1" s="51">
      <c r="A404" s="38" t="inlineStr">
        <is>
          <t>CAL-040-02</t>
        </is>
      </c>
      <c r="B404" s="38" t="inlineStr">
        <is>
          <t>Calliope</t>
        </is>
      </c>
      <c r="C404" s="38" t="inlineStr">
        <is>
          <t>Laptops</t>
        </is>
      </c>
      <c r="D404" s="38" t="inlineStr">
        <is>
          <t>Laptop</t>
        </is>
      </c>
      <c r="E404" s="39" t="inlineStr">
        <is>
          <t>Calliope Orbit 15" Budget Laptop</t>
        </is>
      </c>
      <c r="F404" s="40" t="n">
        <v>428.99</v>
      </c>
      <c r="G404" s="38" t="inlineStr">
        <is>
          <t>the Orbit; Calliope Orbit; Claliope Orbit; Orbit laptop</t>
        </is>
      </c>
      <c r="H404" s="38" t="inlineStr">
        <is>
          <t>1 year limited</t>
        </is>
      </c>
      <c r="I404" s="38" t="inlineStr">
        <is>
          <t>FCC, CE, UL 62368-1, Energy Star, EPEAT Silver</t>
        </is>
      </c>
      <c r="J404" s="38" t="inlineStr">
        <is>
          <t>Intel Core Ultra 5 125U</t>
        </is>
      </c>
      <c r="K404" s="38" t="inlineStr">
        <is>
          <t>Intel Graphics</t>
        </is>
      </c>
      <c r="L404" s="38" t="inlineStr">
        <is>
          <t>IPS, 60Hz</t>
        </is>
      </c>
      <c r="M404" s="38" t="inlineStr">
        <is>
          <t>1920x1080</t>
        </is>
      </c>
      <c r="N404" s="38" t="inlineStr">
        <is>
          <t>2x Thunderbolt 4 (USB-C), 1x USB-A 3.2, HDMI 2.1, microSD, 3.5mm audio</t>
        </is>
      </c>
      <c r="O404" s="38" t="inlineStr">
        <is>
          <t>Windows 11 Home</t>
        </is>
      </c>
      <c r="P404" s="38" t="n">
        <v>9</v>
      </c>
      <c r="Q404" s="41" t="n">
        <v>1760</v>
      </c>
      <c r="R404" s="38" t="inlineStr">
        <is>
          <t>Longer battery than Momus Crest Max 15" Budget Laptop [MOM-043-02] (9 vs 6 hrs); Lower price than Boreas Onyx Max 15" Budget Laptop [BOR-044-01] ($428.99 vs $484.99)</t>
        </is>
      </c>
      <c r="S404" s="38" t="inlineStr">
        <is>
          <t>budget, everyday, school</t>
        </is>
      </c>
      <c r="T404" s="0" t="inlineStr">
        <is>
          <t>in_stock</t>
        </is>
      </c>
      <c r="U404" s="0" t="n">
        <v>60</v>
      </c>
      <c r="V404" s="52" t="n">
        <v>467.99</v>
      </c>
      <c r="W404" s="0" t="inlineStr">
        <is>
          <t>2026-09-05</t>
        </is>
      </c>
      <c r="X404" s="0" t="n">
        <v>8</v>
      </c>
      <c r="Y404" s="0" t="n">
        <v>256</v>
      </c>
      <c r="Z404" s="0" t="n">
        <v>15.6</v>
      </c>
      <c r="AA404" s="0" t="inlineStr">
        <is>
          <t>No</t>
        </is>
      </c>
    </row>
    <row r="405" ht="15.75" customHeight="1" s="51">
      <c r="A405" s="38" t="inlineStr">
        <is>
          <t>CAL-040-03</t>
        </is>
      </c>
      <c r="B405" s="38" t="inlineStr">
        <is>
          <t>Calliope</t>
        </is>
      </c>
      <c r="C405" s="38" t="inlineStr">
        <is>
          <t>Laptops</t>
        </is>
      </c>
      <c r="D405" s="38" t="inlineStr">
        <is>
          <t>Laptop</t>
        </is>
      </c>
      <c r="E405" s="39" t="inlineStr">
        <is>
          <t>Calliope Strata Plus 2-in-1 Convertible</t>
        </is>
      </c>
      <c r="F405" s="40" t="n">
        <v>1259.99</v>
      </c>
      <c r="G405" s="38" t="inlineStr">
        <is>
          <t>the Strata Plus; Calliope Strata Plus; Calliop Strata Plus; Strata Plus laptop</t>
        </is>
      </c>
      <c r="H405" s="38" t="inlineStr">
        <is>
          <t>1 year limited</t>
        </is>
      </c>
      <c r="I405" s="38" t="inlineStr">
        <is>
          <t>FCC, CE, UL 62368-1, Energy Star, EPEAT Silver</t>
        </is>
      </c>
      <c r="J405" s="38" t="inlineStr">
        <is>
          <t>AMD Ryzen 7 8845HS</t>
        </is>
      </c>
      <c r="K405" s="38" t="inlineStr">
        <is>
          <t>AMD Radeon 780M</t>
        </is>
      </c>
      <c r="L405" s="38" t="inlineStr">
        <is>
          <t>OLED touch, 60Hz</t>
        </is>
      </c>
      <c r="M405" s="38" t="inlineStr">
        <is>
          <t>2880x1800</t>
        </is>
      </c>
      <c r="N405" s="38" t="inlineStr">
        <is>
          <t>2x USB4 (USB-C), 2x USB-A 3.2, HDMI 2.1, SD card, 3.5mm audio</t>
        </is>
      </c>
      <c r="O405" s="38" t="inlineStr">
        <is>
          <t>Windows 11 Home</t>
        </is>
      </c>
      <c r="P405" s="38" t="n">
        <v>16</v>
      </c>
      <c r="Q405" s="41" t="n">
        <v>1421</v>
      </c>
      <c r="R405" s="38" t="inlineStr">
        <is>
          <t>Longer battery than Momus Onyx Air 2-in-1 Convertible [MOM-043-06] (16 vs 10 hrs); Lower price than Melpomene Nimbus Plus 2-in-1 Convertible [MEL-026-04] ($1,259.99 vs $1,690.99)</t>
        </is>
      </c>
      <c r="S405" s="38" t="inlineStr">
        <is>
          <t>school, note-taking, travel</t>
        </is>
      </c>
      <c r="T405" s="0" t="inlineStr">
        <is>
          <t>in_stock</t>
        </is>
      </c>
      <c r="U405" s="0" t="n">
        <v>60</v>
      </c>
      <c r="V405" s="52" t="n">
        <v>1432.99</v>
      </c>
      <c r="W405" s="0" t="inlineStr">
        <is>
          <t>2026-08-01</t>
        </is>
      </c>
      <c r="X405" s="0" t="n">
        <v>16</v>
      </c>
      <c r="Y405" s="0" t="n">
        <v>1024</v>
      </c>
      <c r="Z405" s="0" t="n">
        <v>14</v>
      </c>
      <c r="AA405" s="0" t="inlineStr">
        <is>
          <t>Yes</t>
        </is>
      </c>
    </row>
    <row r="406" ht="15.75" customHeight="1" s="51">
      <c r="A406" s="38" t="inlineStr">
        <is>
          <t>CAL-040-04</t>
        </is>
      </c>
      <c r="B406" s="38" t="inlineStr">
        <is>
          <t>Calliope</t>
        </is>
      </c>
      <c r="C406" s="38" t="inlineStr">
        <is>
          <t>Laptops</t>
        </is>
      </c>
      <c r="D406" s="38" t="inlineStr">
        <is>
          <t>Laptop</t>
        </is>
      </c>
      <c r="E406" s="39" t="inlineStr">
        <is>
          <t>Calliope Aeon Ultra 13" Ultrabook</t>
        </is>
      </c>
      <c r="F406" s="40" t="n">
        <v>1433.99</v>
      </c>
      <c r="G406" s="38" t="inlineStr">
        <is>
          <t>the Aeon Ultra; Calliope Aeon Ultra; Callioope Aeon Ultra; Aeon Ultra laptop</t>
        </is>
      </c>
      <c r="H406" s="38" t="inlineStr">
        <is>
          <t>1 year limited</t>
        </is>
      </c>
      <c r="I406" s="38" t="inlineStr">
        <is>
          <t>FCC, CE, UL 62368-1, Energy Star, EPEAT Bronze</t>
        </is>
      </c>
      <c r="J406" s="38" t="inlineStr">
        <is>
          <t>AMD Ryzen AI 9 HX 370</t>
        </is>
      </c>
      <c r="K406" s="38" t="inlineStr">
        <is>
          <t>AMD Radeon 890M</t>
        </is>
      </c>
      <c r="L406" s="38" t="inlineStr">
        <is>
          <t>OLED, 90Hz</t>
        </is>
      </c>
      <c r="M406" s="38" t="inlineStr">
        <is>
          <t>2880x1800</t>
        </is>
      </c>
      <c r="N406" s="38" t="inlineStr">
        <is>
          <t>2x USB4 (USB-C), 2x USB-A 3.2, HDMI 2.1, SD card, 3.5mm audio</t>
        </is>
      </c>
      <c r="O406" s="38" t="inlineStr">
        <is>
          <t>Windows 11 Home</t>
        </is>
      </c>
      <c r="P406" s="38" t="n">
        <v>22</v>
      </c>
      <c r="Q406" s="41" t="n">
        <v>1086</v>
      </c>
      <c r="R406" s="38" t="inlineStr">
        <is>
          <t>Lower price than Priapus Vibe X 13" Ultrabook [PRI-042-06] ($1,433.99 vs $1,600.99); Lighter than Heracles Orbit Max 13" Ultrabook [HER-037-06] (1,086 g vs 1,191 g)</t>
        </is>
      </c>
      <c r="S406" s="38" t="inlineStr">
        <is>
          <t>travel, school, work</t>
        </is>
      </c>
      <c r="T406" s="0" t="inlineStr">
        <is>
          <t>in_stock</t>
        </is>
      </c>
      <c r="U406" s="0" t="n">
        <v>60</v>
      </c>
      <c r="V406" s="52" t="n">
        <v>1561.99</v>
      </c>
      <c r="W406" s="0" t="inlineStr">
        <is>
          <t>2026-08-13</t>
        </is>
      </c>
      <c r="X406" s="0" t="n">
        <v>16</v>
      </c>
      <c r="Y406" s="0" t="n">
        <v>1024</v>
      </c>
      <c r="Z406" s="0" t="n">
        <v>13.3</v>
      </c>
      <c r="AA406" s="0" t="inlineStr">
        <is>
          <t>No</t>
        </is>
      </c>
    </row>
    <row r="407" ht="15.75" customHeight="1" s="51">
      <c r="A407" s="38" t="inlineStr">
        <is>
          <t>CAL-040-05</t>
        </is>
      </c>
      <c r="B407" s="38" t="inlineStr">
        <is>
          <t>Calliope</t>
        </is>
      </c>
      <c r="C407" s="38" t="inlineStr">
        <is>
          <t>Laptops</t>
        </is>
      </c>
      <c r="D407" s="38" t="inlineStr">
        <is>
          <t>Laptop</t>
        </is>
      </c>
      <c r="E407" s="39" t="inlineStr">
        <is>
          <t>Calliope Aeon Dual-Screen Laptop</t>
        </is>
      </c>
      <c r="F407" s="40" t="n">
        <v>1507.99</v>
      </c>
      <c r="G407" s="38" t="inlineStr">
        <is>
          <t>the Aeon; Calliope Aeon; Calliop Aeon; Aeon laptop</t>
        </is>
      </c>
      <c r="H407" s="38" t="inlineStr">
        <is>
          <t>1 year limited</t>
        </is>
      </c>
      <c r="I407" s="38" t="inlineStr">
        <is>
          <t>FCC, CE, UL 62368-1, EPEAT Silver</t>
        </is>
      </c>
      <c r="J407" s="38" t="inlineStr">
        <is>
          <t>Qualcomm Snapdragon X Plus X1P-42-100</t>
        </is>
      </c>
      <c r="K407" s="38" t="inlineStr">
        <is>
          <t>Qualcomm Adreno X1-45</t>
        </is>
      </c>
      <c r="L407" s="38" t="inlineStr">
        <is>
          <t>Dual OLED touch, 120Hz</t>
        </is>
      </c>
      <c r="M407" s="38" t="inlineStr">
        <is>
          <t>2x 2880x1800</t>
        </is>
      </c>
      <c r="N407" s="38" t="inlineStr">
        <is>
          <t>2x USB4 (USB-C), 1x USB-A 3.2, 3.5mm audio</t>
        </is>
      </c>
      <c r="O407" s="38" t="inlineStr">
        <is>
          <t>Windows 11 Home</t>
        </is>
      </c>
      <c r="P407" s="38" t="n">
        <v>9</v>
      </c>
      <c r="Q407" s="41" t="n">
        <v>1851</v>
      </c>
      <c r="R407" s="38" t="inlineStr">
        <is>
          <t>Lower price than Thallo Quanta Ultra Dual-Screen Laptop [THA-046-08] ($1,507.99 vs $2,911.99); Lighter than Aristaeus Vibe Pro Dual-Screen Laptop [ARI-027-08] (1,851 g vs 1,855 g)</t>
        </is>
      </c>
      <c r="S407" s="38" t="inlineStr">
        <is>
          <t>multitasking, productivity, content creation</t>
        </is>
      </c>
      <c r="T407" s="0" t="inlineStr">
        <is>
          <t>out_of_stock</t>
        </is>
      </c>
      <c r="U407" s="0" t="n">
        <v>60</v>
      </c>
      <c r="V407" s="52" t="n">
        <v>1614.99</v>
      </c>
      <c r="W407" s="0" t="inlineStr">
        <is>
          <t>2026-08-14</t>
        </is>
      </c>
      <c r="X407" s="0" t="n">
        <v>16</v>
      </c>
      <c r="Y407" s="0" t="n">
        <v>1024</v>
      </c>
      <c r="Z407" s="0" t="n">
        <v>14</v>
      </c>
      <c r="AA407" s="0" t="inlineStr">
        <is>
          <t>Yes</t>
        </is>
      </c>
    </row>
    <row r="408" ht="15.75" customHeight="1" s="51">
      <c r="A408" s="38" t="inlineStr">
        <is>
          <t>CAL-040-06</t>
        </is>
      </c>
      <c r="B408" s="38" t="inlineStr">
        <is>
          <t>Calliope</t>
        </is>
      </c>
      <c r="C408" s="38" t="inlineStr">
        <is>
          <t>Laptops</t>
        </is>
      </c>
      <c r="D408" s="38" t="inlineStr">
        <is>
          <t>Laptop</t>
        </is>
      </c>
      <c r="E408" s="39" t="inlineStr">
        <is>
          <t>Calliope Aeon X 15" Ultrabook</t>
        </is>
      </c>
      <c r="F408" s="40" t="n">
        <v>2184.99</v>
      </c>
      <c r="G408" s="38" t="inlineStr">
        <is>
          <t>the Aeon X; Calliope Aeon X; Callliope Aeon X; Aeon X laptop</t>
        </is>
      </c>
      <c r="H408" s="38" t="inlineStr">
        <is>
          <t>2 year limited</t>
        </is>
      </c>
      <c r="I408" s="38" t="inlineStr">
        <is>
          <t>FCC, CE, UL 62368-1, Energy Star, EPEAT Silver</t>
        </is>
      </c>
      <c r="J408" s="38" t="inlineStr">
        <is>
          <t>Intel Core Ultra 7 155H</t>
        </is>
      </c>
      <c r="K408" s="38" t="inlineStr">
        <is>
          <t>Intel Arc Graphics</t>
        </is>
      </c>
      <c r="L408" s="38" t="inlineStr">
        <is>
          <t>OLED, 120Hz</t>
        </is>
      </c>
      <c r="M408" s="38" t="inlineStr">
        <is>
          <t>2880x1800</t>
        </is>
      </c>
      <c r="N408" s="38" t="inlineStr">
        <is>
          <t>2x Thunderbolt 4 (USB-C), 1x USB-A 3.2, HDMI 2.1, microSD, 3.5mm audio</t>
        </is>
      </c>
      <c r="O408" s="38" t="inlineStr">
        <is>
          <t>Windows 11 Home</t>
        </is>
      </c>
      <c r="P408" s="38" t="n">
        <v>18</v>
      </c>
      <c r="Q408" s="41" t="n">
        <v>1447</v>
      </c>
      <c r="R408" s="38" t="inlineStr">
        <is>
          <t>Lighter than Rhea Core 15" Ultrabook [RHE-047-07] (1,447 g vs 1,572 g); Longer battery than Aeolus Nimbus Ultra 15" Ultrabook [AEO-031-03] (18 vs 10 hrs)</t>
        </is>
      </c>
      <c r="S408" s="38" t="inlineStr">
        <is>
          <t>work, school, everyday</t>
        </is>
      </c>
      <c r="T408" s="0" t="inlineStr">
        <is>
          <t>low_stock</t>
        </is>
      </c>
      <c r="U408" s="0" t="n">
        <v>60</v>
      </c>
      <c r="V408" s="52" t="n">
        <v>2482.99</v>
      </c>
      <c r="W408" s="0" t="inlineStr">
        <is>
          <t>2026-08-19</t>
        </is>
      </c>
      <c r="X408" s="0" t="n">
        <v>32</v>
      </c>
      <c r="Y408" s="0" t="n">
        <v>2048</v>
      </c>
      <c r="Z408" s="0" t="n">
        <v>15.6</v>
      </c>
      <c r="AA408" s="0" t="inlineStr">
        <is>
          <t>No</t>
        </is>
      </c>
    </row>
    <row r="409" ht="15.75" customHeight="1" s="51">
      <c r="A409" s="38" t="inlineStr">
        <is>
          <t>CAL-040-07</t>
        </is>
      </c>
      <c r="B409" s="38" t="inlineStr">
        <is>
          <t>Calliope</t>
        </is>
      </c>
      <c r="C409" s="38" t="inlineStr">
        <is>
          <t>Laptops</t>
        </is>
      </c>
      <c r="D409" s="38" t="inlineStr">
        <is>
          <t>Laptop</t>
        </is>
      </c>
      <c r="E409" s="39" t="inlineStr">
        <is>
          <t>Calliope Drift X 15" Gaming Laptop</t>
        </is>
      </c>
      <c r="F409" s="40" t="n">
        <v>2314.99</v>
      </c>
      <c r="G409" s="38" t="inlineStr">
        <is>
          <t>the Drift X; Calliope Drift X; Callioope Drift X; Drift X laptop</t>
        </is>
      </c>
      <c r="H409" s="38" t="inlineStr">
        <is>
          <t>2 year limited</t>
        </is>
      </c>
      <c r="I409" s="38" t="inlineStr">
        <is>
          <t>FCC, CE, UL 62368-1, Energy Star, EPEAT Silver</t>
        </is>
      </c>
      <c r="J409" s="38" t="inlineStr">
        <is>
          <t>Intel Core i9-14900HX</t>
        </is>
      </c>
      <c r="K409" s="38" t="inlineStr">
        <is>
          <t>NVIDIA GeForce RTX 4070 8GB Laptop GPU</t>
        </is>
      </c>
      <c r="L409" s="38" t="inlineStr">
        <is>
          <t>IPS, 240Hz</t>
        </is>
      </c>
      <c r="M409" s="38" t="inlineStr">
        <is>
          <t>2560x1600</t>
        </is>
      </c>
      <c r="N409" s="38" t="inlineStr">
        <is>
          <t>1x Thunderbolt 4, 3x USB-A 3.2, HDMI 2.1, RJ-45 Ethernet, 3.5mm audio</t>
        </is>
      </c>
      <c r="O409" s="38" t="inlineStr">
        <is>
          <t>Windows 11 Home</t>
        </is>
      </c>
      <c r="P409" s="38" t="n">
        <v>6</v>
      </c>
      <c r="Q409" s="41" t="n">
        <v>2259</v>
      </c>
      <c r="R409" s="38" t="inlineStr">
        <is>
          <t>Longer battery than Thanatos Strata Plus 15" Gaming Laptop [THA-049-08] (6 vs 5 hrs); Lower price than Selene Strata Pro 15" Gaming Laptop [SEL-034-08] ($2,314.99 vs $2,474.99)</t>
        </is>
      </c>
      <c r="S409" s="38" t="inlineStr">
        <is>
          <t>gaming, streaming</t>
        </is>
      </c>
      <c r="T409" s="0" t="inlineStr">
        <is>
          <t>in_stock</t>
        </is>
      </c>
      <c r="U409" s="0" t="n">
        <v>60</v>
      </c>
      <c r="V409" s="52" t="n">
        <v>2650.99</v>
      </c>
      <c r="W409" s="0" t="inlineStr">
        <is>
          <t>2026-09-17</t>
        </is>
      </c>
      <c r="X409" s="0" t="n">
        <v>32</v>
      </c>
      <c r="Y409" s="0" t="n">
        <v>2048</v>
      </c>
      <c r="Z409" s="0" t="n">
        <v>15.6</v>
      </c>
      <c r="AA409" s="0" t="inlineStr">
        <is>
          <t>No</t>
        </is>
      </c>
    </row>
    <row r="410" ht="15.75" customHeight="1" s="51">
      <c r="A410" s="38" t="inlineStr">
        <is>
          <t>CAL-040-08</t>
        </is>
      </c>
      <c r="B410" s="38" t="inlineStr">
        <is>
          <t>Calliope</t>
        </is>
      </c>
      <c r="C410" s="38" t="inlineStr">
        <is>
          <t>Laptops</t>
        </is>
      </c>
      <c r="D410" s="38" t="inlineStr">
        <is>
          <t>Laptop</t>
        </is>
      </c>
      <c r="E410" s="39" t="inlineStr">
        <is>
          <t>Calliope Lumen 16" Creator Laptop</t>
        </is>
      </c>
      <c r="F410" s="40" t="n">
        <v>2523.99</v>
      </c>
      <c r="G410" s="38" t="inlineStr">
        <is>
          <t>the Lumen; Calliope Lumen; Calliop Lumen; Lumen laptop</t>
        </is>
      </c>
      <c r="H410" s="38" t="inlineStr">
        <is>
          <t>1 year limited</t>
        </is>
      </c>
      <c r="I410" s="38" t="inlineStr">
        <is>
          <t>FCC, CE, UL 62368-1, Energy Star, EPEAT Bronze</t>
        </is>
      </c>
      <c r="J410" s="38" t="inlineStr">
        <is>
          <t>Intel Core Ultra 7 155H</t>
        </is>
      </c>
      <c r="K410" s="38" t="inlineStr">
        <is>
          <t>NVIDIA GeForce RTX 4070 8GB Laptop GPU</t>
        </is>
      </c>
      <c r="L410" s="38" t="inlineStr">
        <is>
          <t>Mini-LED, 165Hz</t>
        </is>
      </c>
      <c r="M410" s="38" t="inlineStr">
        <is>
          <t>3840x2400</t>
        </is>
      </c>
      <c r="N410" s="38" t="inlineStr">
        <is>
          <t>2x Thunderbolt 4 (USB-C), 1x USB-A 3.2, HDMI 2.1, microSD, 3.5mm audio</t>
        </is>
      </c>
      <c r="O410" s="38" t="inlineStr">
        <is>
          <t>Windows 11 Home</t>
        </is>
      </c>
      <c r="P410" s="38" t="n">
        <v>9</v>
      </c>
      <c r="Q410" s="41" t="n">
        <v>2191</v>
      </c>
      <c r="R410" s="38" t="inlineStr">
        <is>
          <t>Lighter than Hygieia Quanta SE 16" Creator Laptop [HYG-048-09] (2,191 g vs 2,220 g); Longer battery than Demeter Apex 16" Creator Laptop [DEM-028-07] (9 vs 6 hrs)</t>
        </is>
      </c>
      <c r="S410" s="38" t="inlineStr">
        <is>
          <t>video editing, photo editing, content creation</t>
        </is>
      </c>
      <c r="T410" s="0" t="inlineStr">
        <is>
          <t>in_stock</t>
        </is>
      </c>
      <c r="U410" s="0" t="n">
        <v>60</v>
      </c>
      <c r="V410" s="52" t="n">
        <v>2638.99</v>
      </c>
      <c r="W410" s="0" t="inlineStr">
        <is>
          <t>2026-09-25</t>
        </is>
      </c>
      <c r="X410" s="0" t="n">
        <v>32</v>
      </c>
      <c r="Y410" s="0" t="n">
        <v>2048</v>
      </c>
      <c r="Z410" s="0" t="n">
        <v>16</v>
      </c>
      <c r="AA410" s="0" t="inlineStr">
        <is>
          <t>No</t>
        </is>
      </c>
    </row>
    <row r="411" ht="15.75" customHeight="1" s="51">
      <c r="A411" s="38" t="inlineStr">
        <is>
          <t>CAL-040-09</t>
        </is>
      </c>
      <c r="B411" s="38" t="inlineStr">
        <is>
          <t>Calliope</t>
        </is>
      </c>
      <c r="C411" s="38" t="inlineStr">
        <is>
          <t>Laptops</t>
        </is>
      </c>
      <c r="D411" s="38" t="inlineStr">
        <is>
          <t>Laptop</t>
        </is>
      </c>
      <c r="E411" s="39" t="inlineStr">
        <is>
          <t>Calliope Aeon Max Rugged Laptop</t>
        </is>
      </c>
      <c r="F411" s="40" t="n">
        <v>3218.99</v>
      </c>
      <c r="G411" s="38" t="inlineStr">
        <is>
          <t>the Aeon Max; Calliope Aeon Max; Calilope Aeon Max; Aeon Max laptop</t>
        </is>
      </c>
      <c r="H411" s="38" t="inlineStr">
        <is>
          <t>3 year limited, accidental damage</t>
        </is>
      </c>
      <c r="I411" s="38" t="inlineStr">
        <is>
          <t>FCC, CE, UL 62368-1, EPEAT Silver, MIL-STD-810H, IP65</t>
        </is>
      </c>
      <c r="J411" s="38" t="inlineStr">
        <is>
          <t>AMD Ryzen 7 8845HS</t>
        </is>
      </c>
      <c r="K411" s="38" t="inlineStr">
        <is>
          <t>AMD Radeon 780M</t>
        </is>
      </c>
      <c r="L411" s="38" t="inlineStr">
        <is>
          <t>IPS sunlight-readable 1000 nits, touch</t>
        </is>
      </c>
      <c r="M411" s="38" t="inlineStr">
        <is>
          <t>1920x1080</t>
        </is>
      </c>
      <c r="N411" s="38" t="inlineStr">
        <is>
          <t>2x USB4 (USB-C), 2x USB-A 3.2, HDMI 2.1, SD card, 3.5mm audio, RJ-45 Ethernet, serial (RS-232), smart card reader</t>
        </is>
      </c>
      <c r="O411" s="38" t="inlineStr">
        <is>
          <t>Windows 11 Pro</t>
        </is>
      </c>
      <c r="P411" s="38" t="n">
        <v>9</v>
      </c>
      <c r="Q411" s="41" t="n">
        <v>3330</v>
      </c>
      <c r="R411" s="38" t="inlineStr">
        <is>
          <t>Longer battery than Thalia Flux Ultra Rugged Laptop [THA-030-09] (9 vs 8 hrs); Lower price than Selene Drift X Rugged Laptop [SEL-034-10] ($3,218.99 vs $3,855.99)</t>
        </is>
      </c>
      <c r="S411" s="38" t="inlineStr">
        <is>
          <t>fieldwork, outdoor, industrial</t>
        </is>
      </c>
      <c r="T411" s="0" t="inlineStr">
        <is>
          <t>in_stock</t>
        </is>
      </c>
      <c r="U411" s="0" t="n">
        <v>60</v>
      </c>
      <c r="V411" s="52" t="n">
        <v>3526.99</v>
      </c>
      <c r="W411" s="0" t="inlineStr">
        <is>
          <t>2026-08-28</t>
        </is>
      </c>
      <c r="X411" s="0" t="n">
        <v>64</v>
      </c>
      <c r="Y411" s="0" t="n">
        <v>2048</v>
      </c>
      <c r="Z411" s="0" t="n">
        <v>17.3</v>
      </c>
      <c r="AA411" s="0" t="inlineStr">
        <is>
          <t>Yes</t>
        </is>
      </c>
    </row>
    <row r="412" ht="15.75" customHeight="1" s="51">
      <c r="A412" s="38" t="inlineStr">
        <is>
          <t>CAL-040-10</t>
        </is>
      </c>
      <c r="B412" s="38" t="inlineStr">
        <is>
          <t>Calliope</t>
        </is>
      </c>
      <c r="C412" s="38" t="inlineStr">
        <is>
          <t>Laptops</t>
        </is>
      </c>
      <c r="D412" s="38" t="inlineStr">
        <is>
          <t>Laptop</t>
        </is>
      </c>
      <c r="E412" s="39" t="inlineStr">
        <is>
          <t>Calliope Aeon X 17" Gaming Laptop</t>
        </is>
      </c>
      <c r="F412" s="40" t="n">
        <v>3521.99</v>
      </c>
      <c r="G412" s="38" t="inlineStr">
        <is>
          <t>the Aeon X; Calliope Aeon X; Callioppe Aeon X; Aeon X laptop</t>
        </is>
      </c>
      <c r="H412" s="38" t="inlineStr">
        <is>
          <t>2 year limited</t>
        </is>
      </c>
      <c r="I412" s="38" t="inlineStr">
        <is>
          <t>FCC, CE, UL 62368-1, EPEAT Bronze</t>
        </is>
      </c>
      <c r="J412" s="38" t="inlineStr">
        <is>
          <t>AMD Ryzen 9 7945HX</t>
        </is>
      </c>
      <c r="K412" s="38" t="inlineStr">
        <is>
          <t>NVIDIA GeForce RTX 4090 16GB Laptop GPU</t>
        </is>
      </c>
      <c r="L412" s="38" t="inlineStr">
        <is>
          <t>Mini-LED, 240Hz</t>
        </is>
      </c>
      <c r="M412" s="38" t="inlineStr">
        <is>
          <t>2560x1600</t>
        </is>
      </c>
      <c r="N412" s="38" t="inlineStr">
        <is>
          <t>1x USB4, 3x USB-A 3.2, HDMI 2.1, RJ-45 Ethernet, 3.5mm audio</t>
        </is>
      </c>
      <c r="O412" s="38" t="inlineStr">
        <is>
          <t>Windows 11 Home</t>
        </is>
      </c>
      <c r="P412" s="38" t="n">
        <v>4</v>
      </c>
      <c r="Q412" s="41" t="n">
        <v>3182</v>
      </c>
      <c r="R412" s="38" t="inlineStr">
        <is>
          <t>Lighter than Polyhymnia Echo Pro 17" Gaming Laptop [POL-041-07] (3,182 g vs 3,363 g); Longer battery than Zephyrus Lumen Pro 17" Gaming Laptop [ZEP-032-08] (4 vs 3 hrs)</t>
        </is>
      </c>
      <c r="S412" s="38" t="inlineStr">
        <is>
          <t>gaming, streaming, content creation</t>
        </is>
      </c>
      <c r="T412" s="0" t="inlineStr">
        <is>
          <t>in_stock</t>
        </is>
      </c>
      <c r="U412" s="0" t="n">
        <v>60</v>
      </c>
      <c r="V412" s="52" t="n">
        <v>3856.99</v>
      </c>
      <c r="W412" s="0" t="inlineStr">
        <is>
          <t>2026-08-02</t>
        </is>
      </c>
      <c r="X412" s="0" t="n">
        <v>64</v>
      </c>
      <c r="Y412" s="0" t="n">
        <v>4096</v>
      </c>
      <c r="Z412" s="0" t="n">
        <v>17.3</v>
      </c>
      <c r="AA412" s="0" t="inlineStr">
        <is>
          <t>No</t>
        </is>
      </c>
    </row>
    <row r="413" ht="15.75" customHeight="1" s="51">
      <c r="A413" s="38" t="inlineStr">
        <is>
          <t>POL-041-01</t>
        </is>
      </c>
      <c r="B413" s="38" t="inlineStr">
        <is>
          <t>Polyhymnia</t>
        </is>
      </c>
      <c r="C413" s="38" t="inlineStr">
        <is>
          <t>Laptops</t>
        </is>
      </c>
      <c r="D413" s="38" t="inlineStr">
        <is>
          <t>Laptop</t>
        </is>
      </c>
      <c r="E413" s="39" t="inlineStr">
        <is>
          <t>Polyhymnia Aeon 15" Budget Laptop</t>
        </is>
      </c>
      <c r="F413" s="40" t="n">
        <v>279.99</v>
      </c>
      <c r="G413" s="38" t="inlineStr">
        <is>
          <t>the Aeon; Polyhymnia Aeon; Polhyymnia Aeon; Aeon laptop</t>
        </is>
      </c>
      <c r="H413" s="38" t="inlineStr">
        <is>
          <t>1 year limited</t>
        </is>
      </c>
      <c r="I413" s="38" t="inlineStr">
        <is>
          <t>FCC, CE, UL 62368-1, EPEAT Gold</t>
        </is>
      </c>
      <c r="J413" s="38" t="inlineStr">
        <is>
          <t>Intel Core i3-1315U</t>
        </is>
      </c>
      <c r="K413" s="38" t="inlineStr">
        <is>
          <t>Intel UHD Graphics</t>
        </is>
      </c>
      <c r="L413" s="38" t="inlineStr">
        <is>
          <t>TN, 60Hz</t>
        </is>
      </c>
      <c r="M413" s="38" t="inlineStr">
        <is>
          <t>1366x768</t>
        </is>
      </c>
      <c r="N413" s="38" t="inlineStr">
        <is>
          <t>2x USB-C 3.2, 1x USB-A 3.2, HDMI 1.4, 3.5mm audio</t>
        </is>
      </c>
      <c r="O413" s="38" t="inlineStr">
        <is>
          <t>Windows 11 Home</t>
        </is>
      </c>
      <c r="P413" s="38" t="n">
        <v>9</v>
      </c>
      <c r="Q413" s="41" t="n">
        <v>1758</v>
      </c>
      <c r="R413" s="38" t="inlineStr">
        <is>
          <t>Lower price than Thallo Drift X 15" Budget Laptop [THA-046-02] ($279.99 vs $462.99); Longer battery than Heracles Nova Max 15" Budget Laptop [HER-037-02] (9 vs 8 hrs)</t>
        </is>
      </c>
      <c r="S413" s="38" t="inlineStr">
        <is>
          <t>budget, everyday, school</t>
        </is>
      </c>
      <c r="T413" s="0" t="inlineStr">
        <is>
          <t>in_stock</t>
        </is>
      </c>
      <c r="U413" s="0" t="n">
        <v>30</v>
      </c>
      <c r="V413" s="52" t="n">
        <v>308.99</v>
      </c>
      <c r="W413" s="0" t="inlineStr">
        <is>
          <t>2026-08-28</t>
        </is>
      </c>
      <c r="X413" s="0" t="n">
        <v>8</v>
      </c>
      <c r="Y413" s="0" t="n">
        <v>256</v>
      </c>
      <c r="Z413" s="0" t="n">
        <v>15.6</v>
      </c>
      <c r="AA413" s="0" t="inlineStr">
        <is>
          <t>No</t>
        </is>
      </c>
    </row>
    <row r="414" ht="15.75" customHeight="1" s="51">
      <c r="A414" s="38" t="inlineStr">
        <is>
          <t>POL-041-02</t>
        </is>
      </c>
      <c r="B414" s="38" t="inlineStr">
        <is>
          <t>Polyhymnia</t>
        </is>
      </c>
      <c r="C414" s="38" t="inlineStr">
        <is>
          <t>Laptops</t>
        </is>
      </c>
      <c r="D414" s="38" t="inlineStr">
        <is>
          <t>Laptop</t>
        </is>
      </c>
      <c r="E414" s="39" t="inlineStr">
        <is>
          <t>Polyhymnia Orbit X Chromebook</t>
        </is>
      </c>
      <c r="F414" s="40" t="n">
        <v>466.99</v>
      </c>
      <c r="G414" s="38" t="inlineStr">
        <is>
          <t>the Orbit X; Polyhymnia Orbit X; Polyyhmnia Orbit X; Orbit X laptop</t>
        </is>
      </c>
      <c r="H414" s="38" t="inlineStr">
        <is>
          <t>1 year limited</t>
        </is>
      </c>
      <c r="I414" s="38" t="inlineStr">
        <is>
          <t>FCC, CE, UL 62368-1, Energy Star, EPEAT Gold</t>
        </is>
      </c>
      <c r="J414" s="38" t="inlineStr">
        <is>
          <t>MediaTek Kompanio 520</t>
        </is>
      </c>
      <c r="K414" s="38" t="inlineStr">
        <is>
          <t>Arm Mali-G52 MC2</t>
        </is>
      </c>
      <c r="L414" s="38" t="inlineStr">
        <is>
          <t>IPS, 60Hz</t>
        </is>
      </c>
      <c r="M414" s="38" t="inlineStr">
        <is>
          <t>1920x1080</t>
        </is>
      </c>
      <c r="N414" s="38" t="inlineStr">
        <is>
          <t>2x USB-C 3.2, 1x USB-A 3.2, HDMI 1.4, 3.5mm audio</t>
        </is>
      </c>
      <c r="O414" s="38" t="inlineStr">
        <is>
          <t>ChromeOS</t>
        </is>
      </c>
      <c r="P414" s="38" t="n">
        <v>10</v>
      </c>
      <c r="Q414" s="41" t="n">
        <v>1130</v>
      </c>
      <c r="R414" s="38" t="inlineStr">
        <is>
          <t>Lower price than Zephyrus Pulse Chromebook [ZEP-032-02] ($466.99 vs $695.99); Lighter than Demeter Prism Max Chromebook [DEM-028-01] (1,130 g vs 1,299 g)</t>
        </is>
      </c>
      <c r="S414" s="38" t="inlineStr">
        <is>
          <t>school, kids, budget</t>
        </is>
      </c>
      <c r="T414" s="0" t="inlineStr">
        <is>
          <t>low_stock</t>
        </is>
      </c>
      <c r="U414" s="0" t="n">
        <v>30</v>
      </c>
      <c r="V414" s="52" t="n">
        <v>531.99</v>
      </c>
      <c r="W414" s="0" t="inlineStr">
        <is>
          <t>2026-09-09</t>
        </is>
      </c>
      <c r="X414" s="0" t="n">
        <v>8</v>
      </c>
      <c r="Y414" s="0" t="n">
        <v>128</v>
      </c>
      <c r="Z414" s="0" t="n">
        <v>11.6</v>
      </c>
      <c r="AA414" s="0" t="inlineStr">
        <is>
          <t>No</t>
        </is>
      </c>
    </row>
    <row r="415" ht="15.75" customHeight="1" s="51">
      <c r="A415" s="38" t="inlineStr">
        <is>
          <t>POL-041-03</t>
        </is>
      </c>
      <c r="B415" s="38" t="inlineStr">
        <is>
          <t>Polyhymnia</t>
        </is>
      </c>
      <c r="C415" s="38" t="inlineStr">
        <is>
          <t>Laptops</t>
        </is>
      </c>
      <c r="D415" s="38" t="inlineStr">
        <is>
          <t>Laptop</t>
        </is>
      </c>
      <c r="E415" s="39" t="inlineStr">
        <is>
          <t>Polyhymnia Quanta Plus Student Laptop</t>
        </is>
      </c>
      <c r="F415" s="40" t="n">
        <v>713.99</v>
      </c>
      <c r="G415" s="38" t="inlineStr">
        <is>
          <t>the Quanta Plus; Polyhymnia Quanta Plus; Polyyhymnia Quanta Plus; Quanta Plus laptop</t>
        </is>
      </c>
      <c r="H415" s="38" t="inlineStr">
        <is>
          <t>2 year limited</t>
        </is>
      </c>
      <c r="I415" s="38" t="inlineStr">
        <is>
          <t>FCC, CE, UL 62368-1, EPEAT Bronze</t>
        </is>
      </c>
      <c r="J415" s="38" t="inlineStr">
        <is>
          <t>Intel Core Ultra 5 125U</t>
        </is>
      </c>
      <c r="K415" s="38" t="inlineStr">
        <is>
          <t>Intel Graphics</t>
        </is>
      </c>
      <c r="L415" s="38" t="inlineStr">
        <is>
          <t>IPS, 60Hz</t>
        </is>
      </c>
      <c r="M415" s="38" t="inlineStr">
        <is>
          <t>1920x1080</t>
        </is>
      </c>
      <c r="N415" s="38" t="inlineStr">
        <is>
          <t>2x Thunderbolt 4 (USB-C), 1x USB-A 3.2, HDMI 2.1, microSD, 3.5mm audio</t>
        </is>
      </c>
      <c r="O415" s="38" t="inlineStr">
        <is>
          <t>Windows 11 Home</t>
        </is>
      </c>
      <c r="P415" s="38" t="n">
        <v>10</v>
      </c>
      <c r="Q415" s="41" t="n">
        <v>1678</v>
      </c>
      <c r="R415" s="38" t="inlineStr">
        <is>
          <t>Lighter than Aeolus Arc Plus Student Laptop [AEO-031-02] (1,678 g vs 1,689 g); Longer battery than Auxo Aria Plus Student Laptop [AUX-038-01] (10 vs 7 hrs)</t>
        </is>
      </c>
      <c r="S415" s="38" t="inlineStr">
        <is>
          <t>school, everyday, budget</t>
        </is>
      </c>
      <c r="T415" s="0" t="inlineStr">
        <is>
          <t>in_stock</t>
        </is>
      </c>
      <c r="U415" s="0" t="n">
        <v>30</v>
      </c>
      <c r="V415" s="52" t="n">
        <v>781.99</v>
      </c>
      <c r="W415" s="0" t="inlineStr">
        <is>
          <t>2026-08-27</t>
        </is>
      </c>
      <c r="X415" s="0" t="n">
        <v>16</v>
      </c>
      <c r="Y415" s="0" t="n">
        <v>512</v>
      </c>
      <c r="Z415" s="0" t="n">
        <v>15.6</v>
      </c>
      <c r="AA415" s="0" t="inlineStr">
        <is>
          <t>No</t>
        </is>
      </c>
    </row>
    <row r="416" ht="15.75" customHeight="1" s="51">
      <c r="A416" s="38" t="inlineStr">
        <is>
          <t>POL-041-04</t>
        </is>
      </c>
      <c r="B416" s="38" t="inlineStr">
        <is>
          <t>Polyhymnia</t>
        </is>
      </c>
      <c r="C416" s="38" t="inlineStr">
        <is>
          <t>Laptops</t>
        </is>
      </c>
      <c r="D416" s="38" t="inlineStr">
        <is>
          <t>Laptop</t>
        </is>
      </c>
      <c r="E416" s="39" t="inlineStr">
        <is>
          <t>Polyhymnia Volt Plus 13" Ultrabook</t>
        </is>
      </c>
      <c r="F416" s="40" t="n">
        <v>1123.99</v>
      </c>
      <c r="G416" s="38" t="inlineStr">
        <is>
          <t>the Volt Plus; Polyhymnia Volt Plus; Pollyhymnia Volt Plus; Volt Plus laptop</t>
        </is>
      </c>
      <c r="H416" s="38" t="inlineStr">
        <is>
          <t>1 year limited</t>
        </is>
      </c>
      <c r="I416" s="38" t="inlineStr">
        <is>
          <t>FCC, CE, UL 62368-1, Energy Star, EPEAT Bronze</t>
        </is>
      </c>
      <c r="J416" s="38" t="inlineStr">
        <is>
          <t>AMD Ryzen 5 8640HS</t>
        </is>
      </c>
      <c r="K416" s="38" t="inlineStr">
        <is>
          <t>AMD Radeon 760M</t>
        </is>
      </c>
      <c r="L416" s="38" t="inlineStr">
        <is>
          <t>IPS, 60Hz</t>
        </is>
      </c>
      <c r="M416" s="38" t="inlineStr">
        <is>
          <t>1920x1200</t>
        </is>
      </c>
      <c r="N416" s="38" t="inlineStr">
        <is>
          <t>2x USB-C 3.2, 1x USB-A 3.2, HDMI 1.4, 3.5mm audio</t>
        </is>
      </c>
      <c r="O416" s="38" t="inlineStr">
        <is>
          <t>Windows 11 Home</t>
        </is>
      </c>
      <c r="P416" s="38" t="n">
        <v>21</v>
      </c>
      <c r="Q416" s="41" t="n">
        <v>1237</v>
      </c>
      <c r="R416" s="38" t="inlineStr">
        <is>
          <t>Lower price than Homonoia Lumen 13" Ultrabook [HOM-033-04] ($1,123.99 vs $1,849.99); Longer battery than Metis Crest Plus 13" Ultrabook [MET-029-04] (21 vs 15 hrs)</t>
        </is>
      </c>
      <c r="S416" s="38" t="inlineStr">
        <is>
          <t>travel, school, work</t>
        </is>
      </c>
      <c r="T416" s="0" t="inlineStr">
        <is>
          <t>in_stock</t>
        </is>
      </c>
      <c r="U416" s="0" t="n">
        <v>30</v>
      </c>
      <c r="V416" s="52" t="n">
        <v>1182.99</v>
      </c>
      <c r="W416" s="0" t="inlineStr">
        <is>
          <t>2026-09-06</t>
        </is>
      </c>
      <c r="X416" s="0" t="n">
        <v>16</v>
      </c>
      <c r="Y416" s="0" t="n">
        <v>1024</v>
      </c>
      <c r="Z416" s="0" t="n">
        <v>13.3</v>
      </c>
      <c r="AA416" s="0" t="inlineStr">
        <is>
          <t>No</t>
        </is>
      </c>
    </row>
    <row r="417" ht="15.75" customHeight="1" s="51">
      <c r="A417" s="38" t="inlineStr">
        <is>
          <t>POL-041-05</t>
        </is>
      </c>
      <c r="B417" s="38" t="inlineStr">
        <is>
          <t>Polyhymnia</t>
        </is>
      </c>
      <c r="C417" s="38" t="inlineStr">
        <is>
          <t>Laptops</t>
        </is>
      </c>
      <c r="D417" s="38" t="inlineStr">
        <is>
          <t>Laptop</t>
        </is>
      </c>
      <c r="E417" s="39" t="inlineStr">
        <is>
          <t>Polyhymnia Zen X 15" Ultrabook</t>
        </is>
      </c>
      <c r="F417" s="40" t="n">
        <v>1383.99</v>
      </c>
      <c r="G417" s="38" t="inlineStr">
        <is>
          <t>the Zen X; Polyhymnia Zen X; Polyhymniaa Zen X; Zen X laptop</t>
        </is>
      </c>
      <c r="H417" s="38" t="inlineStr">
        <is>
          <t>1 year limited</t>
        </is>
      </c>
      <c r="I417" s="38" t="inlineStr">
        <is>
          <t>FCC, CE, UL 62368-1, Energy Star, EPEAT Silver</t>
        </is>
      </c>
      <c r="J417" s="38" t="inlineStr">
        <is>
          <t>Qualcomm Snapdragon X Plus X1P-42-100</t>
        </is>
      </c>
      <c r="K417" s="38" t="inlineStr">
        <is>
          <t>Qualcomm Adreno X1-45</t>
        </is>
      </c>
      <c r="L417" s="38" t="inlineStr">
        <is>
          <t>IPS, 60Hz</t>
        </is>
      </c>
      <c r="M417" s="38" t="inlineStr">
        <is>
          <t>1920x1200</t>
        </is>
      </c>
      <c r="N417" s="38" t="inlineStr">
        <is>
          <t>2x USB4 (USB-C), 1x USB-A 3.2, 3.5mm audio</t>
        </is>
      </c>
      <c r="O417" s="38" t="inlineStr">
        <is>
          <t>Windows 11 Home</t>
        </is>
      </c>
      <c r="P417" s="38" t="n">
        <v>14</v>
      </c>
      <c r="Q417" s="41" t="n">
        <v>1415</v>
      </c>
      <c r="R417" s="38" t="inlineStr">
        <is>
          <t>Lower price than Terpsichore Arc Plus 15" Ultrabook [TER-039-06] ($1,383.99 vs $1,693.99); Lighter than Chronos Volt Plus 15" Ultrabook [CHR-050-05] (1,415 g vs 1,441 g)</t>
        </is>
      </c>
      <c r="S417" s="38" t="inlineStr">
        <is>
          <t>work, school, everyday</t>
        </is>
      </c>
      <c r="T417" s="0" t="inlineStr">
        <is>
          <t>in_stock</t>
        </is>
      </c>
      <c r="U417" s="0" t="n">
        <v>30</v>
      </c>
      <c r="V417" s="52" t="n">
        <v>1505.99</v>
      </c>
      <c r="W417" s="0" t="inlineStr">
        <is>
          <t>2026-08-27</t>
        </is>
      </c>
      <c r="X417" s="0" t="n">
        <v>16</v>
      </c>
      <c r="Y417" s="0" t="n">
        <v>1024</v>
      </c>
      <c r="Z417" s="0" t="n">
        <v>15.6</v>
      </c>
      <c r="AA417" s="0" t="inlineStr">
        <is>
          <t>No</t>
        </is>
      </c>
    </row>
    <row r="418" ht="15.75" customHeight="1" s="51">
      <c r="A418" s="38" t="inlineStr">
        <is>
          <t>POL-041-06</t>
        </is>
      </c>
      <c r="B418" s="38" t="inlineStr">
        <is>
          <t>Polyhymnia</t>
        </is>
      </c>
      <c r="C418" s="38" t="inlineStr">
        <is>
          <t>Laptops</t>
        </is>
      </c>
      <c r="D418" s="38" t="inlineStr">
        <is>
          <t>Laptop</t>
        </is>
      </c>
      <c r="E418" s="39" t="inlineStr">
        <is>
          <t>Polyhymnia Rift X 2-in-1 Convertible</t>
        </is>
      </c>
      <c r="F418" s="40" t="n">
        <v>1519.99</v>
      </c>
      <c r="G418" s="38" t="inlineStr">
        <is>
          <t>the Rift X; Polyhymnia Rift X; Pollyhymnia Rift X; Rift X laptop</t>
        </is>
      </c>
      <c r="H418" s="38" t="inlineStr">
        <is>
          <t>2 year limited</t>
        </is>
      </c>
      <c r="I418" s="38" t="inlineStr">
        <is>
          <t>FCC, CE, UL 62368-1, Energy Star, EPEAT Silver</t>
        </is>
      </c>
      <c r="J418" s="38" t="inlineStr">
        <is>
          <t>AMD Ryzen 7 8845HS</t>
        </is>
      </c>
      <c r="K418" s="38" t="inlineStr">
        <is>
          <t>AMD Radeon 780M</t>
        </is>
      </c>
      <c r="L418" s="38" t="inlineStr">
        <is>
          <t>OLED touch, 60Hz</t>
        </is>
      </c>
      <c r="M418" s="38" t="inlineStr">
        <is>
          <t>2880x1800</t>
        </is>
      </c>
      <c r="N418" s="38" t="inlineStr">
        <is>
          <t>2x USB4 (USB-C), 2x USB-A 3.2, HDMI 2.1, SD card, 3.5mm audio</t>
        </is>
      </c>
      <c r="O418" s="38" t="inlineStr">
        <is>
          <t>Windows 11 Home</t>
        </is>
      </c>
      <c r="P418" s="38" t="n">
        <v>11</v>
      </c>
      <c r="Q418" s="41" t="n">
        <v>1405</v>
      </c>
      <c r="R418" s="38" t="inlineStr">
        <is>
          <t>Lower price than Thalia Volt 2-in-1 Convertible [THA-030-05] ($1,519.99 vs $1,739.99); Lighter than Homonoia Blaze SE 2-in-1 Convertible [HOM-033-03] (1,405 g vs 1,490 g)</t>
        </is>
      </c>
      <c r="S418" s="38" t="inlineStr">
        <is>
          <t>school, note-taking, travel</t>
        </is>
      </c>
      <c r="T418" s="0" t="inlineStr">
        <is>
          <t>in_stock</t>
        </is>
      </c>
      <c r="U418" s="0" t="n">
        <v>30</v>
      </c>
      <c r="V418" s="52" t="n">
        <v>1719.99</v>
      </c>
      <c r="W418" s="0" t="inlineStr">
        <is>
          <t>2026-08-17</t>
        </is>
      </c>
      <c r="X418" s="0" t="n">
        <v>16</v>
      </c>
      <c r="Y418" s="0" t="n">
        <v>1024</v>
      </c>
      <c r="Z418" s="0" t="n">
        <v>14</v>
      </c>
      <c r="AA418" s="0" t="inlineStr">
        <is>
          <t>Yes</t>
        </is>
      </c>
    </row>
    <row r="419" ht="15.75" customHeight="1" s="51">
      <c r="A419" s="38" t="inlineStr">
        <is>
          <t>POL-041-07</t>
        </is>
      </c>
      <c r="B419" s="38" t="inlineStr">
        <is>
          <t>Polyhymnia</t>
        </is>
      </c>
      <c r="C419" s="38" t="inlineStr">
        <is>
          <t>Laptops</t>
        </is>
      </c>
      <c r="D419" s="38" t="inlineStr">
        <is>
          <t>Laptop</t>
        </is>
      </c>
      <c r="E419" s="39" t="inlineStr">
        <is>
          <t>Polyhymnia Echo Pro 17" Gaming Laptop</t>
        </is>
      </c>
      <c r="F419" s="40" t="n">
        <v>2204.99</v>
      </c>
      <c r="G419" s="38" t="inlineStr">
        <is>
          <t>the Echo Pro; Polyhymnia Echo Pro; Polyhymnnia Echo Pro; Echo Pro laptop</t>
        </is>
      </c>
      <c r="H419" s="38" t="inlineStr">
        <is>
          <t>1 year limited</t>
        </is>
      </c>
      <c r="I419" s="38" t="inlineStr">
        <is>
          <t>FCC, CE, UL 62368-1, EPEAT Bronze</t>
        </is>
      </c>
      <c r="J419" s="38" t="inlineStr">
        <is>
          <t>Intel Core i9-14900HX</t>
        </is>
      </c>
      <c r="K419" s="38" t="inlineStr">
        <is>
          <t>NVIDIA GeForce RTX 4070 8GB Laptop GPU</t>
        </is>
      </c>
      <c r="L419" s="38" t="inlineStr">
        <is>
          <t>IPS, 240Hz</t>
        </is>
      </c>
      <c r="M419" s="38" t="inlineStr">
        <is>
          <t>2560x1600</t>
        </is>
      </c>
      <c r="N419" s="38" t="inlineStr">
        <is>
          <t>1x Thunderbolt 4, 3x USB-A 3.2, HDMI 2.1, RJ-45 Ethernet, 3.5mm audio</t>
        </is>
      </c>
      <c r="O419" s="38" t="inlineStr">
        <is>
          <t>Windows 11 Home</t>
        </is>
      </c>
      <c r="P419" s="38" t="n">
        <v>6</v>
      </c>
      <c r="Q419" s="41" t="n">
        <v>3363</v>
      </c>
      <c r="R419" s="38" t="inlineStr">
        <is>
          <t>Longer battery than Chronos Onyx 17" Gaming Laptop [CHR-050-09] (6 vs 5 hrs); Lower price than Aeolus Spark 17" Gaming Laptop [AEO-031-09] ($2,204.99 vs $2,744.99)</t>
        </is>
      </c>
      <c r="S419" s="38" t="inlineStr">
        <is>
          <t>gaming, streaming, content creation</t>
        </is>
      </c>
      <c r="T419" s="0" t="inlineStr">
        <is>
          <t>in_stock</t>
        </is>
      </c>
      <c r="U419" s="0" t="n">
        <v>30</v>
      </c>
      <c r="V419" s="52" t="n">
        <v>2443.99</v>
      </c>
      <c r="W419" s="0" t="inlineStr">
        <is>
          <t>2026-09-15</t>
        </is>
      </c>
      <c r="X419" s="0" t="n">
        <v>32</v>
      </c>
      <c r="Y419" s="0" t="n">
        <v>2048</v>
      </c>
      <c r="Z419" s="0" t="n">
        <v>17.3</v>
      </c>
      <c r="AA419" s="0" t="inlineStr">
        <is>
          <t>No</t>
        </is>
      </c>
    </row>
    <row r="420" ht="15.75" customHeight="1" s="51">
      <c r="A420" s="38" t="inlineStr">
        <is>
          <t>POL-041-08</t>
        </is>
      </c>
      <c r="B420" s="38" t="inlineStr">
        <is>
          <t>Polyhymnia</t>
        </is>
      </c>
      <c r="C420" s="38" t="inlineStr">
        <is>
          <t>Laptops</t>
        </is>
      </c>
      <c r="D420" s="38" t="inlineStr">
        <is>
          <t>Laptop</t>
        </is>
      </c>
      <c r="E420" s="39" t="inlineStr">
        <is>
          <t>Polyhymnia Aeon Ultra Dual-Screen Laptop</t>
        </is>
      </c>
      <c r="F420" s="40" t="n">
        <v>2647.99</v>
      </c>
      <c r="G420" s="38" t="inlineStr">
        <is>
          <t>the Aeon Ultra; Polyhymnia Aeon Ultra; Polyhymnnia Aeon Ultra; Aeon Ultra laptop</t>
        </is>
      </c>
      <c r="H420" s="38" t="inlineStr">
        <is>
          <t>2 year limited</t>
        </is>
      </c>
      <c r="I420" s="38" t="inlineStr">
        <is>
          <t>FCC, CE, UL 62368-1, Energy Star, EPEAT Gold</t>
        </is>
      </c>
      <c r="J420" s="38" t="inlineStr">
        <is>
          <t>Intel Core Ultra 7 155H</t>
        </is>
      </c>
      <c r="K420" s="38" t="inlineStr">
        <is>
          <t>Intel Arc Graphics</t>
        </is>
      </c>
      <c r="L420" s="38" t="inlineStr">
        <is>
          <t>Dual OLED touch, 120Hz</t>
        </is>
      </c>
      <c r="M420" s="38" t="inlineStr">
        <is>
          <t>2x 2880x1800</t>
        </is>
      </c>
      <c r="N420" s="38" t="inlineStr">
        <is>
          <t>2x Thunderbolt 4 (USB-C), 1x USB-A 3.2, HDMI 2.1, microSD, 3.5mm audio</t>
        </is>
      </c>
      <c r="O420" s="38" t="inlineStr">
        <is>
          <t>Windows 11 Home</t>
        </is>
      </c>
      <c r="P420" s="38" t="n">
        <v>8</v>
      </c>
      <c r="Q420" s="41" t="n">
        <v>1610</v>
      </c>
      <c r="R420" s="38" t="inlineStr">
        <is>
          <t>Lighter than Thanatos Aeon Dual-Screen Laptop [THA-049-07] (1,610 g vs 1,761 g); Lower price than Zephyrus Quanta X Dual-Screen Laptop [ZEP-032-09] ($2,647.99 vs $2,813.99)</t>
        </is>
      </c>
      <c r="S420" s="38" t="inlineStr">
        <is>
          <t>multitasking, productivity, content creation</t>
        </is>
      </c>
      <c r="T420" s="0" t="inlineStr">
        <is>
          <t>in_stock</t>
        </is>
      </c>
      <c r="U420" s="0" t="n">
        <v>30</v>
      </c>
      <c r="V420" s="52" t="n">
        <v>2811.99</v>
      </c>
      <c r="W420" s="0" t="inlineStr">
        <is>
          <t>2026-08-24</t>
        </is>
      </c>
      <c r="X420" s="0" t="n">
        <v>32</v>
      </c>
      <c r="Y420" s="0" t="n">
        <v>2048</v>
      </c>
      <c r="Z420" s="0" t="n">
        <v>14</v>
      </c>
      <c r="AA420" s="0" t="inlineStr">
        <is>
          <t>Yes</t>
        </is>
      </c>
    </row>
    <row r="421" ht="15.75" customHeight="1" s="51">
      <c r="A421" s="38" t="inlineStr">
        <is>
          <t>POL-041-09</t>
        </is>
      </c>
      <c r="B421" s="38" t="inlineStr">
        <is>
          <t>Polyhymnia</t>
        </is>
      </c>
      <c r="C421" s="38" t="inlineStr">
        <is>
          <t>Laptops</t>
        </is>
      </c>
      <c r="D421" s="38" t="inlineStr">
        <is>
          <t>Laptop</t>
        </is>
      </c>
      <c r="E421" s="39" t="inlineStr">
        <is>
          <t>Polyhymnia Orbit Lite Rugged Laptop</t>
        </is>
      </c>
      <c r="F421" s="40" t="n">
        <v>3246.99</v>
      </c>
      <c r="G421" s="38" t="inlineStr">
        <is>
          <t>the Orbit Lite; Polyhymnia Orbit Lite; Polyhyymnia Orbit Lite; Orbit Lite laptop</t>
        </is>
      </c>
      <c r="H421" s="38" t="inlineStr">
        <is>
          <t>3 year limited, accidental damage</t>
        </is>
      </c>
      <c r="I421" s="38" t="inlineStr">
        <is>
          <t>FCC, CE, UL 62368-1, EPEAT Bronze, MIL-STD-810H, IP65</t>
        </is>
      </c>
      <c r="J421" s="38" t="inlineStr">
        <is>
          <t>Intel Core Ultra 7 155H</t>
        </is>
      </c>
      <c r="K421" s="38" t="inlineStr">
        <is>
          <t>Intel Arc Graphics</t>
        </is>
      </c>
      <c r="L421" s="38" t="inlineStr">
        <is>
          <t>IPS sunlight-readable 1000 nits, touch</t>
        </is>
      </c>
      <c r="M421" s="38" t="inlineStr">
        <is>
          <t>1920x1080</t>
        </is>
      </c>
      <c r="N421" s="38" t="inlineStr">
        <is>
          <t>2x Thunderbolt 4 (USB-C), 1x USB-A 3.2, HDMI 2.1, microSD, 3.5mm audio, RJ-45 Ethernet, serial (RS-232), smart card reader</t>
        </is>
      </c>
      <c r="O421" s="38" t="inlineStr">
        <is>
          <t>Windows 11 Pro</t>
        </is>
      </c>
      <c r="P421" s="38" t="n">
        <v>14</v>
      </c>
      <c r="Q421" s="41" t="n">
        <v>2495</v>
      </c>
      <c r="R421" s="38" t="inlineStr">
        <is>
          <t>Lighter than Aristaeus Vertex Rugged Laptop [ARI-027-07] (2,495 g vs 2,808 g); Lower price than Selene Drift X Rugged Laptop [SEL-034-10] ($3,246.99 vs $3,855.99)</t>
        </is>
      </c>
      <c r="S421" s="38" t="inlineStr">
        <is>
          <t>fieldwork, outdoor, industrial</t>
        </is>
      </c>
      <c r="T421" s="0" t="inlineStr">
        <is>
          <t>in_stock</t>
        </is>
      </c>
      <c r="U421" s="0" t="n">
        <v>30</v>
      </c>
      <c r="V421" s="52" t="n">
        <v>3389.99</v>
      </c>
      <c r="W421" s="0" t="inlineStr">
        <is>
          <t>2026-08-10</t>
        </is>
      </c>
      <c r="X421" s="0" t="n">
        <v>64</v>
      </c>
      <c r="Y421" s="0" t="n">
        <v>2048</v>
      </c>
      <c r="Z421" s="0" t="n">
        <v>16</v>
      </c>
      <c r="AA421" s="0" t="inlineStr">
        <is>
          <t>Yes</t>
        </is>
      </c>
    </row>
    <row r="422" ht="15.75" customHeight="1" s="51">
      <c r="A422" s="38" t="inlineStr">
        <is>
          <t>POL-041-10</t>
        </is>
      </c>
      <c r="B422" s="38" t="inlineStr">
        <is>
          <t>Polyhymnia</t>
        </is>
      </c>
      <c r="C422" s="38" t="inlineStr">
        <is>
          <t>Laptops</t>
        </is>
      </c>
      <c r="D422" s="38" t="inlineStr">
        <is>
          <t>Laptop</t>
        </is>
      </c>
      <c r="E422" s="39" t="inlineStr">
        <is>
          <t>Polyhymnia Nova Air Mobile Workstation</t>
        </is>
      </c>
      <c r="F422" s="40" t="n">
        <v>4723.99</v>
      </c>
      <c r="G422" s="38" t="inlineStr">
        <is>
          <t>the Nova Air; Polyhymnia Nova Air; Polyyhmnia Nova Air; Nova Air laptop</t>
        </is>
      </c>
      <c r="H422" s="38" t="inlineStr">
        <is>
          <t>3 year limited, on-site service</t>
        </is>
      </c>
      <c r="I422" s="38" t="inlineStr">
        <is>
          <t>FCC, CE, UL 62368-1, Energy Star, EPEAT Bronze, TCO Certified, MIL-STD-810H</t>
        </is>
      </c>
      <c r="J422" s="38" t="inlineStr">
        <is>
          <t>Intel Core i9-14900HX</t>
        </is>
      </c>
      <c r="K422" s="38" t="inlineStr">
        <is>
          <t>NVIDIA RTX 5000 Ada 16GB Laptop GPU</t>
        </is>
      </c>
      <c r="L422" s="38" t="inlineStr">
        <is>
          <t>OLED, 120Hz</t>
        </is>
      </c>
      <c r="M422" s="38" t="inlineStr">
        <is>
          <t>3840x2400</t>
        </is>
      </c>
      <c r="N422" s="38" t="inlineStr">
        <is>
          <t>2x Thunderbolt 4 (USB-C), 1x USB-A 3.2, HDMI 2.1, microSD, 3.5mm audio</t>
        </is>
      </c>
      <c r="O422" s="38" t="inlineStr">
        <is>
          <t>Windows 11 Pro</t>
        </is>
      </c>
      <c r="P422" s="38" t="n">
        <v>7</v>
      </c>
      <c r="Q422" s="41" t="n">
        <v>2313</v>
      </c>
      <c r="R422" s="38" t="inlineStr">
        <is>
          <t>Lighter than Thanatos Crest SE Mobile Workstation [THA-049-10] (2,313 g vs 2,533 g); Longer battery than Atropos Rift Ultra Mobile Workstation [ATR-035-10] (7 vs 5 hrs)</t>
        </is>
      </c>
      <c r="S422" s="38" t="inlineStr">
        <is>
          <t>engineering, 3D rendering, data science</t>
        </is>
      </c>
      <c r="T422" s="0" t="inlineStr">
        <is>
          <t>in_stock</t>
        </is>
      </c>
      <c r="U422" s="0" t="n">
        <v>30</v>
      </c>
      <c r="V422" s="52" t="n">
        <v>5199.99</v>
      </c>
      <c r="W422" s="0" t="inlineStr">
        <is>
          <t>2026-08-24</t>
        </is>
      </c>
      <c r="X422" s="0" t="n">
        <v>64</v>
      </c>
      <c r="Y422" s="0" t="n">
        <v>4096</v>
      </c>
      <c r="Z422" s="0" t="n">
        <v>16</v>
      </c>
      <c r="AA422" s="0" t="inlineStr">
        <is>
          <t>No</t>
        </is>
      </c>
    </row>
    <row r="423" ht="15.75" customHeight="1" s="51">
      <c r="A423" s="38" t="inlineStr">
        <is>
          <t>PRI-042-01</t>
        </is>
      </c>
      <c r="B423" s="38" t="inlineStr">
        <is>
          <t>Priapus</t>
        </is>
      </c>
      <c r="C423" s="38" t="inlineStr">
        <is>
          <t>Laptops</t>
        </is>
      </c>
      <c r="D423" s="38" t="inlineStr">
        <is>
          <t>Laptop</t>
        </is>
      </c>
      <c r="E423" s="39" t="inlineStr">
        <is>
          <t>Priapus Drift Plus Student Laptop</t>
        </is>
      </c>
      <c r="F423" s="40" t="n">
        <v>490.99</v>
      </c>
      <c r="G423" s="38" t="inlineStr">
        <is>
          <t>the Drift Plus; Priapus Drift Plus; Pripaus Drift Plus; Drift Plus laptop</t>
        </is>
      </c>
      <c r="H423" s="38" t="inlineStr">
        <is>
          <t>1 year limited</t>
        </is>
      </c>
      <c r="I423" s="38" t="inlineStr">
        <is>
          <t>FCC, CE, UL 62368-1, Energy Star, EPEAT Bronze</t>
        </is>
      </c>
      <c r="J423" s="38" t="inlineStr">
        <is>
          <t>Intel Core i3-1315U</t>
        </is>
      </c>
      <c r="K423" s="38" t="inlineStr">
        <is>
          <t>Intel UHD Graphics</t>
        </is>
      </c>
      <c r="L423" s="38" t="inlineStr">
        <is>
          <t>IPS, 60Hz</t>
        </is>
      </c>
      <c r="M423" s="38" t="inlineStr">
        <is>
          <t>1920x1080</t>
        </is>
      </c>
      <c r="N423" s="38" t="inlineStr">
        <is>
          <t>2x USB-C 3.2, 1x USB-A 3.2, HDMI 1.4, 3.5mm audio</t>
        </is>
      </c>
      <c r="O423" s="38" t="inlineStr">
        <is>
          <t>Windows 11 Home</t>
        </is>
      </c>
      <c r="P423" s="38" t="n">
        <v>12</v>
      </c>
      <c r="Q423" s="41" t="n">
        <v>1570</v>
      </c>
      <c r="R423" s="38" t="inlineStr">
        <is>
          <t>Lower price than Thalia Nova Lite Student Laptop [THA-030-02] ($490.99 vs $537.99); Lighter than Selene Zen Ultra Student Laptop [SEL-034-01] (1,570 g vs 1,773 g)</t>
        </is>
      </c>
      <c r="S423" s="38" t="inlineStr">
        <is>
          <t>school, everyday, budget</t>
        </is>
      </c>
      <c r="T423" s="0" t="inlineStr">
        <is>
          <t>in_stock</t>
        </is>
      </c>
      <c r="U423" s="0" t="n">
        <v>15</v>
      </c>
      <c r="V423" s="52" t="n">
        <v>543.99</v>
      </c>
      <c r="W423" s="0" t="inlineStr">
        <is>
          <t>2026-09-20</t>
        </is>
      </c>
      <c r="X423" s="0" t="n">
        <v>8</v>
      </c>
      <c r="Y423" s="0" t="n">
        <v>256</v>
      </c>
      <c r="Z423" s="0" t="n">
        <v>14</v>
      </c>
      <c r="AA423" s="0" t="inlineStr">
        <is>
          <t>No</t>
        </is>
      </c>
    </row>
    <row r="424" ht="15.75" customHeight="1" s="51">
      <c r="A424" s="38" t="inlineStr">
        <is>
          <t>PRI-042-02</t>
        </is>
      </c>
      <c r="B424" s="38" t="inlineStr">
        <is>
          <t>Priapus</t>
        </is>
      </c>
      <c r="C424" s="38" t="inlineStr">
        <is>
          <t>Laptops</t>
        </is>
      </c>
      <c r="D424" s="38" t="inlineStr">
        <is>
          <t>Laptop</t>
        </is>
      </c>
      <c r="E424" s="39" t="inlineStr">
        <is>
          <t>Priapus Apex Lite 15" Budget Laptop</t>
        </is>
      </c>
      <c r="F424" s="40" t="n">
        <v>546.99</v>
      </c>
      <c r="G424" s="38" t="inlineStr">
        <is>
          <t>the Apex Lite; Priapus Apex Lite; Priaapus Apex Lite; Apex Lite laptop</t>
        </is>
      </c>
      <c r="H424" s="38" t="inlineStr">
        <is>
          <t>2 year limited</t>
        </is>
      </c>
      <c r="I424" s="38" t="inlineStr">
        <is>
          <t>FCC, CE, UL 62368-1, EPEAT Bronze</t>
        </is>
      </c>
      <c r="J424" s="38" t="inlineStr">
        <is>
          <t>AMD Ryzen 5 8640HS</t>
        </is>
      </c>
      <c r="K424" s="38" t="inlineStr">
        <is>
          <t>AMD Radeon 760M</t>
        </is>
      </c>
      <c r="L424" s="38" t="inlineStr">
        <is>
          <t>IPS, 60Hz</t>
        </is>
      </c>
      <c r="M424" s="38" t="inlineStr">
        <is>
          <t>1920x1080</t>
        </is>
      </c>
      <c r="N424" s="38" t="inlineStr">
        <is>
          <t>2x USB4 (USB-C), 2x USB-A 3.2, HDMI 2.1, SD card, 3.5mm audio</t>
        </is>
      </c>
      <c r="O424" s="38" t="inlineStr">
        <is>
          <t>Windows 11 Home</t>
        </is>
      </c>
      <c r="P424" s="38" t="n">
        <v>6</v>
      </c>
      <c r="Q424" s="41" t="n">
        <v>1803</v>
      </c>
      <c r="R424" s="38" t="inlineStr">
        <is>
          <t>Lower price than Aristaeus Axis 15" Budget Laptop [ARI-027-02] ($546.99 vs $572.99); Lighter than Terpsichore Vertex 15" Budget Laptop [TER-039-01] (1,803 g vs 1,856 g)</t>
        </is>
      </c>
      <c r="S424" s="38" t="inlineStr">
        <is>
          <t>budget, everyday, school</t>
        </is>
      </c>
      <c r="T424" s="0" t="inlineStr">
        <is>
          <t>in_stock</t>
        </is>
      </c>
      <c r="U424" s="0" t="n">
        <v>15</v>
      </c>
      <c r="V424" s="52" t="n">
        <v>571.99</v>
      </c>
      <c r="W424" s="0" t="inlineStr">
        <is>
          <t>2026-09-23</t>
        </is>
      </c>
      <c r="X424" s="0" t="n">
        <v>16</v>
      </c>
      <c r="Y424" s="0" t="n">
        <v>512</v>
      </c>
      <c r="Z424" s="0" t="n">
        <v>15.6</v>
      </c>
      <c r="AA424" s="0" t="inlineStr">
        <is>
          <t>No</t>
        </is>
      </c>
    </row>
    <row r="425" ht="15.75" customHeight="1" s="51">
      <c r="A425" s="38" t="inlineStr">
        <is>
          <t>PRI-042-03</t>
        </is>
      </c>
      <c r="B425" s="38" t="inlineStr">
        <is>
          <t>Priapus</t>
        </is>
      </c>
      <c r="C425" s="38" t="inlineStr">
        <is>
          <t>Laptops</t>
        </is>
      </c>
      <c r="D425" s="38" t="inlineStr">
        <is>
          <t>Laptop</t>
        </is>
      </c>
      <c r="E425" s="39" t="inlineStr">
        <is>
          <t>Priapus Volt Max Chromebook</t>
        </is>
      </c>
      <c r="F425" s="40" t="n">
        <v>667.99</v>
      </c>
      <c r="G425" s="38" t="inlineStr">
        <is>
          <t>the Volt Max; Priapus Volt Max; Priapuus Volt Max; Volt Max laptop</t>
        </is>
      </c>
      <c r="H425" s="38" t="inlineStr">
        <is>
          <t>2 year limited</t>
        </is>
      </c>
      <c r="I425" s="38" t="inlineStr">
        <is>
          <t>FCC, CE, UL 62368-1, EPEAT Gold</t>
        </is>
      </c>
      <c r="J425" s="38" t="inlineStr">
        <is>
          <t>Intel Core i3-N305</t>
        </is>
      </c>
      <c r="K425" s="38" t="inlineStr">
        <is>
          <t>Intel UHD Graphics</t>
        </is>
      </c>
      <c r="L425" s="38" t="inlineStr">
        <is>
          <t>IPS, 60Hz</t>
        </is>
      </c>
      <c r="M425" s="38" t="inlineStr">
        <is>
          <t>1920x1080</t>
        </is>
      </c>
      <c r="N425" s="38" t="inlineStr">
        <is>
          <t>2x USB-C 3.2, 1x USB-A 3.2, HDMI 1.4, 3.5mm audio</t>
        </is>
      </c>
      <c r="O425" s="38" t="inlineStr">
        <is>
          <t>ChromeOS</t>
        </is>
      </c>
      <c r="P425" s="38" t="n">
        <v>13</v>
      </c>
      <c r="Q425" s="41" t="n">
        <v>1193</v>
      </c>
      <c r="R425" s="38" t="inlineStr">
        <is>
          <t>Lighter than Aristaeus Vertex X Chromebook [ARI-027-01] (1,193 g vs 1,367 g); Longer battery than Dolos Rift Ultra Chromebook [DOL-045-02] (13 vs 10 hrs)</t>
        </is>
      </c>
      <c r="S425" s="38" t="inlineStr">
        <is>
          <t>school, kids, budget</t>
        </is>
      </c>
      <c r="T425" s="0" t="inlineStr">
        <is>
          <t>low_stock</t>
        </is>
      </c>
      <c r="U425" s="0" t="n">
        <v>15</v>
      </c>
      <c r="V425" s="52" t="n">
        <v>704.99</v>
      </c>
      <c r="W425" s="0" t="inlineStr">
        <is>
          <t>2026-09-17</t>
        </is>
      </c>
      <c r="X425" s="0" t="n">
        <v>8</v>
      </c>
      <c r="Y425" s="0" t="n">
        <v>128</v>
      </c>
      <c r="Z425" s="0" t="n">
        <v>11.6</v>
      </c>
      <c r="AA425" s="0" t="inlineStr">
        <is>
          <t>No</t>
        </is>
      </c>
    </row>
    <row r="426" ht="15.75" customHeight="1" s="51">
      <c r="A426" s="38" t="inlineStr">
        <is>
          <t>PRI-042-04</t>
        </is>
      </c>
      <c r="B426" s="38" t="inlineStr">
        <is>
          <t>Priapus</t>
        </is>
      </c>
      <c r="C426" s="38" t="inlineStr">
        <is>
          <t>Laptops</t>
        </is>
      </c>
      <c r="D426" s="38" t="inlineStr">
        <is>
          <t>Laptop</t>
        </is>
      </c>
      <c r="E426" s="39" t="inlineStr">
        <is>
          <t>Priapus Core X 2-in-1 Convertible</t>
        </is>
      </c>
      <c r="F426" s="40" t="n">
        <v>1179.99</v>
      </c>
      <c r="G426" s="38" t="inlineStr">
        <is>
          <t>the Core X; Priapus Core X; Priaups Core X; Core X laptop</t>
        </is>
      </c>
      <c r="H426" s="38" t="inlineStr">
        <is>
          <t>1 year limited</t>
        </is>
      </c>
      <c r="I426" s="38" t="inlineStr">
        <is>
          <t>FCC, CE, UL 62368-1, Energy Star, EPEAT Gold</t>
        </is>
      </c>
      <c r="J426" s="38" t="inlineStr">
        <is>
          <t>Qualcomm Snapdragon X Plus X1P-42-100</t>
        </is>
      </c>
      <c r="K426" s="38" t="inlineStr">
        <is>
          <t>Qualcomm Adreno X1-45</t>
        </is>
      </c>
      <c r="L426" s="38" t="inlineStr">
        <is>
          <t>IPS touch, 60Hz</t>
        </is>
      </c>
      <c r="M426" s="38" t="inlineStr">
        <is>
          <t>1920x1200</t>
        </is>
      </c>
      <c r="N426" s="38" t="inlineStr">
        <is>
          <t>2x USB4 (USB-C), 1x USB-A 3.2, 3.5mm audio</t>
        </is>
      </c>
      <c r="O426" s="38" t="inlineStr">
        <is>
          <t>Windows 11 Home</t>
        </is>
      </c>
      <c r="P426" s="38" t="n">
        <v>16</v>
      </c>
      <c r="Q426" s="41" t="n">
        <v>1402</v>
      </c>
      <c r="R426" s="38" t="inlineStr">
        <is>
          <t>Lower price than Hygieia Core 2-in-1 Convertible [HYG-048-03] ($1,179.99 vs $1,277.99); Lighter than Aeolus Lumen Lite 2-in-1 Convertible [AEO-031-04] (1,402 g vs 1,468 g)</t>
        </is>
      </c>
      <c r="S426" s="38" t="inlineStr">
        <is>
          <t>school, note-taking, travel</t>
        </is>
      </c>
      <c r="T426" s="0" t="inlineStr">
        <is>
          <t>in_stock</t>
        </is>
      </c>
      <c r="U426" s="0" t="n">
        <v>15</v>
      </c>
      <c r="V426" s="52" t="n">
        <v>1272.99</v>
      </c>
      <c r="W426" s="0" t="inlineStr">
        <is>
          <t>2026-08-21</t>
        </is>
      </c>
      <c r="X426" s="0" t="n">
        <v>16</v>
      </c>
      <c r="Y426" s="0" t="n">
        <v>1024</v>
      </c>
      <c r="Z426" s="0" t="n">
        <v>14</v>
      </c>
      <c r="AA426" s="0" t="inlineStr">
        <is>
          <t>Yes</t>
        </is>
      </c>
    </row>
    <row r="427" ht="15.75" customHeight="1" s="51">
      <c r="A427" s="38" t="inlineStr">
        <is>
          <t>PRI-042-05</t>
        </is>
      </c>
      <c r="B427" s="38" t="inlineStr">
        <is>
          <t>Priapus</t>
        </is>
      </c>
      <c r="C427" s="38" t="inlineStr">
        <is>
          <t>Laptops</t>
        </is>
      </c>
      <c r="D427" s="38" t="inlineStr">
        <is>
          <t>Laptop</t>
        </is>
      </c>
      <c r="E427" s="39" t="inlineStr">
        <is>
          <t>Priapus Apex Air 15" Gaming Laptop</t>
        </is>
      </c>
      <c r="F427" s="40" t="n">
        <v>1259.99</v>
      </c>
      <c r="G427" s="38" t="inlineStr">
        <is>
          <t>the Apex Air; Priapus Apex Air; Pirapus Apex Air; Apex Air laptop</t>
        </is>
      </c>
      <c r="H427" s="38" t="inlineStr">
        <is>
          <t>1 year limited</t>
        </is>
      </c>
      <c r="I427" s="38" t="inlineStr">
        <is>
          <t>FCC, CE, UL 62368-1, EPEAT Silver</t>
        </is>
      </c>
      <c r="J427" s="38" t="inlineStr">
        <is>
          <t>AMD Ryzen 7 8845HS</t>
        </is>
      </c>
      <c r="K427" s="38" t="inlineStr">
        <is>
          <t>NVIDIA GeForce RTX 4050 6GB Laptop GPU</t>
        </is>
      </c>
      <c r="L427" s="38" t="inlineStr">
        <is>
          <t>IPS, 165Hz</t>
        </is>
      </c>
      <c r="M427" s="38" t="inlineStr">
        <is>
          <t>1920x1080</t>
        </is>
      </c>
      <c r="N427" s="38" t="inlineStr">
        <is>
          <t>1x USB4, 3x USB-A 3.2, HDMI 2.1, RJ-45 Ethernet, 3.5mm audio</t>
        </is>
      </c>
      <c r="O427" s="38" t="inlineStr">
        <is>
          <t>Windows 11 Home</t>
        </is>
      </c>
      <c r="P427" s="38" t="n">
        <v>6</v>
      </c>
      <c r="Q427" s="41" t="n">
        <v>2165</v>
      </c>
      <c r="R427" s="38" t="inlineStr">
        <is>
          <t>Lower price than Persephone Strata Air 15" Gaming Laptop [PER-036-07] ($1,259.99 vs $1,876.99); Lighter than Homonoia Zen 15" Gaming Laptop [HOM-033-08] (2,165 g vs 2,383 g)</t>
        </is>
      </c>
      <c r="S427" s="38" t="inlineStr">
        <is>
          <t>gaming, streaming</t>
        </is>
      </c>
      <c r="T427" s="0" t="inlineStr">
        <is>
          <t>low_stock</t>
        </is>
      </c>
      <c r="U427" s="0" t="n">
        <v>15</v>
      </c>
      <c r="V427" s="52" t="n">
        <v>1335.99</v>
      </c>
      <c r="W427" s="0" t="inlineStr">
        <is>
          <t>2026-08-14</t>
        </is>
      </c>
      <c r="X427" s="0" t="n">
        <v>32</v>
      </c>
      <c r="Y427" s="0" t="n">
        <v>1024</v>
      </c>
      <c r="Z427" s="0" t="n">
        <v>15.6</v>
      </c>
      <c r="AA427" s="0" t="inlineStr">
        <is>
          <t>No</t>
        </is>
      </c>
    </row>
    <row r="428" ht="15.75" customHeight="1" s="51">
      <c r="A428" s="38" t="inlineStr">
        <is>
          <t>PRI-042-06</t>
        </is>
      </c>
      <c r="B428" s="38" t="inlineStr">
        <is>
          <t>Priapus</t>
        </is>
      </c>
      <c r="C428" s="38" t="inlineStr">
        <is>
          <t>Laptops</t>
        </is>
      </c>
      <c r="D428" s="38" t="inlineStr">
        <is>
          <t>Laptop</t>
        </is>
      </c>
      <c r="E428" s="39" t="inlineStr">
        <is>
          <t>Priapus Vibe X 13" Ultrabook</t>
        </is>
      </c>
      <c r="F428" s="40" t="n">
        <v>1600.99</v>
      </c>
      <c r="G428" s="38" t="inlineStr">
        <is>
          <t>the Vibe X; Priapus Vibe X; Priappus Vibe X; Vibe X laptop</t>
        </is>
      </c>
      <c r="H428" s="38" t="inlineStr">
        <is>
          <t>2 year limited</t>
        </is>
      </c>
      <c r="I428" s="38" t="inlineStr">
        <is>
          <t>FCC, CE, UL 62368-1, Energy Star, EPEAT Gold</t>
        </is>
      </c>
      <c r="J428" s="38" t="inlineStr">
        <is>
          <t>Qualcomm Snapdragon X Elite X1E-78-100</t>
        </is>
      </c>
      <c r="K428" s="38" t="inlineStr">
        <is>
          <t>Qualcomm Adreno X1-85</t>
        </is>
      </c>
      <c r="L428" s="38" t="inlineStr">
        <is>
          <t>OLED, 90Hz</t>
        </is>
      </c>
      <c r="M428" s="38" t="inlineStr">
        <is>
          <t>2880x1800</t>
        </is>
      </c>
      <c r="N428" s="38" t="inlineStr">
        <is>
          <t>2x USB4 (USB-C), 1x USB-A 3.2, 3.5mm audio</t>
        </is>
      </c>
      <c r="O428" s="38" t="inlineStr">
        <is>
          <t>Windows 11 Home</t>
        </is>
      </c>
      <c r="P428" s="38" t="n">
        <v>15</v>
      </c>
      <c r="Q428" s="41" t="n">
        <v>1157</v>
      </c>
      <c r="R428" s="38" t="inlineStr">
        <is>
          <t>Longer battery than Selene Strata Air 13" Ultrabook [SEL-034-03] (15 vs 14 hrs); Lighter than Melpomene Pulse Lite 13" Ultrabook [MEL-026-05] (1,157 g vs 1,193 g)</t>
        </is>
      </c>
      <c r="S428" s="38" t="inlineStr">
        <is>
          <t>travel, school, work</t>
        </is>
      </c>
      <c r="T428" s="0" t="inlineStr">
        <is>
          <t>in_stock</t>
        </is>
      </c>
      <c r="U428" s="0" t="n">
        <v>15</v>
      </c>
      <c r="V428" s="52" t="n">
        <v>1750.99</v>
      </c>
      <c r="W428" s="0" t="inlineStr">
        <is>
          <t>2026-09-02</t>
        </is>
      </c>
      <c r="X428" s="0" t="n">
        <v>16</v>
      </c>
      <c r="Y428" s="0" t="n">
        <v>1024</v>
      </c>
      <c r="Z428" s="0" t="n">
        <v>13.3</v>
      </c>
      <c r="AA428" s="0" t="inlineStr">
        <is>
          <t>No</t>
        </is>
      </c>
    </row>
    <row r="429" ht="15.75" customHeight="1" s="51">
      <c r="A429" s="38" t="inlineStr">
        <is>
          <t>PRI-042-07</t>
        </is>
      </c>
      <c r="B429" s="38" t="inlineStr">
        <is>
          <t>Priapus</t>
        </is>
      </c>
      <c r="C429" s="38" t="inlineStr">
        <is>
          <t>Laptops</t>
        </is>
      </c>
      <c r="D429" s="38" t="inlineStr">
        <is>
          <t>Laptop</t>
        </is>
      </c>
      <c r="E429" s="39" t="inlineStr">
        <is>
          <t>Priapus Drift SE Rugged Laptop</t>
        </is>
      </c>
      <c r="F429" s="40" t="n">
        <v>1680.99</v>
      </c>
      <c r="G429" s="38" t="inlineStr">
        <is>
          <t>the Drift SE; Priapus Drift SE; Priapuss Drift SE; Drift SE laptop</t>
        </is>
      </c>
      <c r="H429" s="38" t="inlineStr">
        <is>
          <t>3 year limited, accidental damage</t>
        </is>
      </c>
      <c r="I429" s="38" t="inlineStr">
        <is>
          <t>FCC, CE, UL 62368-1, Energy Star, EPEAT Gold, MIL-STD-810H, IP65</t>
        </is>
      </c>
      <c r="J429" s="38" t="inlineStr">
        <is>
          <t>AMD Ryzen 5 8640HS</t>
        </is>
      </c>
      <c r="K429" s="38" t="inlineStr">
        <is>
          <t>AMD Radeon 760M</t>
        </is>
      </c>
      <c r="L429" s="38" t="inlineStr">
        <is>
          <t>IPS sunlight-readable 1000 nits, touch</t>
        </is>
      </c>
      <c r="M429" s="38" t="inlineStr">
        <is>
          <t>1920x1080</t>
        </is>
      </c>
      <c r="N429" s="38" t="inlineStr">
        <is>
          <t>2x USB-C 3.2, 1x USB-A 3.2, HDMI 1.4, 3.5mm audio, RJ-45 Ethernet, serial (RS-232), smart card reader</t>
        </is>
      </c>
      <c r="O429" s="38" t="inlineStr">
        <is>
          <t>Windows 11 Pro</t>
        </is>
      </c>
      <c r="P429" s="38" t="n">
        <v>11</v>
      </c>
      <c r="Q429" s="41" t="n">
        <v>3534</v>
      </c>
      <c r="R429" s="38" t="inlineStr">
        <is>
          <t>Lower price than Thallo Axis Lite Rugged Laptop [THA-046-06] ($1,680.99 vs $2,288.99); Longer battery than Aristaeus Vertex Rugged Laptop [ARI-027-07] (11 vs 8 hrs)</t>
        </is>
      </c>
      <c r="S429" s="38" t="inlineStr">
        <is>
          <t>fieldwork, outdoor, industrial</t>
        </is>
      </c>
      <c r="T429" s="0" t="inlineStr">
        <is>
          <t>in_stock</t>
        </is>
      </c>
      <c r="U429" s="0" t="n">
        <v>15</v>
      </c>
      <c r="V429" s="52" t="n">
        <v>1763.99</v>
      </c>
      <c r="W429" s="0" t="inlineStr">
        <is>
          <t>2026-08-19</t>
        </is>
      </c>
      <c r="X429" s="0" t="n">
        <v>16</v>
      </c>
      <c r="Y429" s="0" t="n">
        <v>1024</v>
      </c>
      <c r="Z429" s="0" t="n">
        <v>17.3</v>
      </c>
      <c r="AA429" s="0" t="inlineStr">
        <is>
          <t>Yes</t>
        </is>
      </c>
    </row>
    <row r="430" ht="15.75" customHeight="1" s="51">
      <c r="A430" s="38" t="inlineStr">
        <is>
          <t>PRI-042-08</t>
        </is>
      </c>
      <c r="B430" s="38" t="inlineStr">
        <is>
          <t>Priapus</t>
        </is>
      </c>
      <c r="C430" s="38" t="inlineStr">
        <is>
          <t>Laptops</t>
        </is>
      </c>
      <c r="D430" s="38" t="inlineStr">
        <is>
          <t>Laptop</t>
        </is>
      </c>
      <c r="E430" s="39" t="inlineStr">
        <is>
          <t>Priapus Prism Air 16" Creator Laptop</t>
        </is>
      </c>
      <c r="F430" s="40" t="n">
        <v>1745.99</v>
      </c>
      <c r="G430" s="38" t="inlineStr">
        <is>
          <t>the Prism Air; Priapus Prism Air; Prriapus Prism Air; Prism Air laptop</t>
        </is>
      </c>
      <c r="H430" s="38" t="inlineStr">
        <is>
          <t>1 year limited</t>
        </is>
      </c>
      <c r="I430" s="38" t="inlineStr">
        <is>
          <t>FCC, CE, UL 62368-1, Energy Star, EPEAT Gold</t>
        </is>
      </c>
      <c r="J430" s="38" t="inlineStr">
        <is>
          <t>AMD Ryzen 7 8845HS</t>
        </is>
      </c>
      <c r="K430" s="38" t="inlineStr">
        <is>
          <t>NVIDIA GeForce RTX 4060 8GB Laptop GPU</t>
        </is>
      </c>
      <c r="L430" s="38" t="inlineStr">
        <is>
          <t>OLED, 120Hz</t>
        </is>
      </c>
      <c r="M430" s="38" t="inlineStr">
        <is>
          <t>3200x2000</t>
        </is>
      </c>
      <c r="N430" s="38" t="inlineStr">
        <is>
          <t>2x USB-C 3.2, 1x USB-A 3.2, HDMI 1.4, 3.5mm audio</t>
        </is>
      </c>
      <c r="O430" s="38" t="inlineStr">
        <is>
          <t>Windows 11 Home</t>
        </is>
      </c>
      <c r="P430" s="38" t="n">
        <v>10</v>
      </c>
      <c r="Q430" s="41" t="n">
        <v>2169</v>
      </c>
      <c r="R430" s="38" t="inlineStr">
        <is>
          <t>Lower price than Atropos Apex 16" Creator Laptop [ATR-035-09] ($1,745.99 vs $2,748.99); Longer battery than Homonoia Aeon 16" Creator Laptop [HOM-033-10] (10 vs 8 hrs)</t>
        </is>
      </c>
      <c r="S430" s="38" t="inlineStr">
        <is>
          <t>video editing, photo editing, content creation</t>
        </is>
      </c>
      <c r="T430" s="0" t="inlineStr">
        <is>
          <t>low_stock</t>
        </is>
      </c>
      <c r="U430" s="0" t="n">
        <v>15</v>
      </c>
      <c r="V430" s="52" t="n">
        <v>1852.99</v>
      </c>
      <c r="W430" s="0" t="inlineStr">
        <is>
          <t>2026-09-07</t>
        </is>
      </c>
      <c r="X430" s="0" t="n">
        <v>32</v>
      </c>
      <c r="Y430" s="0" t="n">
        <v>1024</v>
      </c>
      <c r="Z430" s="0" t="n">
        <v>16</v>
      </c>
      <c r="AA430" s="0" t="inlineStr">
        <is>
          <t>No</t>
        </is>
      </c>
    </row>
    <row r="431" ht="15.75" customHeight="1" s="51">
      <c r="A431" s="38" t="inlineStr">
        <is>
          <t>PRI-042-09</t>
        </is>
      </c>
      <c r="B431" s="38" t="inlineStr">
        <is>
          <t>Priapus</t>
        </is>
      </c>
      <c r="C431" s="38" t="inlineStr">
        <is>
          <t>Laptops</t>
        </is>
      </c>
      <c r="D431" s="38" t="inlineStr">
        <is>
          <t>Laptop</t>
        </is>
      </c>
      <c r="E431" s="39" t="inlineStr">
        <is>
          <t>Priapus Zen Mobile Workstation</t>
        </is>
      </c>
      <c r="F431" s="40" t="n">
        <v>2413.99</v>
      </c>
      <c r="G431" s="38" t="inlineStr">
        <is>
          <t>the Zen; Priapus Zen; Priaapus Zen; Zen laptop</t>
        </is>
      </c>
      <c r="H431" s="38" t="inlineStr">
        <is>
          <t>3 year limited, on-site service</t>
        </is>
      </c>
      <c r="I431" s="38" t="inlineStr">
        <is>
          <t>FCC, CE, UL 62368-1, Energy Star, EPEAT Silver, TCO Certified, MIL-STD-810H</t>
        </is>
      </c>
      <c r="J431" s="38" t="inlineStr">
        <is>
          <t>Intel Core Ultra 7 155H</t>
        </is>
      </c>
      <c r="K431" s="38" t="inlineStr">
        <is>
          <t>NVIDIA RTX 2000 Ada 8GB Laptop GPU</t>
        </is>
      </c>
      <c r="L431" s="38" t="inlineStr">
        <is>
          <t>IPS, 60Hz</t>
        </is>
      </c>
      <c r="M431" s="38" t="inlineStr">
        <is>
          <t>1920x1200</t>
        </is>
      </c>
      <c r="N431" s="38" t="inlineStr">
        <is>
          <t>2x Thunderbolt 4 (USB-C), 1x USB-A 3.2, HDMI 2.1, microSD, 3.5mm audio</t>
        </is>
      </c>
      <c r="O431" s="38" t="inlineStr">
        <is>
          <t>Windows 11 Pro</t>
        </is>
      </c>
      <c r="P431" s="38" t="n">
        <v>5</v>
      </c>
      <c r="Q431" s="41" t="n">
        <v>2216</v>
      </c>
      <c r="R431" s="38" t="inlineStr">
        <is>
          <t>Lighter than Heracles Crest Mobile Workstation [HER-037-10] (2,216 g vs 2,382 g); Lower price than Boreas Aeon Air Mobile Workstation [BOR-044-08] ($2,413.99 vs $2,915.99)</t>
        </is>
      </c>
      <c r="S431" s="38" t="inlineStr">
        <is>
          <t>engineering, 3D rendering, data science</t>
        </is>
      </c>
      <c r="T431" s="0" t="inlineStr">
        <is>
          <t>in_stock</t>
        </is>
      </c>
      <c r="U431" s="0" t="n">
        <v>15</v>
      </c>
      <c r="V431" s="52" t="n">
        <v>2674.99</v>
      </c>
      <c r="W431" s="0" t="inlineStr">
        <is>
          <t>2026-08-18</t>
        </is>
      </c>
      <c r="X431" s="0" t="n">
        <v>32</v>
      </c>
      <c r="Y431" s="0" t="n">
        <v>2048</v>
      </c>
      <c r="Z431" s="0" t="n">
        <v>16</v>
      </c>
      <c r="AA431" s="0" t="inlineStr">
        <is>
          <t>No</t>
        </is>
      </c>
    </row>
    <row r="432" ht="15.75" customHeight="1" s="51">
      <c r="A432" s="38" t="inlineStr">
        <is>
          <t>PRI-042-10</t>
        </is>
      </c>
      <c r="B432" s="38" t="inlineStr">
        <is>
          <t>Priapus</t>
        </is>
      </c>
      <c r="C432" s="38" t="inlineStr">
        <is>
          <t>Laptops</t>
        </is>
      </c>
      <c r="D432" s="38" t="inlineStr">
        <is>
          <t>Laptop</t>
        </is>
      </c>
      <c r="E432" s="39" t="inlineStr">
        <is>
          <t>Priapus Volt 17" Gaming Laptop</t>
        </is>
      </c>
      <c r="F432" s="40" t="n">
        <v>3580.99</v>
      </c>
      <c r="G432" s="38" t="inlineStr">
        <is>
          <t>the Volt; Priapus Volt; Priaapus Volt; Volt laptop</t>
        </is>
      </c>
      <c r="H432" s="38" t="inlineStr">
        <is>
          <t>2 year limited</t>
        </is>
      </c>
      <c r="I432" s="38" t="inlineStr">
        <is>
          <t>FCC, CE, UL 62368-1, Energy Star, EPEAT Gold</t>
        </is>
      </c>
      <c r="J432" s="38" t="inlineStr">
        <is>
          <t>AMD Ryzen 9 7945HX</t>
        </is>
      </c>
      <c r="K432" s="38" t="inlineStr">
        <is>
          <t>NVIDIA GeForce RTX 4090 16GB Laptop GPU</t>
        </is>
      </c>
      <c r="L432" s="38" t="inlineStr">
        <is>
          <t>Mini-LED, 240Hz</t>
        </is>
      </c>
      <c r="M432" s="38" t="inlineStr">
        <is>
          <t>2560x1600</t>
        </is>
      </c>
      <c r="N432" s="38" t="inlineStr">
        <is>
          <t>1x USB4, 3x USB-A 3.2, HDMI 2.1, RJ-45 Ethernet, 3.5mm audio</t>
        </is>
      </c>
      <c r="O432" s="38" t="inlineStr">
        <is>
          <t>Windows 11 Home</t>
        </is>
      </c>
      <c r="P432" s="38" t="n">
        <v>6</v>
      </c>
      <c r="Q432" s="41" t="n">
        <v>3175</v>
      </c>
      <c r="R432" s="38" t="inlineStr">
        <is>
          <t>Lighter than Auxo Pulse Ultra 17" Gaming Laptop [AUX-038-08] (3,175 g vs 3,322 g); Longer battery than Metis Halo Lite 17" Gaming Laptop [MET-029-09] (6 vs 4 hrs)</t>
        </is>
      </c>
      <c r="S432" s="38" t="inlineStr">
        <is>
          <t>gaming, streaming, content creation</t>
        </is>
      </c>
      <c r="T432" s="0" t="inlineStr">
        <is>
          <t>in_stock</t>
        </is>
      </c>
      <c r="U432" s="0" t="n">
        <v>15</v>
      </c>
      <c r="V432" s="52" t="n">
        <v>3861.99</v>
      </c>
      <c r="W432" s="0" t="inlineStr">
        <is>
          <t>2026-09-02</t>
        </is>
      </c>
      <c r="X432" s="0" t="n">
        <v>64</v>
      </c>
      <c r="Y432" s="0" t="n">
        <v>4096</v>
      </c>
      <c r="Z432" s="0" t="n">
        <v>17.3</v>
      </c>
      <c r="AA432" s="0" t="inlineStr">
        <is>
          <t>No</t>
        </is>
      </c>
    </row>
    <row r="433" ht="15.75" customHeight="1" s="51">
      <c r="A433" s="38" t="inlineStr">
        <is>
          <t>MOM-043-01</t>
        </is>
      </c>
      <c r="B433" s="38" t="inlineStr">
        <is>
          <t>Momus</t>
        </is>
      </c>
      <c r="C433" s="38" t="inlineStr">
        <is>
          <t>Laptops</t>
        </is>
      </c>
      <c r="D433" s="38" t="inlineStr">
        <is>
          <t>Laptop</t>
        </is>
      </c>
      <c r="E433" s="39" t="inlineStr">
        <is>
          <t>Momus Prism Chromebook</t>
        </is>
      </c>
      <c r="F433" s="40" t="n">
        <v>237.99</v>
      </c>
      <c r="G433" s="38" t="inlineStr">
        <is>
          <t>the Prism; Momus Prism; Moums Prism; Prism laptop</t>
        </is>
      </c>
      <c r="H433" s="38" t="inlineStr">
        <is>
          <t>1 year limited</t>
        </is>
      </c>
      <c r="I433" s="38" t="inlineStr">
        <is>
          <t>FCC, CE, UL 62368-1, Energy Star, EPEAT Bronze</t>
        </is>
      </c>
      <c r="J433" s="38" t="inlineStr">
        <is>
          <t>Intel N100</t>
        </is>
      </c>
      <c r="K433" s="38" t="inlineStr">
        <is>
          <t>Intel UHD Graphics</t>
        </is>
      </c>
      <c r="L433" s="38" t="inlineStr">
        <is>
          <t>IPS, 60Hz</t>
        </is>
      </c>
      <c r="M433" s="38" t="inlineStr">
        <is>
          <t>1366x768</t>
        </is>
      </c>
      <c r="N433" s="38" t="inlineStr">
        <is>
          <t>2x USB-C 3.2, 1x USB-A 3.2, HDMI 1.4, 3.5mm audio</t>
        </is>
      </c>
      <c r="O433" s="38" t="inlineStr">
        <is>
          <t>ChromeOS</t>
        </is>
      </c>
      <c r="P433" s="38" t="n">
        <v>12</v>
      </c>
      <c r="Q433" s="41" t="n">
        <v>1421</v>
      </c>
      <c r="R433" s="38" t="inlineStr">
        <is>
          <t>Lower price than Thanatos Pulse Lite Chromebook [THA-049-03] ($237.99 vs $685.99); Longer battery than Rhea Arc Chromebook [RHE-047-01] (12 vs 10 hrs)</t>
        </is>
      </c>
      <c r="S433" s="38" t="inlineStr">
        <is>
          <t>school, kids, budget</t>
        </is>
      </c>
      <c r="T433" s="0" t="inlineStr">
        <is>
          <t>out_of_stock</t>
        </is>
      </c>
      <c r="U433" s="0" t="n">
        <v>30</v>
      </c>
      <c r="V433" s="52" t="n">
        <v>263.99</v>
      </c>
      <c r="W433" s="0" t="inlineStr">
        <is>
          <t>2026-08-04</t>
        </is>
      </c>
      <c r="X433" s="0" t="n">
        <v>4</v>
      </c>
      <c r="Y433" s="0" t="n">
        <v>64</v>
      </c>
      <c r="Z433" s="0" t="n">
        <v>14</v>
      </c>
      <c r="AA433" s="0" t="inlineStr">
        <is>
          <t>No</t>
        </is>
      </c>
    </row>
    <row r="434" ht="15.75" customHeight="1" s="51">
      <c r="A434" s="38" t="inlineStr">
        <is>
          <t>MOM-043-02</t>
        </is>
      </c>
      <c r="B434" s="38" t="inlineStr">
        <is>
          <t>Momus</t>
        </is>
      </c>
      <c r="C434" s="38" t="inlineStr">
        <is>
          <t>Laptops</t>
        </is>
      </c>
      <c r="D434" s="38" t="inlineStr">
        <is>
          <t>Laptop</t>
        </is>
      </c>
      <c r="E434" s="39" t="inlineStr">
        <is>
          <t>Momus Crest Max 15" Budget Laptop</t>
        </is>
      </c>
      <c r="F434" s="40" t="n">
        <v>475.99</v>
      </c>
      <c r="G434" s="38" t="inlineStr">
        <is>
          <t>the Crest Max; Momus Crest Max; Momos Crest Max; Crest Max laptop</t>
        </is>
      </c>
      <c r="H434" s="38" t="inlineStr">
        <is>
          <t>1 year limited</t>
        </is>
      </c>
      <c r="I434" s="38" t="inlineStr">
        <is>
          <t>FCC, CE, UL 62368-1, Energy Star, EPEAT Gold</t>
        </is>
      </c>
      <c r="J434" s="38" t="inlineStr">
        <is>
          <t>Intel Core Ultra 5 125U</t>
        </is>
      </c>
      <c r="K434" s="38" t="inlineStr">
        <is>
          <t>Intel Graphics</t>
        </is>
      </c>
      <c r="L434" s="38" t="inlineStr">
        <is>
          <t>IPS, 60Hz</t>
        </is>
      </c>
      <c r="M434" s="38" t="inlineStr">
        <is>
          <t>1920x1080</t>
        </is>
      </c>
      <c r="N434" s="38" t="inlineStr">
        <is>
          <t>2x Thunderbolt 4 (USB-C), 1x USB-A 3.2, HDMI 2.1, microSD, 3.5mm audio</t>
        </is>
      </c>
      <c r="O434" s="38" t="inlineStr">
        <is>
          <t>Windows 11 Home</t>
        </is>
      </c>
      <c r="P434" s="38" t="n">
        <v>6</v>
      </c>
      <c r="Q434" s="41" t="n">
        <v>1637</v>
      </c>
      <c r="R434" s="38" t="inlineStr">
        <is>
          <t>Lower price than Homonoia Orbit Pro 15" Budget Laptop [HOM-033-02] ($475.99 vs $479.99); Lighter than Dolos Pulse Max 15" Budget Laptop [DOL-045-01] (1,637 g vs 1,850 g)</t>
        </is>
      </c>
      <c r="S434" s="38" t="inlineStr">
        <is>
          <t>budget, everyday, school</t>
        </is>
      </c>
      <c r="T434" s="0" t="inlineStr">
        <is>
          <t>in_stock</t>
        </is>
      </c>
      <c r="U434" s="0" t="n">
        <v>30</v>
      </c>
      <c r="V434" s="52" t="n">
        <v>520.99</v>
      </c>
      <c r="W434" s="0" t="inlineStr">
        <is>
          <t>2026-08-16</t>
        </is>
      </c>
      <c r="X434" s="0" t="n">
        <v>8</v>
      </c>
      <c r="Y434" s="0" t="n">
        <v>256</v>
      </c>
      <c r="Z434" s="0" t="n">
        <v>15.6</v>
      </c>
      <c r="AA434" s="0" t="inlineStr">
        <is>
          <t>No</t>
        </is>
      </c>
    </row>
    <row r="435" ht="15.75" customHeight="1" s="51">
      <c r="A435" s="38" t="inlineStr">
        <is>
          <t>MOM-043-03</t>
        </is>
      </c>
      <c r="B435" s="38" t="inlineStr">
        <is>
          <t>Momus</t>
        </is>
      </c>
      <c r="C435" s="38" t="inlineStr">
        <is>
          <t>Laptops</t>
        </is>
      </c>
      <c r="D435" s="38" t="inlineStr">
        <is>
          <t>Laptop</t>
        </is>
      </c>
      <c r="E435" s="39" t="inlineStr">
        <is>
          <t>Momus Blaze Pro Student Laptop</t>
        </is>
      </c>
      <c r="F435" s="40" t="n">
        <v>644.99</v>
      </c>
      <c r="G435" s="38" t="inlineStr">
        <is>
          <t>the Blaze Pro; Momus Blaze Pro; Moums Blaze Pro; Blaze Pro laptop</t>
        </is>
      </c>
      <c r="H435" s="38" t="inlineStr">
        <is>
          <t>1 year limited</t>
        </is>
      </c>
      <c r="I435" s="38" t="inlineStr">
        <is>
          <t>FCC, CE, UL 62368-1, EPEAT Silver</t>
        </is>
      </c>
      <c r="J435" s="38" t="inlineStr">
        <is>
          <t>Intel Core Ultra 5 125U</t>
        </is>
      </c>
      <c r="K435" s="38" t="inlineStr">
        <is>
          <t>Intel Graphics</t>
        </is>
      </c>
      <c r="L435" s="38" t="inlineStr">
        <is>
          <t>IPS, 60Hz</t>
        </is>
      </c>
      <c r="M435" s="38" t="inlineStr">
        <is>
          <t>1920x1080</t>
        </is>
      </c>
      <c r="N435" s="38" t="inlineStr">
        <is>
          <t>2x Thunderbolt 4 (USB-C), 1x USB-A 3.2, HDMI 2.1, microSD, 3.5mm audio</t>
        </is>
      </c>
      <c r="O435" s="38" t="inlineStr">
        <is>
          <t>Windows 11 Home</t>
        </is>
      </c>
      <c r="P435" s="38" t="n">
        <v>7</v>
      </c>
      <c r="Q435" s="41" t="n">
        <v>1670</v>
      </c>
      <c r="R435" s="38" t="inlineStr">
        <is>
          <t>Lighter than Aeolus Arc Plus Student Laptop [AEO-031-02] (1,670 g vs 1,689 g); Lower price than Aristaeus Pulse Student Laptop [ARI-027-03] ($644.99 vs $760.99)</t>
        </is>
      </c>
      <c r="S435" s="38" t="inlineStr">
        <is>
          <t>school, everyday, budget</t>
        </is>
      </c>
      <c r="T435" s="0" t="inlineStr">
        <is>
          <t>in_stock</t>
        </is>
      </c>
      <c r="U435" s="0" t="n">
        <v>30</v>
      </c>
      <c r="V435" s="52" t="n">
        <v>666.99</v>
      </c>
      <c r="W435" s="0" t="inlineStr">
        <is>
          <t>2026-08-31</t>
        </is>
      </c>
      <c r="X435" s="0" t="n">
        <v>16</v>
      </c>
      <c r="Y435" s="0" t="n">
        <v>512</v>
      </c>
      <c r="Z435" s="0" t="n">
        <v>15.6</v>
      </c>
      <c r="AA435" s="0" t="inlineStr">
        <is>
          <t>No</t>
        </is>
      </c>
    </row>
    <row r="436" ht="15.75" customHeight="1" s="51">
      <c r="A436" s="38" t="inlineStr">
        <is>
          <t>MOM-043-04</t>
        </is>
      </c>
      <c r="B436" s="38" t="inlineStr">
        <is>
          <t>Momus</t>
        </is>
      </c>
      <c r="C436" s="38" t="inlineStr">
        <is>
          <t>Laptops</t>
        </is>
      </c>
      <c r="D436" s="38" t="inlineStr">
        <is>
          <t>Laptop</t>
        </is>
      </c>
      <c r="E436" s="39" t="inlineStr">
        <is>
          <t>Momus Blaze Ultra 15" Ultrabook</t>
        </is>
      </c>
      <c r="F436" s="40" t="n">
        <v>1337.99</v>
      </c>
      <c r="G436" s="38" t="inlineStr">
        <is>
          <t>the Blaze Ultra; Momus Blaze Ultra; Moums Blaze Ultra; Blaze Ultra laptop</t>
        </is>
      </c>
      <c r="H436" s="38" t="inlineStr">
        <is>
          <t>1 year limited</t>
        </is>
      </c>
      <c r="I436" s="38" t="inlineStr">
        <is>
          <t>FCC, CE, UL 62368-1, EPEAT Bronze</t>
        </is>
      </c>
      <c r="J436" s="38" t="inlineStr">
        <is>
          <t>Intel Core Ultra 5 125U</t>
        </is>
      </c>
      <c r="K436" s="38" t="inlineStr">
        <is>
          <t>Intel Graphics</t>
        </is>
      </c>
      <c r="L436" s="38" t="inlineStr">
        <is>
          <t>IPS, 60Hz</t>
        </is>
      </c>
      <c r="M436" s="38" t="inlineStr">
        <is>
          <t>1920x1200</t>
        </is>
      </c>
      <c r="N436" s="38" t="inlineStr">
        <is>
          <t>2x Thunderbolt 4 (USB-C), 1x USB-A 3.2, HDMI 2.1, microSD, 3.5mm audio</t>
        </is>
      </c>
      <c r="O436" s="38" t="inlineStr">
        <is>
          <t>Windows 11 Home</t>
        </is>
      </c>
      <c r="P436" s="38" t="n">
        <v>13</v>
      </c>
      <c r="Q436" s="41" t="n">
        <v>1654</v>
      </c>
      <c r="R436" s="38" t="inlineStr">
        <is>
          <t>Lower price than Homonoia Aeon Plus 15" Ultrabook [HOM-033-05] ($1,337.99 vs $1,973.99); Longer battery than Aeolus Nimbus Ultra 15" Ultrabook [AEO-031-03] (13 vs 10 hrs)</t>
        </is>
      </c>
      <c r="S436" s="38" t="inlineStr">
        <is>
          <t>work, school, everyday</t>
        </is>
      </c>
      <c r="T436" s="0" t="inlineStr">
        <is>
          <t>in_stock</t>
        </is>
      </c>
      <c r="U436" s="0" t="n">
        <v>30</v>
      </c>
      <c r="V436" s="52" t="n">
        <v>1462.99</v>
      </c>
      <c r="W436" s="0" t="inlineStr">
        <is>
          <t>2026-08-03</t>
        </is>
      </c>
      <c r="X436" s="0" t="n">
        <v>16</v>
      </c>
      <c r="Y436" s="0" t="n">
        <v>1024</v>
      </c>
      <c r="Z436" s="0" t="n">
        <v>15.6</v>
      </c>
      <c r="AA436" s="0" t="inlineStr">
        <is>
          <t>No</t>
        </is>
      </c>
    </row>
    <row r="437" ht="15.75" customHeight="1" s="51">
      <c r="A437" s="38" t="inlineStr">
        <is>
          <t>MOM-043-05</t>
        </is>
      </c>
      <c r="B437" s="38" t="inlineStr">
        <is>
          <t>Momus</t>
        </is>
      </c>
      <c r="C437" s="38" t="inlineStr">
        <is>
          <t>Laptops</t>
        </is>
      </c>
      <c r="D437" s="38" t="inlineStr">
        <is>
          <t>Laptop</t>
        </is>
      </c>
      <c r="E437" s="39" t="inlineStr">
        <is>
          <t>Momus Wave Lite Dual-Screen Laptop</t>
        </is>
      </c>
      <c r="F437" s="40" t="n">
        <v>1513.99</v>
      </c>
      <c r="G437" s="38" t="inlineStr">
        <is>
          <t>the Wave Lite; Momus Wave Lite; Momu Wave Lite; Wave Lite laptop</t>
        </is>
      </c>
      <c r="H437" s="38" t="inlineStr">
        <is>
          <t>1 year limited</t>
        </is>
      </c>
      <c r="I437" s="38" t="inlineStr">
        <is>
          <t>FCC, CE, UL 62368-1, EPEAT Gold</t>
        </is>
      </c>
      <c r="J437" s="38" t="inlineStr">
        <is>
          <t>Qualcomm Snapdragon X Plus X1P-42-100</t>
        </is>
      </c>
      <c r="K437" s="38" t="inlineStr">
        <is>
          <t>Qualcomm Adreno X1-45</t>
        </is>
      </c>
      <c r="L437" s="38" t="inlineStr">
        <is>
          <t>Dual OLED touch, 120Hz</t>
        </is>
      </c>
      <c r="M437" s="38" t="inlineStr">
        <is>
          <t>2x 2880x1800</t>
        </is>
      </c>
      <c r="N437" s="38" t="inlineStr">
        <is>
          <t>2x USB4 (USB-C), 1x USB-A 3.2, 3.5mm audio</t>
        </is>
      </c>
      <c r="O437" s="38" t="inlineStr">
        <is>
          <t>Windows 11 Home</t>
        </is>
      </c>
      <c r="P437" s="38" t="n">
        <v>7</v>
      </c>
      <c r="Q437" s="41" t="n">
        <v>1518</v>
      </c>
      <c r="R437" s="38" t="inlineStr">
        <is>
          <t>Lower price than Terpsichore Orbit Dual-Screen Laptop [TER-039-07] ($1,513.99 vs $2,018.99); Lighter than Zephyrus Quanta X Dual-Screen Laptop [ZEP-032-09] (1,518 g vs 1,702 g)</t>
        </is>
      </c>
      <c r="S437" s="38" t="inlineStr">
        <is>
          <t>multitasking, productivity, content creation</t>
        </is>
      </c>
      <c r="T437" s="0" t="inlineStr">
        <is>
          <t>in_stock</t>
        </is>
      </c>
      <c r="U437" s="0" t="n">
        <v>30</v>
      </c>
      <c r="V437" s="52" t="n">
        <v>1730.99</v>
      </c>
      <c r="W437" s="0" t="inlineStr">
        <is>
          <t>2026-09-07</t>
        </is>
      </c>
      <c r="X437" s="0" t="n">
        <v>16</v>
      </c>
      <c r="Y437" s="0" t="n">
        <v>1024</v>
      </c>
      <c r="Z437" s="0" t="n">
        <v>14</v>
      </c>
      <c r="AA437" s="0" t="inlineStr">
        <is>
          <t>Yes</t>
        </is>
      </c>
    </row>
    <row r="438" ht="15.75" customHeight="1" s="51">
      <c r="A438" s="38" t="inlineStr">
        <is>
          <t>MOM-043-06</t>
        </is>
      </c>
      <c r="B438" s="38" t="inlineStr">
        <is>
          <t>Momus</t>
        </is>
      </c>
      <c r="C438" s="38" t="inlineStr">
        <is>
          <t>Laptops</t>
        </is>
      </c>
      <c r="D438" s="38" t="inlineStr">
        <is>
          <t>Laptop</t>
        </is>
      </c>
      <c r="E438" s="39" t="inlineStr">
        <is>
          <t>Momus Onyx Air 2-in-1 Convertible</t>
        </is>
      </c>
      <c r="F438" s="40" t="n">
        <v>1637.99</v>
      </c>
      <c r="G438" s="38" t="inlineStr">
        <is>
          <t>the Onyx Air; Momus Onyx Air; Momu Onyx Air; Onyx Air laptop</t>
        </is>
      </c>
      <c r="H438" s="38" t="inlineStr">
        <is>
          <t>2 year limited</t>
        </is>
      </c>
      <c r="I438" s="38" t="inlineStr">
        <is>
          <t>FCC, CE, UL 62368-1, EPEAT Silver</t>
        </is>
      </c>
      <c r="J438" s="38" t="inlineStr">
        <is>
          <t>AMD Ryzen AI 9 HX 370</t>
        </is>
      </c>
      <c r="K438" s="38" t="inlineStr">
        <is>
          <t>AMD Radeon 890M</t>
        </is>
      </c>
      <c r="L438" s="38" t="inlineStr">
        <is>
          <t>OLED touch, 60Hz</t>
        </is>
      </c>
      <c r="M438" s="38" t="inlineStr">
        <is>
          <t>2880x1800</t>
        </is>
      </c>
      <c r="N438" s="38" t="inlineStr">
        <is>
          <t>2x USB4 (USB-C), 2x USB-A 3.2, HDMI 2.1, SD card, 3.5mm audio</t>
        </is>
      </c>
      <c r="O438" s="38" t="inlineStr">
        <is>
          <t>Windows 11 Home</t>
        </is>
      </c>
      <c r="P438" s="38" t="n">
        <v>10</v>
      </c>
      <c r="Q438" s="41" t="n">
        <v>1520</v>
      </c>
      <c r="R438" s="38" t="inlineStr">
        <is>
          <t>Lower price than Melpomene Nimbus Plus 2-in-1 Convertible [MEL-026-04] ($1,637.99 vs $1,690.99); Lighter than Hygieia Core 2-in-1 Convertible [HYG-048-03] (1,520 g vs 1,597 g)</t>
        </is>
      </c>
      <c r="S438" s="38" t="inlineStr">
        <is>
          <t>school, note-taking, travel</t>
        </is>
      </c>
      <c r="T438" s="0" t="inlineStr">
        <is>
          <t>low_stock</t>
        </is>
      </c>
      <c r="U438" s="0" t="n">
        <v>30</v>
      </c>
      <c r="V438" s="52" t="n">
        <v>1767.99</v>
      </c>
      <c r="W438" s="0" t="inlineStr">
        <is>
          <t>2026-08-01</t>
        </is>
      </c>
      <c r="X438" s="0" t="n">
        <v>16</v>
      </c>
      <c r="Y438" s="0" t="n">
        <v>1024</v>
      </c>
      <c r="Z438" s="0" t="n">
        <v>14</v>
      </c>
      <c r="AA438" s="0" t="inlineStr">
        <is>
          <t>Yes</t>
        </is>
      </c>
    </row>
    <row r="439" ht="15.75" customHeight="1" s="51">
      <c r="A439" s="38" t="inlineStr">
        <is>
          <t>MOM-043-07</t>
        </is>
      </c>
      <c r="B439" s="38" t="inlineStr">
        <is>
          <t>Momus</t>
        </is>
      </c>
      <c r="C439" s="38" t="inlineStr">
        <is>
          <t>Laptops</t>
        </is>
      </c>
      <c r="D439" s="38" t="inlineStr">
        <is>
          <t>Laptop</t>
        </is>
      </c>
      <c r="E439" s="39" t="inlineStr">
        <is>
          <t>Momus Vertex Plus Mobile Workstation</t>
        </is>
      </c>
      <c r="F439" s="40" t="n">
        <v>1976.99</v>
      </c>
      <c r="G439" s="38" t="inlineStr">
        <is>
          <t>the Vertex Plus; Momus Vertex Plus; Momos Vertex Plus; Vertex Plus laptop</t>
        </is>
      </c>
      <c r="H439" s="38" t="inlineStr">
        <is>
          <t>3 year limited, on-site service</t>
        </is>
      </c>
      <c r="I439" s="38" t="inlineStr">
        <is>
          <t>FCC, CE, UL 62368-1, EPEAT Gold, TCO Certified, MIL-STD-810H</t>
        </is>
      </c>
      <c r="J439" s="38" t="inlineStr">
        <is>
          <t>AMD Ryzen 7 8845HS</t>
        </is>
      </c>
      <c r="K439" s="38" t="inlineStr">
        <is>
          <t>NVIDIA RTX 2000 Ada 8GB Laptop GPU</t>
        </is>
      </c>
      <c r="L439" s="38" t="inlineStr">
        <is>
          <t>IPS, 60Hz</t>
        </is>
      </c>
      <c r="M439" s="38" t="inlineStr">
        <is>
          <t>1920x1200</t>
        </is>
      </c>
      <c r="N439" s="38" t="inlineStr">
        <is>
          <t>2x USB-C 3.2, 1x USB-A 3.2, HDMI 1.4, 3.5mm audio</t>
        </is>
      </c>
      <c r="O439" s="38" t="inlineStr">
        <is>
          <t>Windows 11 Pro</t>
        </is>
      </c>
      <c r="P439" s="38" t="n">
        <v>8</v>
      </c>
      <c r="Q439" s="41" t="n">
        <v>2216</v>
      </c>
      <c r="R439" s="38" t="inlineStr">
        <is>
          <t>Longer battery than Homonoia Spark SE Mobile Workstation [HOM-033-07] (8 vs 5 hrs); Lower price than Boreas Aeon Air Mobile Workstation [BOR-044-08] ($1,976.99 vs $2,915.99)</t>
        </is>
      </c>
      <c r="S439" s="38" t="inlineStr">
        <is>
          <t>engineering, 3D rendering, data science</t>
        </is>
      </c>
      <c r="T439" s="0" t="inlineStr">
        <is>
          <t>in_stock</t>
        </is>
      </c>
      <c r="U439" s="0" t="n">
        <v>30</v>
      </c>
      <c r="V439" s="52" t="n">
        <v>2232.99</v>
      </c>
      <c r="W439" s="0" t="inlineStr">
        <is>
          <t>2026-08-03</t>
        </is>
      </c>
      <c r="X439" s="0" t="n">
        <v>32</v>
      </c>
      <c r="Y439" s="0" t="n">
        <v>1024</v>
      </c>
      <c r="Z439" s="0" t="n">
        <v>16</v>
      </c>
      <c r="AA439" s="0" t="inlineStr">
        <is>
          <t>No</t>
        </is>
      </c>
    </row>
    <row r="440" ht="15.75" customHeight="1" s="51">
      <c r="A440" s="38" t="inlineStr">
        <is>
          <t>MOM-043-08</t>
        </is>
      </c>
      <c r="B440" s="38" t="inlineStr">
        <is>
          <t>Momus</t>
        </is>
      </c>
      <c r="C440" s="38" t="inlineStr">
        <is>
          <t>Laptops</t>
        </is>
      </c>
      <c r="D440" s="38" t="inlineStr">
        <is>
          <t>Laptop</t>
        </is>
      </c>
      <c r="E440" s="39" t="inlineStr">
        <is>
          <t>Momus Crest SE 17" Gaming Laptop</t>
        </is>
      </c>
      <c r="F440" s="40" t="n">
        <v>2034.99</v>
      </c>
      <c r="G440" s="38" t="inlineStr">
        <is>
          <t>the Crest SE; Momus Crest SE; Momuus Crest SE; Crest SE laptop</t>
        </is>
      </c>
      <c r="H440" s="38" t="inlineStr">
        <is>
          <t>1 year limited</t>
        </is>
      </c>
      <c r="I440" s="38" t="inlineStr">
        <is>
          <t>FCC, CE, UL 62368-1, Energy Star, EPEAT Gold</t>
        </is>
      </c>
      <c r="J440" s="38" t="inlineStr">
        <is>
          <t>Intel Core i9-14900HX</t>
        </is>
      </c>
      <c r="K440" s="38" t="inlineStr">
        <is>
          <t>NVIDIA GeForce RTX 4070 8GB Laptop GPU</t>
        </is>
      </c>
      <c r="L440" s="38" t="inlineStr">
        <is>
          <t>IPS, 240Hz</t>
        </is>
      </c>
      <c r="M440" s="38" t="inlineStr">
        <is>
          <t>2560x1600</t>
        </is>
      </c>
      <c r="N440" s="38" t="inlineStr">
        <is>
          <t>1x Thunderbolt 4, 3x USB-A 3.2, HDMI 2.1, RJ-45 Ethernet, 3.5mm audio</t>
        </is>
      </c>
      <c r="O440" s="38" t="inlineStr">
        <is>
          <t>Windows 11 Home</t>
        </is>
      </c>
      <c r="P440" s="38" t="n">
        <v>6</v>
      </c>
      <c r="Q440" s="41" t="n">
        <v>3192</v>
      </c>
      <c r="R440" s="38" t="inlineStr">
        <is>
          <t>Lower price than Aeolus Spark 17" Gaming Laptop [AEO-031-09] ($2,034.99 vs $2,744.99); Lighter than Dolos Aria Plus 17" Gaming Laptop [DOL-045-07] (3,192 g vs 3,339 g)</t>
        </is>
      </c>
      <c r="S440" s="38" t="inlineStr">
        <is>
          <t>gaming, streaming, content creation</t>
        </is>
      </c>
      <c r="T440" s="0" t="inlineStr">
        <is>
          <t>in_stock</t>
        </is>
      </c>
      <c r="U440" s="0" t="n">
        <v>30</v>
      </c>
      <c r="V440" s="52" t="n">
        <v>2123.99</v>
      </c>
      <c r="W440" s="0" t="inlineStr">
        <is>
          <t>2026-08-29</t>
        </is>
      </c>
      <c r="X440" s="0" t="n">
        <v>32</v>
      </c>
      <c r="Y440" s="0" t="n">
        <v>2048</v>
      </c>
      <c r="Z440" s="0" t="n">
        <v>17.3</v>
      </c>
      <c r="AA440" s="0" t="inlineStr">
        <is>
          <t>No</t>
        </is>
      </c>
    </row>
    <row r="441" ht="15.75" customHeight="1" s="51">
      <c r="A441" s="38" t="inlineStr">
        <is>
          <t>MOM-043-09</t>
        </is>
      </c>
      <c r="B441" s="38" t="inlineStr">
        <is>
          <t>Momus</t>
        </is>
      </c>
      <c r="C441" s="38" t="inlineStr">
        <is>
          <t>Laptops</t>
        </is>
      </c>
      <c r="D441" s="38" t="inlineStr">
        <is>
          <t>Laptop</t>
        </is>
      </c>
      <c r="E441" s="39" t="inlineStr">
        <is>
          <t>Momus Echo Plus 15" Gaming Laptop</t>
        </is>
      </c>
      <c r="F441" s="40" t="n">
        <v>2076.99</v>
      </c>
      <c r="G441" s="38" t="inlineStr">
        <is>
          <t>the Echo Plus; Momus Echo Plus; Moums Echo Plus; Echo Plus laptop</t>
        </is>
      </c>
      <c r="H441" s="38" t="inlineStr">
        <is>
          <t>2 year limited</t>
        </is>
      </c>
      <c r="I441" s="38" t="inlineStr">
        <is>
          <t>FCC, CE, UL 62368-1, EPEAT Gold</t>
        </is>
      </c>
      <c r="J441" s="38" t="inlineStr">
        <is>
          <t>Intel Core i9-14900HX</t>
        </is>
      </c>
      <c r="K441" s="38" t="inlineStr">
        <is>
          <t>NVIDIA GeForce RTX 4070 8GB Laptop GPU</t>
        </is>
      </c>
      <c r="L441" s="38" t="inlineStr">
        <is>
          <t>IPS, 240Hz</t>
        </is>
      </c>
      <c r="M441" s="38" t="inlineStr">
        <is>
          <t>2560x1600</t>
        </is>
      </c>
      <c r="N441" s="38" t="inlineStr">
        <is>
          <t>1x Thunderbolt 4, 3x USB-A 3.2, HDMI 2.1, RJ-45 Ethernet, 3.5mm audio</t>
        </is>
      </c>
      <c r="O441" s="38" t="inlineStr">
        <is>
          <t>Windows 11 Home</t>
        </is>
      </c>
      <c r="P441" s="38" t="n">
        <v>5</v>
      </c>
      <c r="Q441" s="41" t="n">
        <v>2380</v>
      </c>
      <c r="R441" s="38" t="inlineStr">
        <is>
          <t>Lighter than Terpsichore Quanta Plus 15" Gaming Laptop [TER-039-03] (2,380 g vs 2,496 g); Lower price than Demeter Core Ultra 15" Gaming Laptop [DEM-028-06] ($2,076.99 vs $2,411.99)</t>
        </is>
      </c>
      <c r="S441" s="38" t="inlineStr">
        <is>
          <t>gaming, streaming</t>
        </is>
      </c>
      <c r="T441" s="0" t="inlineStr">
        <is>
          <t>in_stock</t>
        </is>
      </c>
      <c r="U441" s="0" t="n">
        <v>30</v>
      </c>
      <c r="V441" s="52" t="n">
        <v>2259.99</v>
      </c>
      <c r="W441" s="0" t="inlineStr">
        <is>
          <t>2026-09-11</t>
        </is>
      </c>
      <c r="X441" s="0" t="n">
        <v>32</v>
      </c>
      <c r="Y441" s="0" t="n">
        <v>2048</v>
      </c>
      <c r="Z441" s="0" t="n">
        <v>15.6</v>
      </c>
      <c r="AA441" s="0" t="inlineStr">
        <is>
          <t>No</t>
        </is>
      </c>
    </row>
    <row r="442" ht="15.75" customHeight="1" s="51">
      <c r="A442" s="38" t="inlineStr">
        <is>
          <t>MOM-043-10</t>
        </is>
      </c>
      <c r="B442" s="38" t="inlineStr">
        <is>
          <t>Momus</t>
        </is>
      </c>
      <c r="C442" s="38" t="inlineStr">
        <is>
          <t>Laptops</t>
        </is>
      </c>
      <c r="D442" s="38" t="inlineStr">
        <is>
          <t>Laptop</t>
        </is>
      </c>
      <c r="E442" s="39" t="inlineStr">
        <is>
          <t>Momus Onyx X 14" Business Laptop</t>
        </is>
      </c>
      <c r="F442" s="40" t="n">
        <v>2166.99</v>
      </c>
      <c r="G442" s="38" t="inlineStr">
        <is>
          <t>the Onyx X; Momus Onyx X; Momos Onyx X; Onyx X laptop</t>
        </is>
      </c>
      <c r="H442" s="38" t="inlineStr">
        <is>
          <t>3 year limited, on-site service</t>
        </is>
      </c>
      <c r="I442" s="38" t="inlineStr">
        <is>
          <t>FCC, CE, UL 62368-1, Energy Star, EPEAT Gold, TCO Certified, MIL-STD-810H</t>
        </is>
      </c>
      <c r="J442" s="38" t="inlineStr">
        <is>
          <t>Intel Core Ultra 7 155H</t>
        </is>
      </c>
      <c r="K442" s="38" t="inlineStr">
        <is>
          <t>Intel Arc Graphics</t>
        </is>
      </c>
      <c r="L442" s="38" t="inlineStr">
        <is>
          <t>OLED, 60Hz</t>
        </is>
      </c>
      <c r="M442" s="38" t="inlineStr">
        <is>
          <t>2880x1800</t>
        </is>
      </c>
      <c r="N442" s="38" t="inlineStr">
        <is>
          <t>2x Thunderbolt 4 (USB-C), 1x USB-A 3.2, HDMI 2.1, microSD, 3.5mm audio</t>
        </is>
      </c>
      <c r="O442" s="38" t="inlineStr">
        <is>
          <t>Windows 11 Pro</t>
        </is>
      </c>
      <c r="P442" s="38" t="n">
        <v>11</v>
      </c>
      <c r="Q442" s="41" t="n">
        <v>1278</v>
      </c>
      <c r="R442" s="38" t="inlineStr">
        <is>
          <t>Lighter than Demeter Prism SE 14" Business Laptop [DEM-028-05] (1,278 g vs 1,364 g); Longer battery than Thallo Volt Pro 14" Business Laptop [THA-046-05] (11 vs 10 hrs)</t>
        </is>
      </c>
      <c r="S442" s="38" t="inlineStr">
        <is>
          <t>work, travel, remote meetings</t>
        </is>
      </c>
      <c r="T442" s="0" t="inlineStr">
        <is>
          <t>in_stock</t>
        </is>
      </c>
      <c r="U442" s="0" t="n">
        <v>30</v>
      </c>
      <c r="V442" s="52" t="n">
        <v>2285.99</v>
      </c>
      <c r="W442" s="0" t="inlineStr">
        <is>
          <t>2026-08-19</t>
        </is>
      </c>
      <c r="X442" s="0" t="n">
        <v>32</v>
      </c>
      <c r="Y442" s="0" t="n">
        <v>2048</v>
      </c>
      <c r="Z442" s="0" t="n">
        <v>14</v>
      </c>
      <c r="AA442" s="0" t="inlineStr">
        <is>
          <t>No</t>
        </is>
      </c>
    </row>
    <row r="443" ht="15.75" customHeight="1" s="51">
      <c r="A443" s="38" t="inlineStr">
        <is>
          <t>BOR-044-01</t>
        </is>
      </c>
      <c r="B443" s="38" t="inlineStr">
        <is>
          <t>Boreas</t>
        </is>
      </c>
      <c r="C443" s="38" t="inlineStr">
        <is>
          <t>Laptops</t>
        </is>
      </c>
      <c r="D443" s="38" t="inlineStr">
        <is>
          <t>Laptop</t>
        </is>
      </c>
      <c r="E443" s="39" t="inlineStr">
        <is>
          <t>Boreas Onyx Max 15" Budget Laptop</t>
        </is>
      </c>
      <c r="F443" s="40" t="n">
        <v>484.99</v>
      </c>
      <c r="G443" s="38" t="inlineStr">
        <is>
          <t>the Onyx Max; Boreas Onyx Max; Booreas Onyx Max; Onyx Max laptop</t>
        </is>
      </c>
      <c r="H443" s="38" t="inlineStr">
        <is>
          <t>1 year limited</t>
        </is>
      </c>
      <c r="I443" s="38" t="inlineStr">
        <is>
          <t>FCC, CE, UL 62368-1, Energy Star, EPEAT Bronze</t>
        </is>
      </c>
      <c r="J443" s="38" t="inlineStr">
        <is>
          <t>AMD Ryzen 5 8640HS</t>
        </is>
      </c>
      <c r="K443" s="38" t="inlineStr">
        <is>
          <t>AMD Radeon 760M</t>
        </is>
      </c>
      <c r="L443" s="38" t="inlineStr">
        <is>
          <t>IPS, 60Hz</t>
        </is>
      </c>
      <c r="M443" s="38" t="inlineStr">
        <is>
          <t>1920x1080</t>
        </is>
      </c>
      <c r="N443" s="38" t="inlineStr">
        <is>
          <t>2x USB4 (USB-C), 2x USB-A 3.2, HDMI 2.1, SD card, 3.5mm audio</t>
        </is>
      </c>
      <c r="O443" s="38" t="inlineStr">
        <is>
          <t>Windows 11 Home</t>
        </is>
      </c>
      <c r="P443" s="38" t="n">
        <v>7</v>
      </c>
      <c r="Q443" s="41" t="n">
        <v>1728</v>
      </c>
      <c r="R443" s="38" t="inlineStr">
        <is>
          <t>Lighter than Dolos Pulse Max 15" Budget Laptop [DOL-045-01] (1,728 g vs 1,850 g); Longer battery than Priapus Apex Lite 15" Budget Laptop [PRI-042-02] (7 vs 6 hrs)</t>
        </is>
      </c>
      <c r="S443" s="38" t="inlineStr">
        <is>
          <t>budget, everyday, school</t>
        </is>
      </c>
      <c r="T443" s="0" t="inlineStr">
        <is>
          <t>in_stock</t>
        </is>
      </c>
      <c r="U443" s="0" t="n">
        <v>30</v>
      </c>
      <c r="V443" s="52" t="n">
        <v>506.99</v>
      </c>
      <c r="W443" s="0" t="inlineStr">
        <is>
          <t>2026-08-14</t>
        </is>
      </c>
      <c r="X443" s="0" t="n">
        <v>8</v>
      </c>
      <c r="Y443" s="0" t="n">
        <v>256</v>
      </c>
      <c r="Z443" s="0" t="n">
        <v>15.6</v>
      </c>
      <c r="AA443" s="0" t="inlineStr">
        <is>
          <t>No</t>
        </is>
      </c>
    </row>
    <row r="444" ht="15.75" customHeight="1" s="51">
      <c r="A444" s="38" t="inlineStr">
        <is>
          <t>BOR-044-02</t>
        </is>
      </c>
      <c r="B444" s="38" t="inlineStr">
        <is>
          <t>Boreas</t>
        </is>
      </c>
      <c r="C444" s="38" t="inlineStr">
        <is>
          <t>Laptops</t>
        </is>
      </c>
      <c r="D444" s="38" t="inlineStr">
        <is>
          <t>Laptop</t>
        </is>
      </c>
      <c r="E444" s="39" t="inlineStr">
        <is>
          <t>Boreas Crest Lite Student Laptop</t>
        </is>
      </c>
      <c r="F444" s="40" t="n">
        <v>708.99</v>
      </c>
      <c r="G444" s="38" t="inlineStr">
        <is>
          <t>the Crest Lite; Boreas Crest Lite; Broeas Crest Lite; Crest Lite laptop</t>
        </is>
      </c>
      <c r="H444" s="38" t="inlineStr">
        <is>
          <t>2 year limited</t>
        </is>
      </c>
      <c r="I444" s="38" t="inlineStr">
        <is>
          <t>FCC, CE, UL 62368-1, Energy Star, EPEAT Silver</t>
        </is>
      </c>
      <c r="J444" s="38" t="inlineStr">
        <is>
          <t>AMD Ryzen 5 8640HS</t>
        </is>
      </c>
      <c r="K444" s="38" t="inlineStr">
        <is>
          <t>AMD Radeon 760M</t>
        </is>
      </c>
      <c r="L444" s="38" t="inlineStr">
        <is>
          <t>IPS, 60Hz</t>
        </is>
      </c>
      <c r="M444" s="38" t="inlineStr">
        <is>
          <t>1920x1080</t>
        </is>
      </c>
      <c r="N444" s="38" t="inlineStr">
        <is>
          <t>2x USB4 (USB-C), 2x USB-A 3.2, HDMI 2.1, SD card, 3.5mm audio</t>
        </is>
      </c>
      <c r="O444" s="38" t="inlineStr">
        <is>
          <t>Windows 11 Home</t>
        </is>
      </c>
      <c r="P444" s="38" t="n">
        <v>12</v>
      </c>
      <c r="Q444" s="41" t="n">
        <v>1646</v>
      </c>
      <c r="R444" s="38" t="inlineStr">
        <is>
          <t>Longer battery than Aeolus Arc Plus Student Laptop [AEO-031-02] (12 vs 9 hrs); Lighter than Momus Blaze Pro Student Laptop [MOM-043-03] (1,646 g vs 1,670 g)</t>
        </is>
      </c>
      <c r="S444" s="38" t="inlineStr">
        <is>
          <t>school, everyday, budget</t>
        </is>
      </c>
      <c r="T444" s="0" t="inlineStr">
        <is>
          <t>out_of_stock</t>
        </is>
      </c>
      <c r="U444" s="0" t="n">
        <v>30</v>
      </c>
      <c r="V444" s="52" t="n">
        <v>814.99</v>
      </c>
      <c r="W444" s="0" t="inlineStr">
        <is>
          <t>2026-08-28</t>
        </is>
      </c>
      <c r="X444" s="0" t="n">
        <v>16</v>
      </c>
      <c r="Y444" s="0" t="n">
        <v>512</v>
      </c>
      <c r="Z444" s="0" t="n">
        <v>15.6</v>
      </c>
      <c r="AA444" s="0" t="inlineStr">
        <is>
          <t>No</t>
        </is>
      </c>
    </row>
    <row r="445" ht="15.75" customHeight="1" s="51">
      <c r="A445" s="38" t="inlineStr">
        <is>
          <t>BOR-044-03</t>
        </is>
      </c>
      <c r="B445" s="38" t="inlineStr">
        <is>
          <t>Boreas</t>
        </is>
      </c>
      <c r="C445" s="38" t="inlineStr">
        <is>
          <t>Laptops</t>
        </is>
      </c>
      <c r="D445" s="38" t="inlineStr">
        <is>
          <t>Laptop</t>
        </is>
      </c>
      <c r="E445" s="39" t="inlineStr">
        <is>
          <t>Boreas Orbit Air 14" Business Laptop</t>
        </is>
      </c>
      <c r="F445" s="40" t="n">
        <v>1530.99</v>
      </c>
      <c r="G445" s="38" t="inlineStr">
        <is>
          <t>the Orbit Air; Boreas Orbit Air; Boraes Orbit Air; Orbit Air laptop</t>
        </is>
      </c>
      <c r="H445" s="38" t="inlineStr">
        <is>
          <t>3 year limited, on-site service</t>
        </is>
      </c>
      <c r="I445" s="38" t="inlineStr">
        <is>
          <t>FCC, CE, UL 62368-1, Energy Star, EPEAT Bronze, TCO Certified, MIL-STD-810H</t>
        </is>
      </c>
      <c r="J445" s="38" t="inlineStr">
        <is>
          <t>AMD Ryzen 7 8845HS</t>
        </is>
      </c>
      <c r="K445" s="38" t="inlineStr">
        <is>
          <t>AMD Radeon 780M</t>
        </is>
      </c>
      <c r="L445" s="38" t="inlineStr">
        <is>
          <t>OLED, 60Hz</t>
        </is>
      </c>
      <c r="M445" s="38" t="inlineStr">
        <is>
          <t>2880x1800</t>
        </is>
      </c>
      <c r="N445" s="38" t="inlineStr">
        <is>
          <t>2x USB4 (USB-C), 2x USB-A 3.2, HDMI 2.1, SD card, 3.5mm audio</t>
        </is>
      </c>
      <c r="O445" s="38" t="inlineStr">
        <is>
          <t>Windows 11 Pro</t>
        </is>
      </c>
      <c r="P445" s="38" t="n">
        <v>17</v>
      </c>
      <c r="Q445" s="41" t="n">
        <v>1200</v>
      </c>
      <c r="R445" s="38" t="inlineStr">
        <is>
          <t>Longer battery than Persephone Crest Max 14" Business Laptop [PER-036-02] (17 vs 13 hrs); Lighter than Aeolus Apex Air 14" Business Laptop [AEO-031-05] (1,200 g vs 1,428 g)</t>
        </is>
      </c>
      <c r="S445" s="38" t="inlineStr">
        <is>
          <t>work, travel, remote meetings</t>
        </is>
      </c>
      <c r="T445" s="0" t="inlineStr">
        <is>
          <t>out_of_stock</t>
        </is>
      </c>
      <c r="U445" s="0" t="n">
        <v>30</v>
      </c>
      <c r="V445" s="52" t="n">
        <v>1727.99</v>
      </c>
      <c r="W445" s="0" t="inlineStr">
        <is>
          <t>2026-08-12</t>
        </is>
      </c>
      <c r="X445" s="0" t="n">
        <v>16</v>
      </c>
      <c r="Y445" s="0" t="n">
        <v>1024</v>
      </c>
      <c r="Z445" s="0" t="n">
        <v>14</v>
      </c>
      <c r="AA445" s="0" t="inlineStr">
        <is>
          <t>No</t>
        </is>
      </c>
    </row>
    <row r="446" ht="15.75" customHeight="1" s="51">
      <c r="A446" s="38" t="inlineStr">
        <is>
          <t>BOR-044-04</t>
        </is>
      </c>
      <c r="B446" s="38" t="inlineStr">
        <is>
          <t>Boreas</t>
        </is>
      </c>
      <c r="C446" s="38" t="inlineStr">
        <is>
          <t>Laptops</t>
        </is>
      </c>
      <c r="D446" s="38" t="inlineStr">
        <is>
          <t>Laptop</t>
        </is>
      </c>
      <c r="E446" s="39" t="inlineStr">
        <is>
          <t>Boreas Nova Lite 15" Ultrabook</t>
        </is>
      </c>
      <c r="F446" s="40" t="n">
        <v>1581.99</v>
      </c>
      <c r="G446" s="38" t="inlineStr">
        <is>
          <t>the Nova Lite; Boreas Nova Lite; Boreaas Nova Lite; Nova Lite laptop</t>
        </is>
      </c>
      <c r="H446" s="38" t="inlineStr">
        <is>
          <t>1 year limited</t>
        </is>
      </c>
      <c r="I446" s="38" t="inlineStr">
        <is>
          <t>FCC, CE, UL 62368-1, EPEAT Gold</t>
        </is>
      </c>
      <c r="J446" s="38" t="inlineStr">
        <is>
          <t>Intel Core Ultra 5 125U</t>
        </is>
      </c>
      <c r="K446" s="38" t="inlineStr">
        <is>
          <t>Intel Graphics</t>
        </is>
      </c>
      <c r="L446" s="38" t="inlineStr">
        <is>
          <t>IPS, 60Hz</t>
        </is>
      </c>
      <c r="M446" s="38" t="inlineStr">
        <is>
          <t>1920x1200</t>
        </is>
      </c>
      <c r="N446" s="38" t="inlineStr">
        <is>
          <t>2x Thunderbolt 4 (USB-C), 1x USB-A 3.2, HDMI 2.1, microSD, 3.5mm audio</t>
        </is>
      </c>
      <c r="O446" s="38" t="inlineStr">
        <is>
          <t>Windows 11 Home</t>
        </is>
      </c>
      <c r="P446" s="38" t="n">
        <v>10</v>
      </c>
      <c r="Q446" s="41" t="n">
        <v>1424</v>
      </c>
      <c r="R446" s="38" t="inlineStr">
        <is>
          <t>Lighter than Hygieia Orbit SE 15" Ultrabook [HYG-048-05] (1,424 g vs 1,670 g); Lower price than Demeter Halo SE 15" Ultrabook [DEM-028-03] ($1,581.99 vs $1,616.99)</t>
        </is>
      </c>
      <c r="S446" s="38" t="inlineStr">
        <is>
          <t>work, school, everyday</t>
        </is>
      </c>
      <c r="T446" s="0" t="inlineStr">
        <is>
          <t>in_stock</t>
        </is>
      </c>
      <c r="U446" s="0" t="n">
        <v>30</v>
      </c>
      <c r="V446" s="52" t="n">
        <v>1718.99</v>
      </c>
      <c r="W446" s="0" t="inlineStr">
        <is>
          <t>2026-08-20</t>
        </is>
      </c>
      <c r="X446" s="0" t="n">
        <v>16</v>
      </c>
      <c r="Y446" s="0" t="n">
        <v>1024</v>
      </c>
      <c r="Z446" s="0" t="n">
        <v>15.6</v>
      </c>
      <c r="AA446" s="0" t="inlineStr">
        <is>
          <t>No</t>
        </is>
      </c>
    </row>
    <row r="447" ht="15.75" customHeight="1" s="51">
      <c r="A447" s="38" t="inlineStr">
        <is>
          <t>BOR-044-05</t>
        </is>
      </c>
      <c r="B447" s="38" t="inlineStr">
        <is>
          <t>Boreas</t>
        </is>
      </c>
      <c r="C447" s="38" t="inlineStr">
        <is>
          <t>Laptops</t>
        </is>
      </c>
      <c r="D447" s="38" t="inlineStr">
        <is>
          <t>Laptop</t>
        </is>
      </c>
      <c r="E447" s="39" t="inlineStr">
        <is>
          <t>Boreas Titan 15" Gaming Laptop</t>
        </is>
      </c>
      <c r="F447" s="40" t="n">
        <v>1758.99</v>
      </c>
      <c r="G447" s="38" t="inlineStr">
        <is>
          <t>the Titan; Boreas Titan; Borreas Titan; Titan laptop</t>
        </is>
      </c>
      <c r="H447" s="38" t="inlineStr">
        <is>
          <t>1 year limited</t>
        </is>
      </c>
      <c r="I447" s="38" t="inlineStr">
        <is>
          <t>FCC, CE, UL 62368-1, EPEAT Silver</t>
        </is>
      </c>
      <c r="J447" s="38" t="inlineStr">
        <is>
          <t>Intel Core Ultra 7 155H</t>
        </is>
      </c>
      <c r="K447" s="38" t="inlineStr">
        <is>
          <t>NVIDIA GeForce RTX 4060 8GB Laptop GPU</t>
        </is>
      </c>
      <c r="L447" s="38" t="inlineStr">
        <is>
          <t>IPS, 240Hz</t>
        </is>
      </c>
      <c r="M447" s="38" t="inlineStr">
        <is>
          <t>2560x1600</t>
        </is>
      </c>
      <c r="N447" s="38" t="inlineStr">
        <is>
          <t>1x Thunderbolt 4, 3x USB-A 3.2, HDMI 2.1, RJ-45 Ethernet, 3.5mm audio</t>
        </is>
      </c>
      <c r="O447" s="38" t="inlineStr">
        <is>
          <t>Windows 11 Home</t>
        </is>
      </c>
      <c r="P447" s="38" t="n">
        <v>4</v>
      </c>
      <c r="Q447" s="41" t="n">
        <v>2242</v>
      </c>
      <c r="R447" s="38" t="inlineStr">
        <is>
          <t>Lower price than Hygieia Core 15" Gaming Laptop [HYG-048-07] ($1,758.99 vs $2,061.99); Lighter than Atropos Echo Max 15" Gaming Laptop [ATR-035-08] (2,242 g vs 2,431 g)</t>
        </is>
      </c>
      <c r="S447" s="38" t="inlineStr">
        <is>
          <t>gaming, streaming</t>
        </is>
      </c>
      <c r="T447" s="0" t="inlineStr">
        <is>
          <t>low_stock</t>
        </is>
      </c>
      <c r="U447" s="0" t="n">
        <v>30</v>
      </c>
      <c r="V447" s="52" t="n">
        <v>1920.99</v>
      </c>
      <c r="W447" s="0" t="inlineStr">
        <is>
          <t>2026-09-25</t>
        </is>
      </c>
      <c r="X447" s="0" t="n">
        <v>32</v>
      </c>
      <c r="Y447" s="0" t="n">
        <v>1024</v>
      </c>
      <c r="Z447" s="0" t="n">
        <v>15.6</v>
      </c>
      <c r="AA447" s="0" t="inlineStr">
        <is>
          <t>No</t>
        </is>
      </c>
    </row>
    <row r="448" ht="15.75" customHeight="1" s="51">
      <c r="A448" s="38" t="inlineStr">
        <is>
          <t>BOR-044-06</t>
        </is>
      </c>
      <c r="B448" s="38" t="inlineStr">
        <is>
          <t>Boreas</t>
        </is>
      </c>
      <c r="C448" s="38" t="inlineStr">
        <is>
          <t>Laptops</t>
        </is>
      </c>
      <c r="D448" s="38" t="inlineStr">
        <is>
          <t>Laptop</t>
        </is>
      </c>
      <c r="E448" s="39" t="inlineStr">
        <is>
          <t>Boreas Echo Ultra 16" Creator Laptop</t>
        </is>
      </c>
      <c r="F448" s="40" t="n">
        <v>2422.99</v>
      </c>
      <c r="G448" s="38" t="inlineStr">
        <is>
          <t>the Echo Ultra; Boreas Echo Ultra; Boreeas Echo Ultra; Echo Ultra laptop</t>
        </is>
      </c>
      <c r="H448" s="38" t="inlineStr">
        <is>
          <t>1 year limited</t>
        </is>
      </c>
      <c r="I448" s="38" t="inlineStr">
        <is>
          <t>FCC, CE, UL 62368-1, Energy Star, EPEAT Bronze</t>
        </is>
      </c>
      <c r="J448" s="38" t="inlineStr">
        <is>
          <t>AMD Ryzen 7 8845HS</t>
        </is>
      </c>
      <c r="K448" s="38" t="inlineStr">
        <is>
          <t>NVIDIA GeForce RTX 4070 8GB Laptop GPU</t>
        </is>
      </c>
      <c r="L448" s="38" t="inlineStr">
        <is>
          <t>OLED, 120Hz</t>
        </is>
      </c>
      <c r="M448" s="38" t="inlineStr">
        <is>
          <t>3200x2000</t>
        </is>
      </c>
      <c r="N448" s="38" t="inlineStr">
        <is>
          <t>2x USB4 (USB-C), 2x USB-A 3.2, HDMI 2.1, SD card, 3.5mm audio</t>
        </is>
      </c>
      <c r="O448" s="38" t="inlineStr">
        <is>
          <t>Windows 11 Home</t>
        </is>
      </c>
      <c r="P448" s="38" t="n">
        <v>6</v>
      </c>
      <c r="Q448" s="41" t="n">
        <v>1857</v>
      </c>
      <c r="R448" s="38" t="inlineStr">
        <is>
          <t>Lower price than Chronos Arc 16" Creator Laptop [CHR-050-08] ($2,422.99 vs $2,539.99); Lighter than Selene Aeon Air 16" Creator Laptop [SEL-034-09] (1,857 g vs 1,957 g)</t>
        </is>
      </c>
      <c r="S448" s="38" t="inlineStr">
        <is>
          <t>video editing, photo editing, content creation</t>
        </is>
      </c>
      <c r="T448" s="0" t="inlineStr">
        <is>
          <t>in_stock</t>
        </is>
      </c>
      <c r="U448" s="0" t="n">
        <v>30</v>
      </c>
      <c r="V448" s="52" t="n">
        <v>2743.99</v>
      </c>
      <c r="W448" s="0" t="inlineStr">
        <is>
          <t>2026-09-03</t>
        </is>
      </c>
      <c r="X448" s="0" t="n">
        <v>32</v>
      </c>
      <c r="Y448" s="0" t="n">
        <v>2048</v>
      </c>
      <c r="Z448" s="0" t="n">
        <v>16</v>
      </c>
      <c r="AA448" s="0" t="inlineStr">
        <is>
          <t>No</t>
        </is>
      </c>
    </row>
    <row r="449" ht="15.75" customHeight="1" s="51">
      <c r="A449" s="38" t="inlineStr">
        <is>
          <t>BOR-044-07</t>
        </is>
      </c>
      <c r="B449" s="38" t="inlineStr">
        <is>
          <t>Boreas</t>
        </is>
      </c>
      <c r="C449" s="38" t="inlineStr">
        <is>
          <t>Laptops</t>
        </is>
      </c>
      <c r="D449" s="38" t="inlineStr">
        <is>
          <t>Laptop</t>
        </is>
      </c>
      <c r="E449" s="39" t="inlineStr">
        <is>
          <t>Boreas Lumen Ultra Dual-Screen Laptop</t>
        </is>
      </c>
      <c r="F449" s="40" t="n">
        <v>2587.99</v>
      </c>
      <c r="G449" s="38" t="inlineStr">
        <is>
          <t>the Lumen Ultra; Boreas Lumen Ultra; Booreas Lumen Ultra; Lumen Ultra laptop</t>
        </is>
      </c>
      <c r="H449" s="38" t="inlineStr">
        <is>
          <t>2 year limited</t>
        </is>
      </c>
      <c r="I449" s="38" t="inlineStr">
        <is>
          <t>FCC, CE, UL 62368-1, Energy Star, EPEAT Gold</t>
        </is>
      </c>
      <c r="J449" s="38" t="inlineStr">
        <is>
          <t>Qualcomm Snapdragon X Elite X1E-78-100</t>
        </is>
      </c>
      <c r="K449" s="38" t="inlineStr">
        <is>
          <t>Qualcomm Adreno X1-85</t>
        </is>
      </c>
      <c r="L449" s="38" t="inlineStr">
        <is>
          <t>Dual OLED touch, 120Hz</t>
        </is>
      </c>
      <c r="M449" s="38" t="inlineStr">
        <is>
          <t>2x 2880x1800</t>
        </is>
      </c>
      <c r="N449" s="38" t="inlineStr">
        <is>
          <t>2x USB4 (USB-C), 1x USB-A 3.2, 3.5mm audio</t>
        </is>
      </c>
      <c r="O449" s="38" t="inlineStr">
        <is>
          <t>Windows 11 Home</t>
        </is>
      </c>
      <c r="P449" s="38" t="n">
        <v>7</v>
      </c>
      <c r="Q449" s="41" t="n">
        <v>1527</v>
      </c>
      <c r="R449" s="38" t="inlineStr">
        <is>
          <t>Lighter than Demeter Titan Lite Dual-Screen Laptop [DEM-028-08] (1,527 g vs 1,575 g); Lower price than Thallo Quanta Ultra Dual-Screen Laptop [THA-046-08] ($2,587.99 vs $2,911.99)</t>
        </is>
      </c>
      <c r="S449" s="38" t="inlineStr">
        <is>
          <t>multitasking, productivity, content creation</t>
        </is>
      </c>
      <c r="T449" s="0" t="inlineStr">
        <is>
          <t>in_stock</t>
        </is>
      </c>
      <c r="U449" s="0" t="n">
        <v>30</v>
      </c>
      <c r="V449" s="52" t="n">
        <v>2901.99</v>
      </c>
      <c r="W449" s="0" t="inlineStr">
        <is>
          <t>2026-08-26</t>
        </is>
      </c>
      <c r="X449" s="0" t="n">
        <v>32</v>
      </c>
      <c r="Y449" s="0" t="n">
        <v>2048</v>
      </c>
      <c r="Z449" s="0" t="n">
        <v>14</v>
      </c>
      <c r="AA449" s="0" t="inlineStr">
        <is>
          <t>Yes</t>
        </is>
      </c>
    </row>
    <row r="450" ht="15.75" customHeight="1" s="51">
      <c r="A450" s="38" t="inlineStr">
        <is>
          <t>BOR-044-08</t>
        </is>
      </c>
      <c r="B450" s="38" t="inlineStr">
        <is>
          <t>Boreas</t>
        </is>
      </c>
      <c r="C450" s="38" t="inlineStr">
        <is>
          <t>Laptops</t>
        </is>
      </c>
      <c r="D450" s="38" t="inlineStr">
        <is>
          <t>Laptop</t>
        </is>
      </c>
      <c r="E450" s="39" t="inlineStr">
        <is>
          <t>Boreas Aeon Air Mobile Workstation</t>
        </is>
      </c>
      <c r="F450" s="40" t="n">
        <v>2915.99</v>
      </c>
      <c r="G450" s="38" t="inlineStr">
        <is>
          <t>the Aeon Air; Boreas Aeon Air; Boreaas Aeon Air; Aeon Air laptop</t>
        </is>
      </c>
      <c r="H450" s="38" t="inlineStr">
        <is>
          <t>3 year limited, on-site service</t>
        </is>
      </c>
      <c r="I450" s="38" t="inlineStr">
        <is>
          <t>FCC, CE, UL 62368-1, Energy Star, EPEAT Silver, TCO Certified, MIL-STD-810H</t>
        </is>
      </c>
      <c r="J450" s="38" t="inlineStr">
        <is>
          <t>Intel Core Ultra 7 155H</t>
        </is>
      </c>
      <c r="K450" s="38" t="inlineStr">
        <is>
          <t>NVIDIA RTX 3500 Ada 12GB Laptop GPU</t>
        </is>
      </c>
      <c r="L450" s="38" t="inlineStr">
        <is>
          <t>IPS, 60Hz</t>
        </is>
      </c>
      <c r="M450" s="38" t="inlineStr">
        <is>
          <t>1920x1200</t>
        </is>
      </c>
      <c r="N450" s="38" t="inlineStr">
        <is>
          <t>2x Thunderbolt 4 (USB-C), 1x USB-A 3.2, HDMI 2.1, microSD, 3.5mm audio</t>
        </is>
      </c>
      <c r="O450" s="38" t="inlineStr">
        <is>
          <t>Windows 11 Pro</t>
        </is>
      </c>
      <c r="P450" s="38" t="n">
        <v>8</v>
      </c>
      <c r="Q450" s="41" t="n">
        <v>2721</v>
      </c>
      <c r="R450" s="38" t="inlineStr">
        <is>
          <t>Lower price than Heracles Crest Mobile Workstation [HER-037-10] ($2,915.99 vs $4,888.99); Longer battery than Rhea Zen Lite Mobile Workstation [RHE-047-10] (8 vs 7 hrs)</t>
        </is>
      </c>
      <c r="S450" s="38" t="inlineStr">
        <is>
          <t>engineering, 3D rendering, data science</t>
        </is>
      </c>
      <c r="T450" s="0" t="inlineStr">
        <is>
          <t>out_of_stock</t>
        </is>
      </c>
      <c r="U450" s="0" t="n">
        <v>30</v>
      </c>
      <c r="V450" s="52" t="n">
        <v>3113.99</v>
      </c>
      <c r="W450" s="0" t="inlineStr">
        <is>
          <t>2026-09-12</t>
        </is>
      </c>
      <c r="X450" s="0" t="n">
        <v>32</v>
      </c>
      <c r="Y450" s="0" t="n">
        <v>2048</v>
      </c>
      <c r="Z450" s="0" t="n">
        <v>17.3</v>
      </c>
      <c r="AA450" s="0" t="inlineStr">
        <is>
          <t>No</t>
        </is>
      </c>
    </row>
    <row r="451" ht="15.75" customHeight="1" s="51">
      <c r="A451" s="38" t="inlineStr">
        <is>
          <t>BOR-044-09</t>
        </is>
      </c>
      <c r="B451" s="38" t="inlineStr">
        <is>
          <t>Boreas</t>
        </is>
      </c>
      <c r="C451" s="38" t="inlineStr">
        <is>
          <t>Laptops</t>
        </is>
      </c>
      <c r="D451" s="38" t="inlineStr">
        <is>
          <t>Laptop</t>
        </is>
      </c>
      <c r="E451" s="39" t="inlineStr">
        <is>
          <t>Boreas Wave Pro 17" Gaming Laptop</t>
        </is>
      </c>
      <c r="F451" s="40" t="n">
        <v>3212.99</v>
      </c>
      <c r="G451" s="38" t="inlineStr">
        <is>
          <t>the Wave Pro; Boreas Wave Pro; Booreas Wave Pro; Wave Pro laptop</t>
        </is>
      </c>
      <c r="H451" s="38" t="inlineStr">
        <is>
          <t>1 year limited</t>
        </is>
      </c>
      <c r="I451" s="38" t="inlineStr">
        <is>
          <t>FCC, CE, UL 62368-1, Energy Star, EPEAT Silver</t>
        </is>
      </c>
      <c r="J451" s="38" t="inlineStr">
        <is>
          <t>Intel Core i9-14900HX</t>
        </is>
      </c>
      <c r="K451" s="38" t="inlineStr">
        <is>
          <t>NVIDIA GeForce RTX 4090 16GB Laptop GPU</t>
        </is>
      </c>
      <c r="L451" s="38" t="inlineStr">
        <is>
          <t>Mini-LED, 240Hz</t>
        </is>
      </c>
      <c r="M451" s="38" t="inlineStr">
        <is>
          <t>2560x1600</t>
        </is>
      </c>
      <c r="N451" s="38" t="inlineStr">
        <is>
          <t>1x Thunderbolt 4, 3x USB-A 3.2, HDMI 2.1, RJ-45 Ethernet, 3.5mm audio</t>
        </is>
      </c>
      <c r="O451" s="38" t="inlineStr">
        <is>
          <t>Windows 11 Home</t>
        </is>
      </c>
      <c r="P451" s="38" t="n">
        <v>5</v>
      </c>
      <c r="Q451" s="41" t="n">
        <v>3219</v>
      </c>
      <c r="R451" s="38" t="inlineStr">
        <is>
          <t>Longer battery than Demeter Aeon Plus 17" Gaming Laptop [DEM-028-04] (5 vs 4 hrs); Lighter than Dolos Aria Plus 17" Gaming Laptop [DOL-045-07] (3,219 g vs 3,339 g)</t>
        </is>
      </c>
      <c r="S451" s="38" t="inlineStr">
        <is>
          <t>gaming, streaming, content creation</t>
        </is>
      </c>
      <c r="T451" s="0" t="inlineStr">
        <is>
          <t>in_stock</t>
        </is>
      </c>
      <c r="U451" s="0" t="n">
        <v>30</v>
      </c>
      <c r="V451" s="52" t="n">
        <v>3555.99</v>
      </c>
      <c r="W451" s="0" t="inlineStr">
        <is>
          <t>2026-09-25</t>
        </is>
      </c>
      <c r="X451" s="0" t="n">
        <v>64</v>
      </c>
      <c r="Y451" s="0" t="n">
        <v>2048</v>
      </c>
      <c r="Z451" s="0" t="n">
        <v>17.3</v>
      </c>
      <c r="AA451" s="0" t="inlineStr">
        <is>
          <t>No</t>
        </is>
      </c>
    </row>
    <row r="452" ht="15.75" customHeight="1" s="51">
      <c r="A452" s="38" t="inlineStr">
        <is>
          <t>BOR-044-10</t>
        </is>
      </c>
      <c r="B452" s="38" t="inlineStr">
        <is>
          <t>Boreas</t>
        </is>
      </c>
      <c r="C452" s="38" t="inlineStr">
        <is>
          <t>Laptops</t>
        </is>
      </c>
      <c r="D452" s="38" t="inlineStr">
        <is>
          <t>Laptop</t>
        </is>
      </c>
      <c r="E452" s="39" t="inlineStr">
        <is>
          <t>Boreas Strata Rugged Laptop</t>
        </is>
      </c>
      <c r="F452" s="40" t="n">
        <v>3411.99</v>
      </c>
      <c r="G452" s="38" t="inlineStr">
        <is>
          <t>the Strata; Boreas Strata; Broeas Strata; Strata laptop</t>
        </is>
      </c>
      <c r="H452" s="38" t="inlineStr">
        <is>
          <t>3 year limited, accidental damage</t>
        </is>
      </c>
      <c r="I452" s="38" t="inlineStr">
        <is>
          <t>FCC, CE, UL 62368-1, Energy Star, EPEAT Silver, MIL-STD-810H, IP65</t>
        </is>
      </c>
      <c r="J452" s="38" t="inlineStr">
        <is>
          <t>AMD Ryzen 7 8845HS</t>
        </is>
      </c>
      <c r="K452" s="38" t="inlineStr">
        <is>
          <t>AMD Radeon 780M</t>
        </is>
      </c>
      <c r="L452" s="38" t="inlineStr">
        <is>
          <t>IPS sunlight-readable 1000 nits, touch</t>
        </is>
      </c>
      <c r="M452" s="38" t="inlineStr">
        <is>
          <t>1920x1080</t>
        </is>
      </c>
      <c r="N452" s="38" t="inlineStr">
        <is>
          <t>2x USB4 (USB-C), 2x USB-A 3.2, HDMI 2.1, SD card, 3.5mm audio, RJ-45 Ethernet, serial (RS-232), smart card reader</t>
        </is>
      </c>
      <c r="O452" s="38" t="inlineStr">
        <is>
          <t>Windows 11 Pro</t>
        </is>
      </c>
      <c r="P452" s="38" t="n">
        <v>9</v>
      </c>
      <c r="Q452" s="41" t="n">
        <v>2636</v>
      </c>
      <c r="R452" s="38" t="inlineStr">
        <is>
          <t>Lighter than Thalia Flux Ultra Rugged Laptop [THA-030-09] (2,636 g vs 2,992 g); Longer battery than Aristaeus Vertex Rugged Laptop [ARI-027-07] (9 vs 8 hrs)</t>
        </is>
      </c>
      <c r="S452" s="38" t="inlineStr">
        <is>
          <t>fieldwork, outdoor, industrial</t>
        </is>
      </c>
      <c r="T452" s="0" t="inlineStr">
        <is>
          <t>in_stock</t>
        </is>
      </c>
      <c r="U452" s="0" t="n">
        <v>30</v>
      </c>
      <c r="V452" s="52" t="n">
        <v>3771.99</v>
      </c>
      <c r="W452" s="0" t="inlineStr">
        <is>
          <t>2026-08-22</t>
        </is>
      </c>
      <c r="X452" s="0" t="n">
        <v>64</v>
      </c>
      <c r="Y452" s="0" t="n">
        <v>2048</v>
      </c>
      <c r="Z452" s="0" t="n">
        <v>16</v>
      </c>
      <c r="AA452" s="0" t="inlineStr">
        <is>
          <t>Yes</t>
        </is>
      </c>
    </row>
    <row r="453" ht="15.75" customHeight="1" s="51">
      <c r="A453" s="38" t="inlineStr">
        <is>
          <t>DOL-045-01</t>
        </is>
      </c>
      <c r="B453" s="38" t="inlineStr">
        <is>
          <t>Dolos</t>
        </is>
      </c>
      <c r="C453" s="38" t="inlineStr">
        <is>
          <t>Laptops</t>
        </is>
      </c>
      <c r="D453" s="38" t="inlineStr">
        <is>
          <t>Laptop</t>
        </is>
      </c>
      <c r="E453" s="39" t="inlineStr">
        <is>
          <t>Dolos Pulse Max 15" Budget Laptop</t>
        </is>
      </c>
      <c r="F453" s="40" t="n">
        <v>288.99</v>
      </c>
      <c r="G453" s="38" t="inlineStr">
        <is>
          <t>the Pulse Max; Dolos Pulse Max; Doloss Pulse Max; Pulse Max laptop</t>
        </is>
      </c>
      <c r="H453" s="38" t="inlineStr">
        <is>
          <t>1 year limited</t>
        </is>
      </c>
      <c r="I453" s="38" t="inlineStr">
        <is>
          <t>FCC, CE, UL 62368-1, Energy Star, EPEAT Gold</t>
        </is>
      </c>
      <c r="J453" s="38" t="inlineStr">
        <is>
          <t>Intel Core i3-1315U</t>
        </is>
      </c>
      <c r="K453" s="38" t="inlineStr">
        <is>
          <t>Intel UHD Graphics</t>
        </is>
      </c>
      <c r="L453" s="38" t="inlineStr">
        <is>
          <t>TN, 60Hz</t>
        </is>
      </c>
      <c r="M453" s="38" t="inlineStr">
        <is>
          <t>1366x768</t>
        </is>
      </c>
      <c r="N453" s="38" t="inlineStr">
        <is>
          <t>2x USB-C 3.2, 1x USB-A 3.2, HDMI 1.4, 3.5mm audio</t>
        </is>
      </c>
      <c r="O453" s="38" t="inlineStr">
        <is>
          <t>Windows 11 Home</t>
        </is>
      </c>
      <c r="P453" s="38" t="n">
        <v>8</v>
      </c>
      <c r="Q453" s="41" t="n">
        <v>1850</v>
      </c>
      <c r="R453" s="38" t="inlineStr">
        <is>
          <t>Lower price than Persephone Pulse Lite 15" Budget Laptop [PER-036-01] ($288.99 vs $427.99); Longer battery than Homonoia Orbit Pro 15" Budget Laptop [HOM-033-02] (8 vs 6 hrs)</t>
        </is>
      </c>
      <c r="S453" s="38" t="inlineStr">
        <is>
          <t>budget, everyday, school</t>
        </is>
      </c>
      <c r="T453" s="0" t="inlineStr">
        <is>
          <t>out_of_stock</t>
        </is>
      </c>
      <c r="U453" s="0" t="n">
        <v>45</v>
      </c>
      <c r="V453" s="52" t="n">
        <v>305.99</v>
      </c>
      <c r="W453" s="0" t="inlineStr">
        <is>
          <t>2026-09-10</t>
        </is>
      </c>
      <c r="X453" s="0" t="n">
        <v>8</v>
      </c>
      <c r="Y453" s="0" t="n">
        <v>256</v>
      </c>
      <c r="Z453" s="0" t="n">
        <v>15.6</v>
      </c>
      <c r="AA453" s="0" t="inlineStr">
        <is>
          <t>No</t>
        </is>
      </c>
    </row>
    <row r="454" ht="15.75" customHeight="1" s="51">
      <c r="A454" s="38" t="inlineStr">
        <is>
          <t>DOL-045-02</t>
        </is>
      </c>
      <c r="B454" s="38" t="inlineStr">
        <is>
          <t>Dolos</t>
        </is>
      </c>
      <c r="C454" s="38" t="inlineStr">
        <is>
          <t>Laptops</t>
        </is>
      </c>
      <c r="D454" s="38" t="inlineStr">
        <is>
          <t>Laptop</t>
        </is>
      </c>
      <c r="E454" s="39" t="inlineStr">
        <is>
          <t>Dolos Rift Ultra Chromebook</t>
        </is>
      </c>
      <c r="F454" s="40" t="n">
        <v>344.99</v>
      </c>
      <c r="G454" s="38" t="inlineStr">
        <is>
          <t>the Rift Ultra; Dolos Rift Ultra; Dolo Rift Ultra; Rift Ultra laptop</t>
        </is>
      </c>
      <c r="H454" s="38" t="inlineStr">
        <is>
          <t>1 year limited</t>
        </is>
      </c>
      <c r="I454" s="38" t="inlineStr">
        <is>
          <t>FCC, CE, UL 62368-1, Energy Star, EPEAT Bronze</t>
        </is>
      </c>
      <c r="J454" s="38" t="inlineStr">
        <is>
          <t>Intel N100</t>
        </is>
      </c>
      <c r="K454" s="38" t="inlineStr">
        <is>
          <t>Intel UHD Graphics</t>
        </is>
      </c>
      <c r="L454" s="38" t="inlineStr">
        <is>
          <t>IPS, 60Hz</t>
        </is>
      </c>
      <c r="M454" s="38" t="inlineStr">
        <is>
          <t>1366x768</t>
        </is>
      </c>
      <c r="N454" s="38" t="inlineStr">
        <is>
          <t>2x USB-C 3.2, 1x USB-A 3.2, HDMI 1.4, 3.5mm audio</t>
        </is>
      </c>
      <c r="O454" s="38" t="inlineStr">
        <is>
          <t>ChromeOS</t>
        </is>
      </c>
      <c r="P454" s="38" t="n">
        <v>10</v>
      </c>
      <c r="Q454" s="41" t="n">
        <v>1482</v>
      </c>
      <c r="R454" s="38" t="inlineStr">
        <is>
          <t>Lower price than Thallo Vertex Lite Chromebook [THA-046-03] ($344.99 vs $490.99); Longer battery than Atropos Blaze Plus Chromebook [ATR-035-02] (10 vs 9 hrs)</t>
        </is>
      </c>
      <c r="S454" s="38" t="inlineStr">
        <is>
          <t>school, kids, budget</t>
        </is>
      </c>
      <c r="T454" s="0" t="inlineStr">
        <is>
          <t>in_stock</t>
        </is>
      </c>
      <c r="U454" s="0" t="n">
        <v>45</v>
      </c>
      <c r="V454" s="52" t="n">
        <v>386.99</v>
      </c>
      <c r="W454" s="0" t="inlineStr">
        <is>
          <t>2026-08-18</t>
        </is>
      </c>
      <c r="X454" s="0" t="n">
        <v>4</v>
      </c>
      <c r="Y454" s="0" t="n">
        <v>128</v>
      </c>
      <c r="Z454" s="0" t="n">
        <v>14</v>
      </c>
      <c r="AA454" s="0" t="inlineStr">
        <is>
          <t>No</t>
        </is>
      </c>
    </row>
    <row r="455" ht="15.75" customHeight="1" s="51">
      <c r="A455" s="38" t="inlineStr">
        <is>
          <t>DOL-045-03</t>
        </is>
      </c>
      <c r="B455" s="38" t="inlineStr">
        <is>
          <t>Dolos</t>
        </is>
      </c>
      <c r="C455" s="38" t="inlineStr">
        <is>
          <t>Laptops</t>
        </is>
      </c>
      <c r="D455" s="38" t="inlineStr">
        <is>
          <t>Laptop</t>
        </is>
      </c>
      <c r="E455" s="39" t="inlineStr">
        <is>
          <t>Dolos Aria Lite Student Laptop</t>
        </is>
      </c>
      <c r="F455" s="40" t="n">
        <v>408.99</v>
      </c>
      <c r="G455" s="38" t="inlineStr">
        <is>
          <t>the Aria Lite; Dolos Aria Lite; Doloos Aria Lite; Aria Lite laptop</t>
        </is>
      </c>
      <c r="H455" s="38" t="inlineStr">
        <is>
          <t>1 year limited</t>
        </is>
      </c>
      <c r="I455" s="38" t="inlineStr">
        <is>
          <t>FCC, CE, UL 62368-1, Energy Star, EPEAT Silver</t>
        </is>
      </c>
      <c r="J455" s="38" t="inlineStr">
        <is>
          <t>Intel Core i3-1315U</t>
        </is>
      </c>
      <c r="K455" s="38" t="inlineStr">
        <is>
          <t>Intel UHD Graphics</t>
        </is>
      </c>
      <c r="L455" s="38" t="inlineStr">
        <is>
          <t>IPS, 60Hz</t>
        </is>
      </c>
      <c r="M455" s="38" t="inlineStr">
        <is>
          <t>1920x1080</t>
        </is>
      </c>
      <c r="N455" s="38" t="inlineStr">
        <is>
          <t>2x USB-C 3.2, 1x USB-A 3.2, HDMI 1.4, 3.5mm audio</t>
        </is>
      </c>
      <c r="O455" s="38" t="inlineStr">
        <is>
          <t>Windows 11 Home</t>
        </is>
      </c>
      <c r="P455" s="38" t="n">
        <v>12</v>
      </c>
      <c r="Q455" s="41" t="n">
        <v>1502</v>
      </c>
      <c r="R455" s="38" t="inlineStr">
        <is>
          <t>Lighter than Aeolus Arc Plus Student Laptop [AEO-031-02] (1,502 g vs 1,689 g); Longer battery than Thallo Echo Pro Student Laptop [THA-046-01] (12 vs 10 hrs)</t>
        </is>
      </c>
      <c r="S455" s="38" t="inlineStr">
        <is>
          <t>school, everyday, budget</t>
        </is>
      </c>
      <c r="T455" s="0" t="inlineStr">
        <is>
          <t>in_stock</t>
        </is>
      </c>
      <c r="U455" s="0" t="n">
        <v>45</v>
      </c>
      <c r="V455" s="52" t="n">
        <v>469.99</v>
      </c>
      <c r="W455" s="0" t="inlineStr">
        <is>
          <t>2026-09-07</t>
        </is>
      </c>
      <c r="X455" s="0" t="n">
        <v>8</v>
      </c>
      <c r="Y455" s="0" t="n">
        <v>256</v>
      </c>
      <c r="Z455" s="0" t="n">
        <v>14</v>
      </c>
      <c r="AA455" s="0" t="inlineStr">
        <is>
          <t>No</t>
        </is>
      </c>
    </row>
    <row r="456" ht="15.75" customHeight="1" s="51">
      <c r="A456" s="38" t="inlineStr">
        <is>
          <t>DOL-045-04</t>
        </is>
      </c>
      <c r="B456" s="38" t="inlineStr">
        <is>
          <t>Dolos</t>
        </is>
      </c>
      <c r="C456" s="38" t="inlineStr">
        <is>
          <t>Laptops</t>
        </is>
      </c>
      <c r="D456" s="38" t="inlineStr">
        <is>
          <t>Laptop</t>
        </is>
      </c>
      <c r="E456" s="39" t="inlineStr">
        <is>
          <t>Dolos Vibe 14" Business Laptop</t>
        </is>
      </c>
      <c r="F456" s="40" t="n">
        <v>1047.99</v>
      </c>
      <c r="G456" s="38" t="inlineStr">
        <is>
          <t>the Vibe; Dolos Vibe; Doolos Vibe; Vibe laptop</t>
        </is>
      </c>
      <c r="H456" s="38" t="inlineStr">
        <is>
          <t>3 year limited, on-site service</t>
        </is>
      </c>
      <c r="I456" s="38" t="inlineStr">
        <is>
          <t>FCC, CE, UL 62368-1, EPEAT Silver, TCO Certified, MIL-STD-810H</t>
        </is>
      </c>
      <c r="J456" s="38" t="inlineStr">
        <is>
          <t>AMD Ryzen 5 8640HS</t>
        </is>
      </c>
      <c r="K456" s="38" t="inlineStr">
        <is>
          <t>AMD Radeon 760M</t>
        </is>
      </c>
      <c r="L456" s="38" t="inlineStr">
        <is>
          <t>IPS anti-glare, 60Hz</t>
        </is>
      </c>
      <c r="M456" s="38" t="inlineStr">
        <is>
          <t>1920x1200</t>
        </is>
      </c>
      <c r="N456" s="38" t="inlineStr">
        <is>
          <t>2x USB-C 3.2, 1x USB-A 3.2, HDMI 1.4, 3.5mm audio</t>
        </is>
      </c>
      <c r="O456" s="38" t="inlineStr">
        <is>
          <t>Windows 11 Pro</t>
        </is>
      </c>
      <c r="P456" s="38" t="n">
        <v>12</v>
      </c>
      <c r="Q456" s="41" t="n">
        <v>1167</v>
      </c>
      <c r="R456" s="38" t="inlineStr">
        <is>
          <t>Lighter than Aristaeus Wave Max 14" Business Laptop [ARI-027-06] (1,167 g vs 1,176 g); Lower price than Atropos Volt SE 14" Business Laptop [ATR-035-06] ($1,047.99 vs $1,589.99)</t>
        </is>
      </c>
      <c r="S456" s="38" t="inlineStr">
        <is>
          <t>work, travel, remote meetings</t>
        </is>
      </c>
      <c r="T456" s="0" t="inlineStr">
        <is>
          <t>in_stock</t>
        </is>
      </c>
      <c r="U456" s="0" t="n">
        <v>45</v>
      </c>
      <c r="V456" s="52" t="n">
        <v>1151.99</v>
      </c>
      <c r="W456" s="0" t="inlineStr">
        <is>
          <t>2026-09-25</t>
        </is>
      </c>
      <c r="X456" s="0" t="n">
        <v>16</v>
      </c>
      <c r="Y456" s="0" t="n">
        <v>1024</v>
      </c>
      <c r="Z456" s="0" t="n">
        <v>14</v>
      </c>
      <c r="AA456" s="0" t="inlineStr">
        <is>
          <t>No</t>
        </is>
      </c>
    </row>
    <row r="457" ht="15.75" customHeight="1" s="51">
      <c r="A457" s="38" t="inlineStr">
        <is>
          <t>DOL-045-05</t>
        </is>
      </c>
      <c r="B457" s="38" t="inlineStr">
        <is>
          <t>Dolos</t>
        </is>
      </c>
      <c r="C457" s="38" t="inlineStr">
        <is>
          <t>Laptops</t>
        </is>
      </c>
      <c r="D457" s="38" t="inlineStr">
        <is>
          <t>Laptop</t>
        </is>
      </c>
      <c r="E457" s="39" t="inlineStr">
        <is>
          <t>Dolos Onyx Ultra 13" Ultrabook</t>
        </is>
      </c>
      <c r="F457" s="40" t="n">
        <v>1082.99</v>
      </c>
      <c r="G457" s="38" t="inlineStr">
        <is>
          <t>the Onyx Ultra; Dolos Onyx Ultra; Dolo Onyx Ultra; Onyx Ultra laptop</t>
        </is>
      </c>
      <c r="H457" s="38" t="inlineStr">
        <is>
          <t>1 year limited</t>
        </is>
      </c>
      <c r="I457" s="38" t="inlineStr">
        <is>
          <t>FCC, CE, UL 62368-1, Energy Star, EPEAT Gold</t>
        </is>
      </c>
      <c r="J457" s="38" t="inlineStr">
        <is>
          <t>Qualcomm Snapdragon X Plus X1P-42-100</t>
        </is>
      </c>
      <c r="K457" s="38" t="inlineStr">
        <is>
          <t>Qualcomm Adreno X1-45</t>
        </is>
      </c>
      <c r="L457" s="38" t="inlineStr">
        <is>
          <t>IPS, 60Hz</t>
        </is>
      </c>
      <c r="M457" s="38" t="inlineStr">
        <is>
          <t>1920x1200</t>
        </is>
      </c>
      <c r="N457" s="38" t="inlineStr">
        <is>
          <t>2x USB4 (USB-C), 1x USB-A 3.2, 3.5mm audio</t>
        </is>
      </c>
      <c r="O457" s="38" t="inlineStr">
        <is>
          <t>Windows 11 Home</t>
        </is>
      </c>
      <c r="P457" s="38" t="n">
        <v>13</v>
      </c>
      <c r="Q457" s="41" t="n">
        <v>1258</v>
      </c>
      <c r="R457" s="38" t="inlineStr">
        <is>
          <t>Lower price than Melpomene Pulse Lite 13" Ultrabook [MEL-026-05] ($1,082.99 vs $1,733.99); Longer battery than Aeolus Crest SE 13" Ultrabook [AEO-031-07] (13 vs 12 hrs)</t>
        </is>
      </c>
      <c r="S457" s="38" t="inlineStr">
        <is>
          <t>travel, school, work</t>
        </is>
      </c>
      <c r="T457" s="0" t="inlineStr">
        <is>
          <t>in_stock</t>
        </is>
      </c>
      <c r="U457" s="0" t="n">
        <v>45</v>
      </c>
      <c r="V457" s="52" t="n">
        <v>1223.99</v>
      </c>
      <c r="W457" s="0" t="inlineStr">
        <is>
          <t>2026-09-19</t>
        </is>
      </c>
      <c r="X457" s="0" t="n">
        <v>16</v>
      </c>
      <c r="Y457" s="0" t="n">
        <v>1024</v>
      </c>
      <c r="Z457" s="0" t="n">
        <v>13.3</v>
      </c>
      <c r="AA457" s="0" t="inlineStr">
        <is>
          <t>No</t>
        </is>
      </c>
    </row>
    <row r="458" ht="15.75" customHeight="1" s="51">
      <c r="A458" s="38" t="inlineStr">
        <is>
          <t>DOL-045-06</t>
        </is>
      </c>
      <c r="B458" s="38" t="inlineStr">
        <is>
          <t>Dolos</t>
        </is>
      </c>
      <c r="C458" s="38" t="inlineStr">
        <is>
          <t>Laptops</t>
        </is>
      </c>
      <c r="D458" s="38" t="inlineStr">
        <is>
          <t>Laptop</t>
        </is>
      </c>
      <c r="E458" s="39" t="inlineStr">
        <is>
          <t>Dolos Pulse Plus 15" Ultrabook</t>
        </is>
      </c>
      <c r="F458" s="40" t="n">
        <v>1457.99</v>
      </c>
      <c r="G458" s="38" t="inlineStr">
        <is>
          <t>the Pulse Plus; Dolos Pulse Plus; Dloos Pulse Plus; Pulse Plus laptop</t>
        </is>
      </c>
      <c r="H458" s="38" t="inlineStr">
        <is>
          <t>1 year limited</t>
        </is>
      </c>
      <c r="I458" s="38" t="inlineStr">
        <is>
          <t>FCC, CE, UL 62368-1, Energy Star, EPEAT Gold</t>
        </is>
      </c>
      <c r="J458" s="38" t="inlineStr">
        <is>
          <t>Intel Core Ultra 5 125U</t>
        </is>
      </c>
      <c r="K458" s="38" t="inlineStr">
        <is>
          <t>Intel Graphics</t>
        </is>
      </c>
      <c r="L458" s="38" t="inlineStr">
        <is>
          <t>IPS, 60Hz</t>
        </is>
      </c>
      <c r="M458" s="38" t="inlineStr">
        <is>
          <t>1920x1200</t>
        </is>
      </c>
      <c r="N458" s="38" t="inlineStr">
        <is>
          <t>2x Thunderbolt 4 (USB-C), 1x USB-A 3.2, HDMI 2.1, microSD, 3.5mm audio</t>
        </is>
      </c>
      <c r="O458" s="38" t="inlineStr">
        <is>
          <t>Windows 11 Home</t>
        </is>
      </c>
      <c r="P458" s="38" t="n">
        <v>11</v>
      </c>
      <c r="Q458" s="41" t="n">
        <v>1689</v>
      </c>
      <c r="R458" s="38" t="inlineStr">
        <is>
          <t>Lower price than Persephone Rift Plus 15" Ultrabook [PER-036-06] ($1,457.99 vs $1,630.99); Longer battery than Boreas Nova Lite 15" Ultrabook [BOR-044-04] (11 vs 10 hrs)</t>
        </is>
      </c>
      <c r="S458" s="38" t="inlineStr">
        <is>
          <t>work, school, everyday</t>
        </is>
      </c>
      <c r="T458" s="0" t="inlineStr">
        <is>
          <t>in_stock</t>
        </is>
      </c>
      <c r="U458" s="0" t="n">
        <v>45</v>
      </c>
      <c r="V458" s="52" t="n">
        <v>1642.99</v>
      </c>
      <c r="W458" s="0" t="inlineStr">
        <is>
          <t>2026-09-24</t>
        </is>
      </c>
      <c r="X458" s="0" t="n">
        <v>16</v>
      </c>
      <c r="Y458" s="0" t="n">
        <v>1024</v>
      </c>
      <c r="Z458" s="0" t="n">
        <v>15.6</v>
      </c>
      <c r="AA458" s="0" t="inlineStr">
        <is>
          <t>No</t>
        </is>
      </c>
    </row>
    <row r="459" ht="15.75" customHeight="1" s="51">
      <c r="A459" s="38" t="inlineStr">
        <is>
          <t>DOL-045-07</t>
        </is>
      </c>
      <c r="B459" s="38" t="inlineStr">
        <is>
          <t>Dolos</t>
        </is>
      </c>
      <c r="C459" s="38" t="inlineStr">
        <is>
          <t>Laptops</t>
        </is>
      </c>
      <c r="D459" s="38" t="inlineStr">
        <is>
          <t>Laptop</t>
        </is>
      </c>
      <c r="E459" s="39" t="inlineStr">
        <is>
          <t>Dolos Aria Plus 17" Gaming Laptop</t>
        </is>
      </c>
      <c r="F459" s="40" t="n">
        <v>1903.99</v>
      </c>
      <c r="G459" s="38" t="inlineStr">
        <is>
          <t>the Aria Plus; Dolos Aria Plus; Dolo Aria Plus; Aria Plus laptop</t>
        </is>
      </c>
      <c r="H459" s="38" t="inlineStr">
        <is>
          <t>1 year limited</t>
        </is>
      </c>
      <c r="I459" s="38" t="inlineStr">
        <is>
          <t>FCC, CE, UL 62368-1, Energy Star, EPEAT Gold</t>
        </is>
      </c>
      <c r="J459" s="38" t="inlineStr">
        <is>
          <t>AMD Ryzen 9 7945HX</t>
        </is>
      </c>
      <c r="K459" s="38" t="inlineStr">
        <is>
          <t>NVIDIA GeForce RTX 4070 8GB Laptop GPU</t>
        </is>
      </c>
      <c r="L459" s="38" t="inlineStr">
        <is>
          <t>IPS, 240Hz</t>
        </is>
      </c>
      <c r="M459" s="38" t="inlineStr">
        <is>
          <t>2560x1600</t>
        </is>
      </c>
      <c r="N459" s="38" t="inlineStr">
        <is>
          <t>1x USB4, 3x USB-A 3.2, HDMI 2.1, RJ-45 Ethernet, 3.5mm audio</t>
        </is>
      </c>
      <c r="O459" s="38" t="inlineStr">
        <is>
          <t>Windows 11 Home</t>
        </is>
      </c>
      <c r="P459" s="38" t="n">
        <v>6</v>
      </c>
      <c r="Q459" s="41" t="n">
        <v>3339</v>
      </c>
      <c r="R459" s="38" t="inlineStr">
        <is>
          <t>Longer battery than Calliope Aeon X 17" Gaming Laptop [CAL-040-10] (6 vs 4 hrs); Lighter than Polyhymnia Echo Pro 17" Gaming Laptop [POL-041-07] (3,339 g vs 3,363 g)</t>
        </is>
      </c>
      <c r="S459" s="38" t="inlineStr">
        <is>
          <t>gaming, streaming, content creation</t>
        </is>
      </c>
      <c r="T459" s="0" t="inlineStr">
        <is>
          <t>in_stock</t>
        </is>
      </c>
      <c r="U459" s="0" t="n">
        <v>45</v>
      </c>
      <c r="V459" s="52" t="n">
        <v>2020.99</v>
      </c>
      <c r="W459" s="0" t="inlineStr">
        <is>
          <t>2026-09-02</t>
        </is>
      </c>
      <c r="X459" s="0" t="n">
        <v>32</v>
      </c>
      <c r="Y459" s="0" t="n">
        <v>1024</v>
      </c>
      <c r="Z459" s="0" t="n">
        <v>17.3</v>
      </c>
      <c r="AA459" s="0" t="inlineStr">
        <is>
          <t>No</t>
        </is>
      </c>
    </row>
    <row r="460" ht="15.75" customHeight="1" s="51">
      <c r="A460" s="38" t="inlineStr">
        <is>
          <t>DOL-045-08</t>
        </is>
      </c>
      <c r="B460" s="38" t="inlineStr">
        <is>
          <t>Dolos</t>
        </is>
      </c>
      <c r="C460" s="38" t="inlineStr">
        <is>
          <t>Laptops</t>
        </is>
      </c>
      <c r="D460" s="38" t="inlineStr">
        <is>
          <t>Laptop</t>
        </is>
      </c>
      <c r="E460" s="39" t="inlineStr">
        <is>
          <t>Dolos Volt Pro 15" Gaming Laptop</t>
        </is>
      </c>
      <c r="F460" s="40" t="n">
        <v>2026.99</v>
      </c>
      <c r="G460" s="38" t="inlineStr">
        <is>
          <t>the Volt Pro; Dolos Volt Pro; Doloos Volt Pro; Volt Pro laptop</t>
        </is>
      </c>
      <c r="H460" s="38" t="inlineStr">
        <is>
          <t>1 year limited</t>
        </is>
      </c>
      <c r="I460" s="38" t="inlineStr">
        <is>
          <t>FCC, CE, UL 62368-1, Energy Star, EPEAT Bronze</t>
        </is>
      </c>
      <c r="J460" s="38" t="inlineStr">
        <is>
          <t>AMD Ryzen 9 7945HX</t>
        </is>
      </c>
      <c r="K460" s="38" t="inlineStr">
        <is>
          <t>NVIDIA GeForce RTX 4070 8GB Laptop GPU</t>
        </is>
      </c>
      <c r="L460" s="38" t="inlineStr">
        <is>
          <t>IPS, 240Hz</t>
        </is>
      </c>
      <c r="M460" s="38" t="inlineStr">
        <is>
          <t>2560x1600</t>
        </is>
      </c>
      <c r="N460" s="38" t="inlineStr">
        <is>
          <t>1x USB4, 3x USB-A 3.2, HDMI 2.1, RJ-45 Ethernet, 3.5mm audio</t>
        </is>
      </c>
      <c r="O460" s="38" t="inlineStr">
        <is>
          <t>Windows 11 Home</t>
        </is>
      </c>
      <c r="P460" s="38" t="n">
        <v>7</v>
      </c>
      <c r="Q460" s="41" t="n">
        <v>2246</v>
      </c>
      <c r="R460" s="38" t="inlineStr">
        <is>
          <t>Lighter than Terpsichore Quanta Plus 15" Gaming Laptop [TER-039-03] (2,246 g vs 2,496 g); Longer battery than Momus Echo Plus 15" Gaming Laptop [MOM-043-09] (7 vs 5 hrs)</t>
        </is>
      </c>
      <c r="S460" s="38" t="inlineStr">
        <is>
          <t>gaming, streaming</t>
        </is>
      </c>
      <c r="T460" s="0" t="inlineStr">
        <is>
          <t>in_stock</t>
        </is>
      </c>
      <c r="U460" s="0" t="n">
        <v>45</v>
      </c>
      <c r="V460" s="52" t="n">
        <v>2142.99</v>
      </c>
      <c r="W460" s="0" t="inlineStr">
        <is>
          <t>2026-08-28</t>
        </is>
      </c>
      <c r="X460" s="0" t="n">
        <v>32</v>
      </c>
      <c r="Y460" s="0" t="n">
        <v>2048</v>
      </c>
      <c r="Z460" s="0" t="n">
        <v>15.6</v>
      </c>
      <c r="AA460" s="0" t="inlineStr">
        <is>
          <t>No</t>
        </is>
      </c>
    </row>
    <row r="461" ht="15.75" customHeight="1" s="51">
      <c r="A461" s="38" t="inlineStr">
        <is>
          <t>DOL-045-09</t>
        </is>
      </c>
      <c r="B461" s="38" t="inlineStr">
        <is>
          <t>Dolos</t>
        </is>
      </c>
      <c r="C461" s="38" t="inlineStr">
        <is>
          <t>Laptops</t>
        </is>
      </c>
      <c r="D461" s="38" t="inlineStr">
        <is>
          <t>Laptop</t>
        </is>
      </c>
      <c r="E461" s="39" t="inlineStr">
        <is>
          <t>Dolos Crest 16" Creator Laptop</t>
        </is>
      </c>
      <c r="F461" s="40" t="n">
        <v>3235.99</v>
      </c>
      <c r="G461" s="38" t="inlineStr">
        <is>
          <t>the Crest; Dolos Crest; Doolos Crest; Crest laptop</t>
        </is>
      </c>
      <c r="H461" s="38" t="inlineStr">
        <is>
          <t>2 year limited</t>
        </is>
      </c>
      <c r="I461" s="38" t="inlineStr">
        <is>
          <t>FCC, CE, UL 62368-1, Energy Star, EPEAT Gold</t>
        </is>
      </c>
      <c r="J461" s="38" t="inlineStr">
        <is>
          <t>Intel Core Ultra 7 155H</t>
        </is>
      </c>
      <c r="K461" s="38" t="inlineStr">
        <is>
          <t>NVIDIA GeForce RTX 4080 12GB Laptop GPU</t>
        </is>
      </c>
      <c r="L461" s="38" t="inlineStr">
        <is>
          <t>Mini-LED, 165Hz</t>
        </is>
      </c>
      <c r="M461" s="38" t="inlineStr">
        <is>
          <t>3840x2400</t>
        </is>
      </c>
      <c r="N461" s="38" t="inlineStr">
        <is>
          <t>2x Thunderbolt 4 (USB-C), 1x USB-A 3.2, HDMI 2.1, microSD, 3.5mm audio</t>
        </is>
      </c>
      <c r="O461" s="38" t="inlineStr">
        <is>
          <t>Windows 11 Home</t>
        </is>
      </c>
      <c r="P461" s="38" t="n">
        <v>8</v>
      </c>
      <c r="Q461" s="41" t="n">
        <v>1968</v>
      </c>
      <c r="R461" s="38" t="inlineStr">
        <is>
          <t>Lighter than Hygieia Quanta SE 16" Creator Laptop [HYG-048-09] (1,968 g vs 2,220 g); Longer battery than Heracles Flux Plus 16" Creator Laptop [HER-037-09] (8 vs 6 hrs)</t>
        </is>
      </c>
      <c r="S461" s="38" t="inlineStr">
        <is>
          <t>video editing, photo editing, content creation</t>
        </is>
      </c>
      <c r="T461" s="0" t="inlineStr">
        <is>
          <t>in_stock</t>
        </is>
      </c>
      <c r="U461" s="0" t="n">
        <v>45</v>
      </c>
      <c r="V461" s="52" t="n">
        <v>3368.99</v>
      </c>
      <c r="W461" s="0" t="inlineStr">
        <is>
          <t>2026-08-03</t>
        </is>
      </c>
      <c r="X461" s="0" t="n">
        <v>64</v>
      </c>
      <c r="Y461" s="0" t="n">
        <v>2048</v>
      </c>
      <c r="Z461" s="0" t="n">
        <v>16</v>
      </c>
      <c r="AA461" s="0" t="inlineStr">
        <is>
          <t>No</t>
        </is>
      </c>
    </row>
    <row r="462" ht="15.75" customHeight="1" s="51">
      <c r="A462" s="38" t="inlineStr">
        <is>
          <t>DOL-045-10</t>
        </is>
      </c>
      <c r="B462" s="38" t="inlineStr">
        <is>
          <t>Dolos</t>
        </is>
      </c>
      <c r="C462" s="38" t="inlineStr">
        <is>
          <t>Laptops</t>
        </is>
      </c>
      <c r="D462" s="38" t="inlineStr">
        <is>
          <t>Laptop</t>
        </is>
      </c>
      <c r="E462" s="39" t="inlineStr">
        <is>
          <t>Dolos Nova Plus Mobile Workstation</t>
        </is>
      </c>
      <c r="F462" s="40" t="n">
        <v>3379.99</v>
      </c>
      <c r="G462" s="38" t="inlineStr">
        <is>
          <t>the Nova Plus; Dolos Nova Plus; Dolo Nova Plus; Nova Plus laptop</t>
        </is>
      </c>
      <c r="H462" s="38" t="inlineStr">
        <is>
          <t>3 year limited, on-site service</t>
        </is>
      </c>
      <c r="I462" s="38" t="inlineStr">
        <is>
          <t>FCC, CE, UL 62368-1, Energy Star, EPEAT Silver, TCO Certified, MIL-STD-810H</t>
        </is>
      </c>
      <c r="J462" s="38" t="inlineStr">
        <is>
          <t>Intel Core Ultra 7 155H</t>
        </is>
      </c>
      <c r="K462" s="38" t="inlineStr">
        <is>
          <t>NVIDIA RTX 3500 Ada 12GB Laptop GPU</t>
        </is>
      </c>
      <c r="L462" s="38" t="inlineStr">
        <is>
          <t>IPS, 60Hz</t>
        </is>
      </c>
      <c r="M462" s="38" t="inlineStr">
        <is>
          <t>1920x1200</t>
        </is>
      </c>
      <c r="N462" s="38" t="inlineStr">
        <is>
          <t>2x Thunderbolt 4 (USB-C), 1x USB-A 3.2, HDMI 2.1, microSD, 3.5mm audio</t>
        </is>
      </c>
      <c r="O462" s="38" t="inlineStr">
        <is>
          <t>Windows 11 Pro</t>
        </is>
      </c>
      <c r="P462" s="38" t="n">
        <v>5</v>
      </c>
      <c r="Q462" s="41" t="n">
        <v>2314</v>
      </c>
      <c r="R462" s="38" t="inlineStr">
        <is>
          <t>Lighter than Metis Core Lite Mobile Workstation [MET-029-10] (2,314 g vs 2,570 g); Lower price than Terpsichore Aeon Plus Mobile Workstation [TER-039-10] ($3,379.99 vs $4,329.99)</t>
        </is>
      </c>
      <c r="S462" s="38" t="inlineStr">
        <is>
          <t>engineering, 3D rendering, data science</t>
        </is>
      </c>
      <c r="T462" s="0" t="inlineStr">
        <is>
          <t>low_stock</t>
        </is>
      </c>
      <c r="U462" s="0" t="n">
        <v>45</v>
      </c>
      <c r="V462" s="52" t="n">
        <v>3606.99</v>
      </c>
      <c r="W462" s="0" t="inlineStr">
        <is>
          <t>2026-09-04</t>
        </is>
      </c>
      <c r="X462" s="0" t="n">
        <v>64</v>
      </c>
      <c r="Y462" s="0" t="n">
        <v>2048</v>
      </c>
      <c r="Z462" s="0" t="n">
        <v>16</v>
      </c>
      <c r="AA462" s="0" t="inlineStr">
        <is>
          <t>No</t>
        </is>
      </c>
    </row>
    <row r="463" ht="15.75" customHeight="1" s="51">
      <c r="A463" s="38" t="inlineStr">
        <is>
          <t>THA-046-01</t>
        </is>
      </c>
      <c r="B463" s="38" t="inlineStr">
        <is>
          <t>Thallo</t>
        </is>
      </c>
      <c r="C463" s="38" t="inlineStr">
        <is>
          <t>Laptops</t>
        </is>
      </c>
      <c r="D463" s="38" t="inlineStr">
        <is>
          <t>Laptop</t>
        </is>
      </c>
      <c r="E463" s="39" t="inlineStr">
        <is>
          <t>Thallo Echo Pro Student Laptop</t>
        </is>
      </c>
      <c r="F463" s="40" t="n">
        <v>360.99</v>
      </c>
      <c r="G463" s="38" t="inlineStr">
        <is>
          <t>the Echo Pro; Thallo Echo Pro; Thlalo Echo Pro; Echo Pro laptop</t>
        </is>
      </c>
      <c r="H463" s="38" t="inlineStr">
        <is>
          <t>1 year limited</t>
        </is>
      </c>
      <c r="I463" s="38" t="inlineStr">
        <is>
          <t>FCC, CE, UL 62368-1, Energy Star, EPEAT Gold</t>
        </is>
      </c>
      <c r="J463" s="38" t="inlineStr">
        <is>
          <t>Intel Core i3-1315U</t>
        </is>
      </c>
      <c r="K463" s="38" t="inlineStr">
        <is>
          <t>Intel UHD Graphics</t>
        </is>
      </c>
      <c r="L463" s="38" t="inlineStr">
        <is>
          <t>IPS, 60Hz</t>
        </is>
      </c>
      <c r="M463" s="38" t="inlineStr">
        <is>
          <t>1920x1080</t>
        </is>
      </c>
      <c r="N463" s="38" t="inlineStr">
        <is>
          <t>2x USB-C 3.2, 1x USB-A 3.2, HDMI 1.4, 3.5mm audio</t>
        </is>
      </c>
      <c r="O463" s="38" t="inlineStr">
        <is>
          <t>Windows 11 Home</t>
        </is>
      </c>
      <c r="P463" s="38" t="n">
        <v>10</v>
      </c>
      <c r="Q463" s="41" t="n">
        <v>1456</v>
      </c>
      <c r="R463" s="38" t="inlineStr">
        <is>
          <t>Lighter than Dolos Aria Lite Student Laptop [DOL-045-03] (1,456 g vs 1,502 g); Lower price than Rhea Sable Student Laptop [RHE-047-02] ($360.99 vs $480.99)</t>
        </is>
      </c>
      <c r="S463" s="38" t="inlineStr">
        <is>
          <t>school, everyday, budget</t>
        </is>
      </c>
      <c r="T463" s="0" t="inlineStr">
        <is>
          <t>in_stock</t>
        </is>
      </c>
      <c r="U463" s="0" t="n">
        <v>15</v>
      </c>
      <c r="V463" s="52" t="n">
        <v>378.99</v>
      </c>
      <c r="W463" s="0" t="inlineStr">
        <is>
          <t>2026-09-19</t>
        </is>
      </c>
      <c r="X463" s="0" t="n">
        <v>8</v>
      </c>
      <c r="Y463" s="0" t="n">
        <v>256</v>
      </c>
      <c r="Z463" s="0" t="n">
        <v>14</v>
      </c>
      <c r="AA463" s="0" t="inlineStr">
        <is>
          <t>No</t>
        </is>
      </c>
    </row>
    <row r="464" ht="15.75" customHeight="1" s="51">
      <c r="A464" s="38" t="inlineStr">
        <is>
          <t>THA-046-02</t>
        </is>
      </c>
      <c r="B464" s="38" t="inlineStr">
        <is>
          <t>Thallo</t>
        </is>
      </c>
      <c r="C464" s="38" t="inlineStr">
        <is>
          <t>Laptops</t>
        </is>
      </c>
      <c r="D464" s="38" t="inlineStr">
        <is>
          <t>Laptop</t>
        </is>
      </c>
      <c r="E464" s="39" t="inlineStr">
        <is>
          <t>Thallo Drift X 15" Budget Laptop</t>
        </is>
      </c>
      <c r="F464" s="40" t="n">
        <v>462.99</v>
      </c>
      <c r="G464" s="38" t="inlineStr">
        <is>
          <t>the Drift X; Thallo Drift X; Thlalo Drift X; Drift X laptop</t>
        </is>
      </c>
      <c r="H464" s="38" t="inlineStr">
        <is>
          <t>1 year limited</t>
        </is>
      </c>
      <c r="I464" s="38" t="inlineStr">
        <is>
          <t>FCC, CE, UL 62368-1, EPEAT Gold</t>
        </is>
      </c>
      <c r="J464" s="38" t="inlineStr">
        <is>
          <t>Intel Core Ultra 5 125U</t>
        </is>
      </c>
      <c r="K464" s="38" t="inlineStr">
        <is>
          <t>Intel Graphics</t>
        </is>
      </c>
      <c r="L464" s="38" t="inlineStr">
        <is>
          <t>IPS, 60Hz</t>
        </is>
      </c>
      <c r="M464" s="38" t="inlineStr">
        <is>
          <t>1920x1080</t>
        </is>
      </c>
      <c r="N464" s="38" t="inlineStr">
        <is>
          <t>2x Thunderbolt 4 (USB-C), 1x USB-A 3.2, HDMI 2.1, microSD, 3.5mm audio</t>
        </is>
      </c>
      <c r="O464" s="38" t="inlineStr">
        <is>
          <t>Windows 11 Home</t>
        </is>
      </c>
      <c r="P464" s="38" t="n">
        <v>6</v>
      </c>
      <c r="Q464" s="41" t="n">
        <v>1649</v>
      </c>
      <c r="R464" s="38" t="inlineStr">
        <is>
          <t>Lighter than Aeolus Echo Plus 15" Budget Laptop [AEO-031-01] (1,649 g vs 1,850 g); Lower price than Rhea Blaze Plus 15" Budget Laptop [RHE-047-03] ($462.99 vs $545.99)</t>
        </is>
      </c>
      <c r="S464" s="38" t="inlineStr">
        <is>
          <t>budget, everyday, school</t>
        </is>
      </c>
      <c r="T464" s="0" t="inlineStr">
        <is>
          <t>in_stock</t>
        </is>
      </c>
      <c r="U464" s="0" t="n">
        <v>15</v>
      </c>
      <c r="V464" s="52" t="n">
        <v>519.99</v>
      </c>
      <c r="W464" s="0" t="inlineStr">
        <is>
          <t>2026-09-09</t>
        </is>
      </c>
      <c r="X464" s="0" t="n">
        <v>8</v>
      </c>
      <c r="Y464" s="0" t="n">
        <v>256</v>
      </c>
      <c r="Z464" s="0" t="n">
        <v>15.6</v>
      </c>
      <c r="AA464" s="0" t="inlineStr">
        <is>
          <t>No</t>
        </is>
      </c>
    </row>
    <row r="465" ht="15.75" customHeight="1" s="51">
      <c r="A465" s="38" t="inlineStr">
        <is>
          <t>THA-046-03</t>
        </is>
      </c>
      <c r="B465" s="38" t="inlineStr">
        <is>
          <t>Thallo</t>
        </is>
      </c>
      <c r="C465" s="38" t="inlineStr">
        <is>
          <t>Laptops</t>
        </is>
      </c>
      <c r="D465" s="38" t="inlineStr">
        <is>
          <t>Laptop</t>
        </is>
      </c>
      <c r="E465" s="39" t="inlineStr">
        <is>
          <t>Thallo Vertex Lite Chromebook</t>
        </is>
      </c>
      <c r="F465" s="40" t="n">
        <v>490.99</v>
      </c>
      <c r="G465" s="38" t="inlineStr">
        <is>
          <t>the Vertex Lite; Thallo Vertex Lite; Thalllo Vertex Lite; Vertex Lite laptop</t>
        </is>
      </c>
      <c r="H465" s="38" t="inlineStr">
        <is>
          <t>1 year limited</t>
        </is>
      </c>
      <c r="I465" s="38" t="inlineStr">
        <is>
          <t>FCC, CE, UL 62368-1, Energy Star, EPEAT Gold</t>
        </is>
      </c>
      <c r="J465" s="38" t="inlineStr">
        <is>
          <t>MediaTek Kompanio 520</t>
        </is>
      </c>
      <c r="K465" s="38" t="inlineStr">
        <is>
          <t>Arm Mali-G52 MC2</t>
        </is>
      </c>
      <c r="L465" s="38" t="inlineStr">
        <is>
          <t>IPS, 60Hz</t>
        </is>
      </c>
      <c r="M465" s="38" t="inlineStr">
        <is>
          <t>1920x1080</t>
        </is>
      </c>
      <c r="N465" s="38" t="inlineStr">
        <is>
          <t>2x USB-C 3.2, 1x USB-A 3.2, HDMI 1.4, 3.5mm audio</t>
        </is>
      </c>
      <c r="O465" s="38" t="inlineStr">
        <is>
          <t>ChromeOS</t>
        </is>
      </c>
      <c r="P465" s="38" t="n">
        <v>10</v>
      </c>
      <c r="Q465" s="41" t="n">
        <v>1254</v>
      </c>
      <c r="R465" s="38" t="inlineStr">
        <is>
          <t>Lighter than Demeter Prism Max Chromebook [DEM-028-01] (1,254 g vs 1,299 g); Longer battery than Aristaeus Vertex X Chromebook [ARI-027-01] (10 vs 9 hrs)</t>
        </is>
      </c>
      <c r="S465" s="38" t="inlineStr">
        <is>
          <t>school, kids, budget</t>
        </is>
      </c>
      <c r="T465" s="0" t="inlineStr">
        <is>
          <t>in_stock</t>
        </is>
      </c>
      <c r="U465" s="0" t="n">
        <v>15</v>
      </c>
      <c r="V465" s="52" t="n">
        <v>513.99</v>
      </c>
      <c r="W465" s="0" t="inlineStr">
        <is>
          <t>2026-09-04</t>
        </is>
      </c>
      <c r="X465" s="0" t="n">
        <v>8</v>
      </c>
      <c r="Y465" s="0" t="n">
        <v>128</v>
      </c>
      <c r="Z465" s="0" t="n">
        <v>11.6</v>
      </c>
      <c r="AA465" s="0" t="inlineStr">
        <is>
          <t>No</t>
        </is>
      </c>
    </row>
    <row r="466" ht="15.75" customHeight="1" s="51">
      <c r="A466" s="38" t="inlineStr">
        <is>
          <t>THA-046-04</t>
        </is>
      </c>
      <c r="B466" s="38" t="inlineStr">
        <is>
          <t>Thallo</t>
        </is>
      </c>
      <c r="C466" s="38" t="inlineStr">
        <is>
          <t>Laptops</t>
        </is>
      </c>
      <c r="D466" s="38" t="inlineStr">
        <is>
          <t>Laptop</t>
        </is>
      </c>
      <c r="E466" s="39" t="inlineStr">
        <is>
          <t>Thallo Vertex 15" Gaming Laptop</t>
        </is>
      </c>
      <c r="F466" s="40" t="n">
        <v>1594.99</v>
      </c>
      <c r="G466" s="38" t="inlineStr">
        <is>
          <t>the Vertex; Thallo Vertex; Thall Vertex; Vertex laptop</t>
        </is>
      </c>
      <c r="H466" s="38" t="inlineStr">
        <is>
          <t>1 year limited</t>
        </is>
      </c>
      <c r="I466" s="38" t="inlineStr">
        <is>
          <t>FCC, CE, UL 62368-1, EPEAT Gold</t>
        </is>
      </c>
      <c r="J466" s="38" t="inlineStr">
        <is>
          <t>Intel Core Ultra 7 155H</t>
        </is>
      </c>
      <c r="K466" s="38" t="inlineStr">
        <is>
          <t>NVIDIA GeForce RTX 4060 8GB Laptop GPU</t>
        </is>
      </c>
      <c r="L466" s="38" t="inlineStr">
        <is>
          <t>IPS, 165Hz</t>
        </is>
      </c>
      <c r="M466" s="38" t="inlineStr">
        <is>
          <t>1920x1080</t>
        </is>
      </c>
      <c r="N466" s="38" t="inlineStr">
        <is>
          <t>1x Thunderbolt 4, 3x USB-A 3.2, HDMI 2.1, RJ-45 Ethernet, 3.5mm audio</t>
        </is>
      </c>
      <c r="O466" s="38" t="inlineStr">
        <is>
          <t>Windows 11 Home</t>
        </is>
      </c>
      <c r="P466" s="38" t="n">
        <v>8</v>
      </c>
      <c r="Q466" s="41" t="n">
        <v>2465</v>
      </c>
      <c r="R466" s="38" t="inlineStr">
        <is>
          <t>Lower price than Momus Echo Plus 15" Gaming Laptop [MOM-043-09] ($1,594.99 vs $2,076.99); Lighter than Terpsichore Quanta Plus 15" Gaming Laptop [TER-039-03] (2,465 g vs 2,496 g)</t>
        </is>
      </c>
      <c r="S466" s="38" t="inlineStr">
        <is>
          <t>gaming, streaming</t>
        </is>
      </c>
      <c r="T466" s="0" t="inlineStr">
        <is>
          <t>in_stock</t>
        </is>
      </c>
      <c r="U466" s="0" t="n">
        <v>15</v>
      </c>
      <c r="V466" s="52" t="n">
        <v>1762.99</v>
      </c>
      <c r="W466" s="0" t="inlineStr">
        <is>
          <t>2026-09-04</t>
        </is>
      </c>
      <c r="X466" s="0" t="n">
        <v>32</v>
      </c>
      <c r="Y466" s="0" t="n">
        <v>1024</v>
      </c>
      <c r="Z466" s="0" t="n">
        <v>15.6</v>
      </c>
      <c r="AA466" s="0" t="inlineStr">
        <is>
          <t>No</t>
        </is>
      </c>
    </row>
    <row r="467" ht="15.75" customHeight="1" s="51">
      <c r="A467" s="38" t="inlineStr">
        <is>
          <t>THA-046-05</t>
        </is>
      </c>
      <c r="B467" s="38" t="inlineStr">
        <is>
          <t>Thallo</t>
        </is>
      </c>
      <c r="C467" s="38" t="inlineStr">
        <is>
          <t>Laptops</t>
        </is>
      </c>
      <c r="D467" s="38" t="inlineStr">
        <is>
          <t>Laptop</t>
        </is>
      </c>
      <c r="E467" s="39" t="inlineStr">
        <is>
          <t>Thallo Volt Pro 14" Business Laptop</t>
        </is>
      </c>
      <c r="F467" s="40" t="n">
        <v>2007.99</v>
      </c>
      <c r="G467" s="38" t="inlineStr">
        <is>
          <t>the Volt Pro; Thallo Volt Pro; Tallo Volt Pro; Volt Pro laptop</t>
        </is>
      </c>
      <c r="H467" s="38" t="inlineStr">
        <is>
          <t>3 year limited, on-site service</t>
        </is>
      </c>
      <c r="I467" s="38" t="inlineStr">
        <is>
          <t>FCC, CE, UL 62368-1, EPEAT Gold, TCO Certified, MIL-STD-810H</t>
        </is>
      </c>
      <c r="J467" s="38" t="inlineStr">
        <is>
          <t>Intel Core Ultra 7 155H</t>
        </is>
      </c>
      <c r="K467" s="38" t="inlineStr">
        <is>
          <t>Intel Arc Graphics</t>
        </is>
      </c>
      <c r="L467" s="38" t="inlineStr">
        <is>
          <t>OLED, 60Hz</t>
        </is>
      </c>
      <c r="M467" s="38" t="inlineStr">
        <is>
          <t>2880x1800</t>
        </is>
      </c>
      <c r="N467" s="38" t="inlineStr">
        <is>
          <t>2x Thunderbolt 4 (USB-C), 1x USB-A 3.2, HDMI 2.1, microSD, 3.5mm audio</t>
        </is>
      </c>
      <c r="O467" s="38" t="inlineStr">
        <is>
          <t>Windows 11 Pro</t>
        </is>
      </c>
      <c r="P467" s="38" t="n">
        <v>10</v>
      </c>
      <c r="Q467" s="41" t="n">
        <v>1229</v>
      </c>
      <c r="R467" s="38" t="inlineStr">
        <is>
          <t>Lighter than Melpomene Spark Max 14" Business Laptop [MEL-026-03] (1,229 g vs 1,393 g); Lower price than Chronos Aeon Pro 14" Business Laptop [CHR-050-06] ($2,007.99 vs $2,189.99)</t>
        </is>
      </c>
      <c r="S467" s="38" t="inlineStr">
        <is>
          <t>work, travel, remote meetings</t>
        </is>
      </c>
      <c r="T467" s="0" t="inlineStr">
        <is>
          <t>in_stock</t>
        </is>
      </c>
      <c r="U467" s="0" t="n">
        <v>15</v>
      </c>
      <c r="V467" s="52" t="n">
        <v>2151.99</v>
      </c>
      <c r="W467" s="0" t="inlineStr">
        <is>
          <t>2026-09-12</t>
        </is>
      </c>
      <c r="X467" s="0" t="n">
        <v>32</v>
      </c>
      <c r="Y467" s="0" t="n">
        <v>2048</v>
      </c>
      <c r="Z467" s="0" t="n">
        <v>14</v>
      </c>
      <c r="AA467" s="0" t="inlineStr">
        <is>
          <t>No</t>
        </is>
      </c>
    </row>
    <row r="468" ht="15.75" customHeight="1" s="51">
      <c r="A468" s="38" t="inlineStr">
        <is>
          <t>THA-046-06</t>
        </is>
      </c>
      <c r="B468" s="38" t="inlineStr">
        <is>
          <t>Thallo</t>
        </is>
      </c>
      <c r="C468" s="38" t="inlineStr">
        <is>
          <t>Laptops</t>
        </is>
      </c>
      <c r="D468" s="38" t="inlineStr">
        <is>
          <t>Laptop</t>
        </is>
      </c>
      <c r="E468" s="39" t="inlineStr">
        <is>
          <t>Thallo Axis Lite Rugged Laptop</t>
        </is>
      </c>
      <c r="F468" s="40" t="n">
        <v>2288.99</v>
      </c>
      <c r="G468" s="38" t="inlineStr">
        <is>
          <t>the Axis Lite; Thallo Axis Lite; Tallo Axis Lite; Axis Lite laptop</t>
        </is>
      </c>
      <c r="H468" s="38" t="inlineStr">
        <is>
          <t>3 year limited, accidental damage</t>
        </is>
      </c>
      <c r="I468" s="38" t="inlineStr">
        <is>
          <t>FCC, CE, UL 62368-1, EPEAT Silver, MIL-STD-810H, IP65</t>
        </is>
      </c>
      <c r="J468" s="38" t="inlineStr">
        <is>
          <t>AMD Ryzen 5 8640HS</t>
        </is>
      </c>
      <c r="K468" s="38" t="inlineStr">
        <is>
          <t>AMD Radeon 760M</t>
        </is>
      </c>
      <c r="L468" s="38" t="inlineStr">
        <is>
          <t>IPS sunlight-readable 1000 nits, touch</t>
        </is>
      </c>
      <c r="M468" s="38" t="inlineStr">
        <is>
          <t>1920x1080</t>
        </is>
      </c>
      <c r="N468" s="38" t="inlineStr">
        <is>
          <t>2x USB-C 3.2, 1x USB-A 3.2, HDMI 1.4, 3.5mm audio, RJ-45 Ethernet, serial (RS-232), smart card reader</t>
        </is>
      </c>
      <c r="O468" s="38" t="inlineStr">
        <is>
          <t>Windows 11 Pro</t>
        </is>
      </c>
      <c r="P468" s="38" t="n">
        <v>13</v>
      </c>
      <c r="Q468" s="41" t="n">
        <v>2822</v>
      </c>
      <c r="R468" s="38" t="inlineStr">
        <is>
          <t>Longer battery than Zephyrus Drift X Rugged Laptop [ZEP-032-10] (13 vs 11 hrs); Lighter than Metis Drift Pro Rugged Laptop [MET-029-08] (2,822 g vs 2,836 g)</t>
        </is>
      </c>
      <c r="S468" s="38" t="inlineStr">
        <is>
          <t>fieldwork, outdoor, industrial</t>
        </is>
      </c>
      <c r="T468" s="0" t="inlineStr">
        <is>
          <t>out_of_stock</t>
        </is>
      </c>
      <c r="U468" s="0" t="n">
        <v>15</v>
      </c>
      <c r="V468" s="52" t="n">
        <v>2536.99</v>
      </c>
      <c r="W468" s="0" t="inlineStr">
        <is>
          <t>2026-09-19</t>
        </is>
      </c>
      <c r="X468" s="0" t="n">
        <v>32</v>
      </c>
      <c r="Y468" s="0" t="n">
        <v>2048</v>
      </c>
      <c r="Z468" s="0" t="n">
        <v>17.3</v>
      </c>
      <c r="AA468" s="0" t="inlineStr">
        <is>
          <t>Yes</t>
        </is>
      </c>
    </row>
    <row r="469" ht="15.75" customHeight="1" s="51">
      <c r="A469" s="38" t="inlineStr">
        <is>
          <t>THA-046-07</t>
        </is>
      </c>
      <c r="B469" s="38" t="inlineStr">
        <is>
          <t>Thallo</t>
        </is>
      </c>
      <c r="C469" s="38" t="inlineStr">
        <is>
          <t>Laptops</t>
        </is>
      </c>
      <c r="D469" s="38" t="inlineStr">
        <is>
          <t>Laptop</t>
        </is>
      </c>
      <c r="E469" s="39" t="inlineStr">
        <is>
          <t>Thallo Orbit X 15" Ultrabook</t>
        </is>
      </c>
      <c r="F469" s="40" t="n">
        <v>2292.99</v>
      </c>
      <c r="G469" s="38" t="inlineStr">
        <is>
          <t>the Orbit X; Thallo Orbit X; Thlalo Orbit X; Orbit X laptop</t>
        </is>
      </c>
      <c r="H469" s="38" t="inlineStr">
        <is>
          <t>2 year limited</t>
        </is>
      </c>
      <c r="I469" s="38" t="inlineStr">
        <is>
          <t>FCC, CE, UL 62368-1, EPEAT Silver</t>
        </is>
      </c>
      <c r="J469" s="38" t="inlineStr">
        <is>
          <t>AMD Ryzen 7 8845HS</t>
        </is>
      </c>
      <c r="K469" s="38" t="inlineStr">
        <is>
          <t>AMD Radeon 780M</t>
        </is>
      </c>
      <c r="L469" s="38" t="inlineStr">
        <is>
          <t>OLED, 120Hz</t>
        </is>
      </c>
      <c r="M469" s="38" t="inlineStr">
        <is>
          <t>2880x1800</t>
        </is>
      </c>
      <c r="N469" s="38" t="inlineStr">
        <is>
          <t>2x USB4 (USB-C), 2x USB-A 3.2, HDMI 2.1, SD card, 3.5mm audio</t>
        </is>
      </c>
      <c r="O469" s="38" t="inlineStr">
        <is>
          <t>Windows 11 Home</t>
        </is>
      </c>
      <c r="P469" s="38" t="n">
        <v>14</v>
      </c>
      <c r="Q469" s="41" t="n">
        <v>1708</v>
      </c>
      <c r="R469" s="38" t="inlineStr">
        <is>
          <t>Longer battery than Dolos Pulse Plus 15" Ultrabook [DOL-045-06] (14 vs 11 hrs); Lighter than Terpsichore Arc Plus 15" Ultrabook [TER-039-06] (1,708 g vs 1,738 g)</t>
        </is>
      </c>
      <c r="S469" s="38" t="inlineStr">
        <is>
          <t>work, school, everyday</t>
        </is>
      </c>
      <c r="T469" s="0" t="inlineStr">
        <is>
          <t>in_stock</t>
        </is>
      </c>
      <c r="U469" s="0" t="n">
        <v>15</v>
      </c>
      <c r="V469" s="52" t="n">
        <v>2613.99</v>
      </c>
      <c r="W469" s="0" t="inlineStr">
        <is>
          <t>2026-09-25</t>
        </is>
      </c>
      <c r="X469" s="0" t="n">
        <v>32</v>
      </c>
      <c r="Y469" s="0" t="n">
        <v>2048</v>
      </c>
      <c r="Z469" s="0" t="n">
        <v>15.6</v>
      </c>
      <c r="AA469" s="0" t="inlineStr">
        <is>
          <t>No</t>
        </is>
      </c>
    </row>
    <row r="470" ht="15.75" customHeight="1" s="51">
      <c r="A470" s="38" t="inlineStr">
        <is>
          <t>THA-046-08</t>
        </is>
      </c>
      <c r="B470" s="38" t="inlineStr">
        <is>
          <t>Thallo</t>
        </is>
      </c>
      <c r="C470" s="38" t="inlineStr">
        <is>
          <t>Laptops</t>
        </is>
      </c>
      <c r="D470" s="38" t="inlineStr">
        <is>
          <t>Laptop</t>
        </is>
      </c>
      <c r="E470" s="39" t="inlineStr">
        <is>
          <t>Thallo Quanta Ultra Dual-Screen Laptop</t>
        </is>
      </c>
      <c r="F470" s="40" t="n">
        <v>2911.99</v>
      </c>
      <c r="G470" s="38" t="inlineStr">
        <is>
          <t>the Quanta Ultra; Thallo Quanta Ultra; Thaallo Quanta Ultra; Quanta Ultra laptop</t>
        </is>
      </c>
      <c r="H470" s="38" t="inlineStr">
        <is>
          <t>2 year limited</t>
        </is>
      </c>
      <c r="I470" s="38" t="inlineStr">
        <is>
          <t>FCC, CE, UL 62368-1, Energy Star, EPEAT Gold</t>
        </is>
      </c>
      <c r="J470" s="38" t="inlineStr">
        <is>
          <t>Qualcomm Snapdragon X Elite X1E-78-100</t>
        </is>
      </c>
      <c r="K470" s="38" t="inlineStr">
        <is>
          <t>Qualcomm Adreno X1-85</t>
        </is>
      </c>
      <c r="L470" s="38" t="inlineStr">
        <is>
          <t>Dual OLED touch, 120Hz</t>
        </is>
      </c>
      <c r="M470" s="38" t="inlineStr">
        <is>
          <t>2x 2880x1800</t>
        </is>
      </c>
      <c r="N470" s="38" t="inlineStr">
        <is>
          <t>2x USB4 (USB-C), 1x USB-A 3.2, 3.5mm audio</t>
        </is>
      </c>
      <c r="O470" s="38" t="inlineStr">
        <is>
          <t>Windows 11 Home</t>
        </is>
      </c>
      <c r="P470" s="38" t="n">
        <v>11</v>
      </c>
      <c r="Q470" s="41" t="n">
        <v>1550</v>
      </c>
      <c r="R470" s="38" t="inlineStr">
        <is>
          <t>Lighter than Melpomene Nova Plus Dual-Screen Laptop [MEL-026-08] (1,550 g vs 1,818 g); Longer battery than Thalia Arc SE Dual-Screen Laptop [THA-030-08] (11 vs 7 hrs)</t>
        </is>
      </c>
      <c r="S470" s="38" t="inlineStr">
        <is>
          <t>multitasking, productivity, content creation</t>
        </is>
      </c>
      <c r="T470" s="0" t="inlineStr">
        <is>
          <t>in_stock</t>
        </is>
      </c>
      <c r="U470" s="0" t="n">
        <v>15</v>
      </c>
      <c r="V470" s="52" t="n">
        <v>3023.99</v>
      </c>
      <c r="W470" s="0" t="inlineStr">
        <is>
          <t>2026-09-08</t>
        </is>
      </c>
      <c r="X470" s="0" t="n">
        <v>32</v>
      </c>
      <c r="Y470" s="0" t="n">
        <v>2048</v>
      </c>
      <c r="Z470" s="0" t="n">
        <v>14</v>
      </c>
      <c r="AA470" s="0" t="inlineStr">
        <is>
          <t>Yes</t>
        </is>
      </c>
    </row>
    <row r="471" ht="15.75" customHeight="1" s="51">
      <c r="A471" s="38" t="inlineStr">
        <is>
          <t>THA-046-09</t>
        </is>
      </c>
      <c r="B471" s="38" t="inlineStr">
        <is>
          <t>Thallo</t>
        </is>
      </c>
      <c r="C471" s="38" t="inlineStr">
        <is>
          <t>Laptops</t>
        </is>
      </c>
      <c r="D471" s="38" t="inlineStr">
        <is>
          <t>Laptop</t>
        </is>
      </c>
      <c r="E471" s="39" t="inlineStr">
        <is>
          <t>Thallo Nova 16" Creator Laptop</t>
        </is>
      </c>
      <c r="F471" s="40" t="n">
        <v>3270.99</v>
      </c>
      <c r="G471" s="38" t="inlineStr">
        <is>
          <t>the Nova; Thallo Nova; Thlalo Nova; Nova laptop</t>
        </is>
      </c>
      <c r="H471" s="38" t="inlineStr">
        <is>
          <t>2 year limited</t>
        </is>
      </c>
      <c r="I471" s="38" t="inlineStr">
        <is>
          <t>FCC, CE, UL 62368-1, EPEAT Silver</t>
        </is>
      </c>
      <c r="J471" s="38" t="inlineStr">
        <is>
          <t>Intel Core Ultra 7 155H</t>
        </is>
      </c>
      <c r="K471" s="38" t="inlineStr">
        <is>
          <t>NVIDIA GeForce RTX 4080 12GB Laptop GPU</t>
        </is>
      </c>
      <c r="L471" s="38" t="inlineStr">
        <is>
          <t>Mini-LED, 165Hz</t>
        </is>
      </c>
      <c r="M471" s="38" t="inlineStr">
        <is>
          <t>3840x2400</t>
        </is>
      </c>
      <c r="N471" s="38" t="inlineStr">
        <is>
          <t>2x Thunderbolt 4 (USB-C), 1x USB-A 3.2, HDMI 2.1, microSD, 3.5mm audio</t>
        </is>
      </c>
      <c r="O471" s="38" t="inlineStr">
        <is>
          <t>Windows 11 Home</t>
        </is>
      </c>
      <c r="P471" s="38" t="n">
        <v>9</v>
      </c>
      <c r="Q471" s="41" t="n">
        <v>2268</v>
      </c>
      <c r="R471" s="38" t="inlineStr">
        <is>
          <t>Longer battery than Dolos Crest 16" Creator Laptop [DOL-045-09] (9 vs 8 hrs); Lower price than Heracles Flux Plus 16" Creator Laptop [HER-037-09] ($3,270.99 vs $3,496.99)</t>
        </is>
      </c>
      <c r="S471" s="38" t="inlineStr">
        <is>
          <t>video editing, photo editing, content creation</t>
        </is>
      </c>
      <c r="T471" s="0" t="inlineStr">
        <is>
          <t>in_stock</t>
        </is>
      </c>
      <c r="U471" s="0" t="n">
        <v>15</v>
      </c>
      <c r="V471" s="52" t="n">
        <v>3397.99</v>
      </c>
      <c r="W471" s="0" t="inlineStr">
        <is>
          <t>2026-09-24</t>
        </is>
      </c>
      <c r="X471" s="0" t="n">
        <v>64</v>
      </c>
      <c r="Y471" s="0" t="n">
        <v>2048</v>
      </c>
      <c r="Z471" s="0" t="n">
        <v>16</v>
      </c>
      <c r="AA471" s="0" t="inlineStr">
        <is>
          <t>No</t>
        </is>
      </c>
    </row>
    <row r="472" ht="15.75" customHeight="1" s="51">
      <c r="A472" s="38" t="inlineStr">
        <is>
          <t>THA-046-10</t>
        </is>
      </c>
      <c r="B472" s="38" t="inlineStr">
        <is>
          <t>Thallo</t>
        </is>
      </c>
      <c r="C472" s="38" t="inlineStr">
        <is>
          <t>Laptops</t>
        </is>
      </c>
      <c r="D472" s="38" t="inlineStr">
        <is>
          <t>Laptop</t>
        </is>
      </c>
      <c r="E472" s="39" t="inlineStr">
        <is>
          <t>Thallo Titan Mobile Workstation</t>
        </is>
      </c>
      <c r="F472" s="40" t="n">
        <v>4242.99</v>
      </c>
      <c r="G472" s="38" t="inlineStr">
        <is>
          <t>the Titan; Thallo Titan; Thall Titan; Titan laptop</t>
        </is>
      </c>
      <c r="H472" s="38" t="inlineStr">
        <is>
          <t>3 year limited, on-site service</t>
        </is>
      </c>
      <c r="I472" s="38" t="inlineStr">
        <is>
          <t>FCC, CE, UL 62368-1, EPEAT Bronze, TCO Certified, MIL-STD-810H</t>
        </is>
      </c>
      <c r="J472" s="38" t="inlineStr">
        <is>
          <t>AMD Ryzen 9 7945HX</t>
        </is>
      </c>
      <c r="K472" s="38" t="inlineStr">
        <is>
          <t>NVIDIA RTX 5000 Ada 16GB Laptop GPU</t>
        </is>
      </c>
      <c r="L472" s="38" t="inlineStr">
        <is>
          <t>OLED, 120Hz</t>
        </is>
      </c>
      <c r="M472" s="38" t="inlineStr">
        <is>
          <t>3840x2400</t>
        </is>
      </c>
      <c r="N472" s="38" t="inlineStr">
        <is>
          <t>2x USB4 (USB-C), 2x USB-A 3.2, HDMI 2.1, SD card, 3.5mm audio</t>
        </is>
      </c>
      <c r="O472" s="38" t="inlineStr">
        <is>
          <t>Windows 11 Pro</t>
        </is>
      </c>
      <c r="P472" s="38" t="n">
        <v>10</v>
      </c>
      <c r="Q472" s="41" t="n">
        <v>2247</v>
      </c>
      <c r="R472" s="38" t="inlineStr">
        <is>
          <t>Lighter than Metis Core Lite Mobile Workstation [MET-029-10] (2,247 g vs 2,570 g); Longer battery than Polyhymnia Nova Air Mobile Workstation [POL-041-10] (10 vs 7 hrs)</t>
        </is>
      </c>
      <c r="S472" s="38" t="inlineStr">
        <is>
          <t>engineering, 3D rendering, data science</t>
        </is>
      </c>
      <c r="T472" s="0" t="inlineStr">
        <is>
          <t>in_stock</t>
        </is>
      </c>
      <c r="U472" s="0" t="n">
        <v>15</v>
      </c>
      <c r="V472" s="52" t="n">
        <v>4770.99</v>
      </c>
      <c r="W472" s="0" t="inlineStr">
        <is>
          <t>2026-09-05</t>
        </is>
      </c>
      <c r="X472" s="0" t="n">
        <v>64</v>
      </c>
      <c r="Y472" s="0" t="n">
        <v>4096</v>
      </c>
      <c r="Z472" s="0" t="n">
        <v>16</v>
      </c>
      <c r="AA472" s="0" t="inlineStr">
        <is>
          <t>No</t>
        </is>
      </c>
    </row>
    <row r="473" ht="15.75" customHeight="1" s="51">
      <c r="A473" s="38" t="inlineStr">
        <is>
          <t>RHE-047-01</t>
        </is>
      </c>
      <c r="B473" s="38" t="inlineStr">
        <is>
          <t>Rhea</t>
        </is>
      </c>
      <c r="C473" s="38" t="inlineStr">
        <is>
          <t>Laptops</t>
        </is>
      </c>
      <c r="D473" s="38" t="inlineStr">
        <is>
          <t>Laptop</t>
        </is>
      </c>
      <c r="E473" s="39" t="inlineStr">
        <is>
          <t>Rhea Arc Chromebook</t>
        </is>
      </c>
      <c r="F473" s="40" t="n">
        <v>374.99</v>
      </c>
      <c r="G473" s="38" t="inlineStr">
        <is>
          <t>the Arc; Rhea Arc; Reha Arc; Arc laptop</t>
        </is>
      </c>
      <c r="H473" s="38" t="inlineStr">
        <is>
          <t>1 year limited</t>
        </is>
      </c>
      <c r="I473" s="38" t="inlineStr">
        <is>
          <t>FCC, CE, UL 62368-1, Energy Star, EPEAT Silver</t>
        </is>
      </c>
      <c r="J473" s="38" t="inlineStr">
        <is>
          <t>MediaTek Kompanio 520</t>
        </is>
      </c>
      <c r="K473" s="38" t="inlineStr">
        <is>
          <t>Arm Mali-G52 MC2</t>
        </is>
      </c>
      <c r="L473" s="38" t="inlineStr">
        <is>
          <t>IPS, 60Hz</t>
        </is>
      </c>
      <c r="M473" s="38" t="inlineStr">
        <is>
          <t>1366x768</t>
        </is>
      </c>
      <c r="N473" s="38" t="inlineStr">
        <is>
          <t>2x USB-C 3.2, 1x USB-A 3.2, HDMI 1.4, 3.5mm audio</t>
        </is>
      </c>
      <c r="O473" s="38" t="inlineStr">
        <is>
          <t>ChromeOS</t>
        </is>
      </c>
      <c r="P473" s="38" t="n">
        <v>10</v>
      </c>
      <c r="Q473" s="41" t="n">
        <v>1248</v>
      </c>
      <c r="R473" s="38" t="inlineStr">
        <is>
          <t>Longer battery than Atropos Blaze Plus Chromebook [ATR-035-02] (10 vs 9 hrs); Lighter than Momus Prism Chromebook [MOM-043-01] (1,248 g vs 1,421 g)</t>
        </is>
      </c>
      <c r="S473" s="38" t="inlineStr">
        <is>
          <t>school, kids, budget</t>
        </is>
      </c>
      <c r="T473" s="0" t="inlineStr">
        <is>
          <t>in_stock</t>
        </is>
      </c>
      <c r="U473" s="0" t="n">
        <v>45</v>
      </c>
      <c r="V473" s="52" t="n">
        <v>425.99</v>
      </c>
      <c r="W473" s="0" t="inlineStr">
        <is>
          <t>2026-08-03</t>
        </is>
      </c>
      <c r="X473" s="0" t="n">
        <v>8</v>
      </c>
      <c r="Y473" s="0" t="n">
        <v>128</v>
      </c>
      <c r="Z473" s="0" t="n">
        <v>11.6</v>
      </c>
      <c r="AA473" s="0" t="inlineStr">
        <is>
          <t>No</t>
        </is>
      </c>
    </row>
    <row r="474" ht="15.75" customHeight="1" s="51">
      <c r="A474" s="38" t="inlineStr">
        <is>
          <t>RHE-047-02</t>
        </is>
      </c>
      <c r="B474" s="38" t="inlineStr">
        <is>
          <t>Rhea</t>
        </is>
      </c>
      <c r="C474" s="38" t="inlineStr">
        <is>
          <t>Laptops</t>
        </is>
      </c>
      <c r="D474" s="38" t="inlineStr">
        <is>
          <t>Laptop</t>
        </is>
      </c>
      <c r="E474" s="39" t="inlineStr">
        <is>
          <t>Rhea Sable Student Laptop</t>
        </is>
      </c>
      <c r="F474" s="40" t="n">
        <v>480.99</v>
      </c>
      <c r="G474" s="38" t="inlineStr">
        <is>
          <t>the Sable; Rhea Sable; Rhe Sable; Sable laptop</t>
        </is>
      </c>
      <c r="H474" s="38" t="inlineStr">
        <is>
          <t>1 year limited</t>
        </is>
      </c>
      <c r="I474" s="38" t="inlineStr">
        <is>
          <t>FCC, CE, UL 62368-1, Energy Star, EPEAT Bronze</t>
        </is>
      </c>
      <c r="J474" s="38" t="inlineStr">
        <is>
          <t>AMD Ryzen 3 7320U</t>
        </is>
      </c>
      <c r="K474" s="38" t="inlineStr">
        <is>
          <t>AMD Radeon 610M</t>
        </is>
      </c>
      <c r="L474" s="38" t="inlineStr">
        <is>
          <t>IPS, 60Hz</t>
        </is>
      </c>
      <c r="M474" s="38" t="inlineStr">
        <is>
          <t>1920x1080</t>
        </is>
      </c>
      <c r="N474" s="38" t="inlineStr">
        <is>
          <t>2x USB-C 3.2, 1x USB-A 3.2, HDMI 1.4, 3.5mm audio</t>
        </is>
      </c>
      <c r="O474" s="38" t="inlineStr">
        <is>
          <t>Windows 11 Home</t>
        </is>
      </c>
      <c r="P474" s="38" t="n">
        <v>9</v>
      </c>
      <c r="Q474" s="41" t="n">
        <v>1471</v>
      </c>
      <c r="R474" s="38" t="inlineStr">
        <is>
          <t>Lower price than Thalia Nova Lite Student Laptop [THA-030-02] ($480.99 vs $537.99); Lighter than Dolos Aria Lite Student Laptop [DOL-045-03] (1,471 g vs 1,502 g)</t>
        </is>
      </c>
      <c r="S474" s="38" t="inlineStr">
        <is>
          <t>school, everyday, budget</t>
        </is>
      </c>
      <c r="T474" s="0" t="inlineStr">
        <is>
          <t>in_stock</t>
        </is>
      </c>
      <c r="U474" s="0" t="n">
        <v>45</v>
      </c>
      <c r="V474" s="52" t="n">
        <v>537.99</v>
      </c>
      <c r="W474" s="0" t="inlineStr">
        <is>
          <t>2026-08-29</t>
        </is>
      </c>
      <c r="X474" s="0" t="n">
        <v>8</v>
      </c>
      <c r="Y474" s="0" t="n">
        <v>256</v>
      </c>
      <c r="Z474" s="0" t="n">
        <v>14</v>
      </c>
      <c r="AA474" s="0" t="inlineStr">
        <is>
          <t>No</t>
        </is>
      </c>
    </row>
    <row r="475" ht="15.75" customHeight="1" s="51">
      <c r="A475" s="38" t="inlineStr">
        <is>
          <t>RHE-047-03</t>
        </is>
      </c>
      <c r="B475" s="38" t="inlineStr">
        <is>
          <t>Rhea</t>
        </is>
      </c>
      <c r="C475" s="38" t="inlineStr">
        <is>
          <t>Laptops</t>
        </is>
      </c>
      <c r="D475" s="38" t="inlineStr">
        <is>
          <t>Laptop</t>
        </is>
      </c>
      <c r="E475" s="39" t="inlineStr">
        <is>
          <t>Rhea Blaze Plus 15" Budget Laptop</t>
        </is>
      </c>
      <c r="F475" s="40" t="n">
        <v>545.99</v>
      </c>
      <c r="G475" s="38" t="inlineStr">
        <is>
          <t>the Blaze Plus; Rhea Blaze Plus; Rheea Blaze Plus; Blaze Plus laptop</t>
        </is>
      </c>
      <c r="H475" s="38" t="inlineStr">
        <is>
          <t>2 year limited</t>
        </is>
      </c>
      <c r="I475" s="38" t="inlineStr">
        <is>
          <t>FCC, CE, UL 62368-1, Energy Star, EPEAT Silver</t>
        </is>
      </c>
      <c r="J475" s="38" t="inlineStr">
        <is>
          <t>Intel Core Ultra 5 125U</t>
        </is>
      </c>
      <c r="K475" s="38" t="inlineStr">
        <is>
          <t>Intel Graphics</t>
        </is>
      </c>
      <c r="L475" s="38" t="inlineStr">
        <is>
          <t>IPS, 60Hz</t>
        </is>
      </c>
      <c r="M475" s="38" t="inlineStr">
        <is>
          <t>1920x1080</t>
        </is>
      </c>
      <c r="N475" s="38" t="inlineStr">
        <is>
          <t>2x Thunderbolt 4 (USB-C), 1x USB-A 3.2, HDMI 2.1, microSD, 3.5mm audio</t>
        </is>
      </c>
      <c r="O475" s="38" t="inlineStr">
        <is>
          <t>Windows 11 Home</t>
        </is>
      </c>
      <c r="P475" s="38" t="n">
        <v>8</v>
      </c>
      <c r="Q475" s="41" t="n">
        <v>1662</v>
      </c>
      <c r="R475" s="38" t="inlineStr">
        <is>
          <t>Lighter than Homonoia Orbit Pro 15" Budget Laptop [HOM-033-02] (1,662 g vs 1,851 g); Longer battery than Boreas Onyx Max 15" Budget Laptop [BOR-044-01] (8 vs 7 hrs)</t>
        </is>
      </c>
      <c r="S475" s="38" t="inlineStr">
        <is>
          <t>budget, everyday, school</t>
        </is>
      </c>
      <c r="T475" s="0" t="inlineStr">
        <is>
          <t>in_stock</t>
        </is>
      </c>
      <c r="U475" s="0" t="n">
        <v>45</v>
      </c>
      <c r="V475" s="52" t="n">
        <v>600.99</v>
      </c>
      <c r="W475" s="0" t="inlineStr">
        <is>
          <t>2026-08-31</t>
        </is>
      </c>
      <c r="X475" s="0" t="n">
        <v>16</v>
      </c>
      <c r="Y475" s="0" t="n">
        <v>512</v>
      </c>
      <c r="Z475" s="0" t="n">
        <v>15.6</v>
      </c>
      <c r="AA475" s="0" t="inlineStr">
        <is>
          <t>No</t>
        </is>
      </c>
    </row>
    <row r="476" ht="15.75" customHeight="1" s="51">
      <c r="A476" s="38" t="inlineStr">
        <is>
          <t>RHE-047-04</t>
        </is>
      </c>
      <c r="B476" s="38" t="inlineStr">
        <is>
          <t>Rhea</t>
        </is>
      </c>
      <c r="C476" s="38" t="inlineStr">
        <is>
          <t>Laptops</t>
        </is>
      </c>
      <c r="D476" s="38" t="inlineStr">
        <is>
          <t>Laptop</t>
        </is>
      </c>
      <c r="E476" s="39" t="inlineStr">
        <is>
          <t>Rhea Echo Plus 2-in-1 Convertible</t>
        </is>
      </c>
      <c r="F476" s="40" t="n">
        <v>871.99</v>
      </c>
      <c r="G476" s="38" t="inlineStr">
        <is>
          <t>the Echo Plus; Rhea Echo Plus; Rheaa Echo Plus; Echo Plus laptop</t>
        </is>
      </c>
      <c r="H476" s="38" t="inlineStr">
        <is>
          <t>1 year limited</t>
        </is>
      </c>
      <c r="I476" s="38" t="inlineStr">
        <is>
          <t>FCC, CE, UL 62368-1, EPEAT Gold</t>
        </is>
      </c>
      <c r="J476" s="38" t="inlineStr">
        <is>
          <t>AMD Ryzen 5 8640HS</t>
        </is>
      </c>
      <c r="K476" s="38" t="inlineStr">
        <is>
          <t>AMD Radeon 760M</t>
        </is>
      </c>
      <c r="L476" s="38" t="inlineStr">
        <is>
          <t>IPS touch, 60Hz</t>
        </is>
      </c>
      <c r="M476" s="38" t="inlineStr">
        <is>
          <t>1920x1200</t>
        </is>
      </c>
      <c r="N476" s="38" t="inlineStr">
        <is>
          <t>2x USB-C 3.2, 1x USB-A 3.2, HDMI 1.4, 3.5mm audio</t>
        </is>
      </c>
      <c r="O476" s="38" t="inlineStr">
        <is>
          <t>Windows 11 Home</t>
        </is>
      </c>
      <c r="P476" s="38" t="n">
        <v>10</v>
      </c>
      <c r="Q476" s="41" t="n">
        <v>1268</v>
      </c>
      <c r="R476" s="38" t="inlineStr">
        <is>
          <t>Lighter than Melpomene Nimbus Plus 2-in-1 Convertible [MEL-026-04] (1,268 g vs 1,341 g); Lower price than Chronos Orbit SE 2-in-1 Convertible [CHR-050-03] ($871.99 vs $1,620.99)</t>
        </is>
      </c>
      <c r="S476" s="38" t="inlineStr">
        <is>
          <t>school, note-taking, travel</t>
        </is>
      </c>
      <c r="T476" s="0" t="inlineStr">
        <is>
          <t>low_stock</t>
        </is>
      </c>
      <c r="U476" s="0" t="n">
        <v>45</v>
      </c>
      <c r="V476" s="52" t="n">
        <v>957.99</v>
      </c>
      <c r="W476" s="0" t="inlineStr">
        <is>
          <t>2026-08-20</t>
        </is>
      </c>
      <c r="X476" s="0" t="n">
        <v>16</v>
      </c>
      <c r="Y476" s="0" t="n">
        <v>512</v>
      </c>
      <c r="Z476" s="0" t="n">
        <v>13.3</v>
      </c>
      <c r="AA476" s="0" t="inlineStr">
        <is>
          <t>Yes</t>
        </is>
      </c>
    </row>
    <row r="477" ht="15.75" customHeight="1" s="51">
      <c r="A477" s="38" t="inlineStr">
        <is>
          <t>RHE-047-05</t>
        </is>
      </c>
      <c r="B477" s="38" t="inlineStr">
        <is>
          <t>Rhea</t>
        </is>
      </c>
      <c r="C477" s="38" t="inlineStr">
        <is>
          <t>Laptops</t>
        </is>
      </c>
      <c r="D477" s="38" t="inlineStr">
        <is>
          <t>Laptop</t>
        </is>
      </c>
      <c r="E477" s="39" t="inlineStr">
        <is>
          <t>Rhea Sable Lite 13" Ultrabook</t>
        </is>
      </c>
      <c r="F477" s="40" t="n">
        <v>1171.99</v>
      </c>
      <c r="G477" s="38" t="inlineStr">
        <is>
          <t>the Sable Lite; Rhea Sable Lite; Rhhea Sable Lite; Sable Lite laptop</t>
        </is>
      </c>
      <c r="H477" s="38" t="inlineStr">
        <is>
          <t>1 year limited</t>
        </is>
      </c>
      <c r="I477" s="38" t="inlineStr">
        <is>
          <t>FCC, CE, UL 62368-1, EPEAT Silver</t>
        </is>
      </c>
      <c r="J477" s="38" t="inlineStr">
        <is>
          <t>Intel Core Ultra 5 125U</t>
        </is>
      </c>
      <c r="K477" s="38" t="inlineStr">
        <is>
          <t>Intel Graphics</t>
        </is>
      </c>
      <c r="L477" s="38" t="inlineStr">
        <is>
          <t>IPS, 60Hz</t>
        </is>
      </c>
      <c r="M477" s="38" t="inlineStr">
        <is>
          <t>1920x1200</t>
        </is>
      </c>
      <c r="N477" s="38" t="inlineStr">
        <is>
          <t>2x Thunderbolt 4 (USB-C), 1x USB-A 3.2, HDMI 2.1, microSD, 3.5mm audio</t>
        </is>
      </c>
      <c r="O477" s="38" t="inlineStr">
        <is>
          <t>Windows 11 Home</t>
        </is>
      </c>
      <c r="P477" s="38" t="n">
        <v>14</v>
      </c>
      <c r="Q477" s="41" t="n">
        <v>1068</v>
      </c>
      <c r="R477" s="38" t="inlineStr">
        <is>
          <t>Lower price than Thalia Rift X 13" Ultrabook [THA-030-03] ($1,171.99 vs $1,469.99); Lighter than Heracles Orbit Max 13" Ultrabook [HER-037-06] (1,068 g vs 1,191 g)</t>
        </is>
      </c>
      <c r="S477" s="38" t="inlineStr">
        <is>
          <t>travel, school, work</t>
        </is>
      </c>
      <c r="T477" s="0" t="inlineStr">
        <is>
          <t>in_stock</t>
        </is>
      </c>
      <c r="U477" s="0" t="n">
        <v>45</v>
      </c>
      <c r="V477" s="52" t="n">
        <v>1307.99</v>
      </c>
      <c r="W477" s="0" t="inlineStr">
        <is>
          <t>2026-08-18</t>
        </is>
      </c>
      <c r="X477" s="0" t="n">
        <v>16</v>
      </c>
      <c r="Y477" s="0" t="n">
        <v>1024</v>
      </c>
      <c r="Z477" s="0" t="n">
        <v>13.3</v>
      </c>
      <c r="AA477" s="0" t="inlineStr">
        <is>
          <t>No</t>
        </is>
      </c>
    </row>
    <row r="478" ht="15.75" customHeight="1" s="51">
      <c r="A478" s="38" t="inlineStr">
        <is>
          <t>RHE-047-06</t>
        </is>
      </c>
      <c r="B478" s="38" t="inlineStr">
        <is>
          <t>Rhea</t>
        </is>
      </c>
      <c r="C478" s="38" t="inlineStr">
        <is>
          <t>Laptops</t>
        </is>
      </c>
      <c r="D478" s="38" t="inlineStr">
        <is>
          <t>Laptop</t>
        </is>
      </c>
      <c r="E478" s="39" t="inlineStr">
        <is>
          <t>Rhea Drift SE Dual-Screen Laptop</t>
        </is>
      </c>
      <c r="F478" s="40" t="n">
        <v>1287.99</v>
      </c>
      <c r="G478" s="38" t="inlineStr">
        <is>
          <t>the Drift SE; Rhea Drift SE; Rheaa Drift SE; Drift SE laptop</t>
        </is>
      </c>
      <c r="H478" s="38" t="inlineStr">
        <is>
          <t>1 year limited</t>
        </is>
      </c>
      <c r="I478" s="38" t="inlineStr">
        <is>
          <t>FCC, CE, UL 62368-1, EPEAT Silver</t>
        </is>
      </c>
      <c r="J478" s="38" t="inlineStr">
        <is>
          <t>Intel Core Ultra 5 125U</t>
        </is>
      </c>
      <c r="K478" s="38" t="inlineStr">
        <is>
          <t>Intel Graphics</t>
        </is>
      </c>
      <c r="L478" s="38" t="inlineStr">
        <is>
          <t>Dual OLED touch, 120Hz</t>
        </is>
      </c>
      <c r="M478" s="38" t="inlineStr">
        <is>
          <t>2x 2880x1800</t>
        </is>
      </c>
      <c r="N478" s="38" t="inlineStr">
        <is>
          <t>2x Thunderbolt 4 (USB-C), 1x USB-A 3.2, HDMI 2.1, microSD, 3.5mm audio</t>
        </is>
      </c>
      <c r="O478" s="38" t="inlineStr">
        <is>
          <t>Windows 11 Home</t>
        </is>
      </c>
      <c r="P478" s="38" t="n">
        <v>7</v>
      </c>
      <c r="Q478" s="41" t="n">
        <v>1693</v>
      </c>
      <c r="R478" s="38" t="inlineStr">
        <is>
          <t>Lower price than Atropos Nova Dual-Screen Laptop [ATR-035-05] ($1,287.99 vs $1,335.99); Lighter than Thanatos Aeon Dual-Screen Laptop [THA-049-07] (1,693 g vs 1,761 g)</t>
        </is>
      </c>
      <c r="S478" s="38" t="inlineStr">
        <is>
          <t>multitasking, productivity, content creation</t>
        </is>
      </c>
      <c r="T478" s="0" t="inlineStr">
        <is>
          <t>in_stock</t>
        </is>
      </c>
      <c r="U478" s="0" t="n">
        <v>45</v>
      </c>
      <c r="V478" s="52" t="n">
        <v>1435.99</v>
      </c>
      <c r="W478" s="0" t="inlineStr">
        <is>
          <t>2026-08-30</t>
        </is>
      </c>
      <c r="X478" s="0" t="n">
        <v>16</v>
      </c>
      <c r="Y478" s="0" t="n">
        <v>1024</v>
      </c>
      <c r="Z478" s="0" t="n">
        <v>14</v>
      </c>
      <c r="AA478" s="0" t="inlineStr">
        <is>
          <t>Yes</t>
        </is>
      </c>
    </row>
    <row r="479" ht="15.75" customHeight="1" s="51">
      <c r="A479" s="38" t="inlineStr">
        <is>
          <t>RHE-047-07</t>
        </is>
      </c>
      <c r="B479" s="38" t="inlineStr">
        <is>
          <t>Rhea</t>
        </is>
      </c>
      <c r="C479" s="38" t="inlineStr">
        <is>
          <t>Laptops</t>
        </is>
      </c>
      <c r="D479" s="38" t="inlineStr">
        <is>
          <t>Laptop</t>
        </is>
      </c>
      <c r="E479" s="39" t="inlineStr">
        <is>
          <t>Rhea Core 15" Ultrabook</t>
        </is>
      </c>
      <c r="F479" s="40" t="n">
        <v>1762.99</v>
      </c>
      <c r="G479" s="38" t="inlineStr">
        <is>
          <t>the Core; Rhea Core; Rhe Core; Core laptop</t>
        </is>
      </c>
      <c r="H479" s="38" t="inlineStr">
        <is>
          <t>1 year limited</t>
        </is>
      </c>
      <c r="I479" s="38" t="inlineStr">
        <is>
          <t>FCC, CE, UL 62368-1, Energy Star, EPEAT Gold</t>
        </is>
      </c>
      <c r="J479" s="38" t="inlineStr">
        <is>
          <t>AMD Ryzen AI 9 HX 370</t>
        </is>
      </c>
      <c r="K479" s="38" t="inlineStr">
        <is>
          <t>AMD Radeon 890M</t>
        </is>
      </c>
      <c r="L479" s="38" t="inlineStr">
        <is>
          <t>OLED, 120Hz</t>
        </is>
      </c>
      <c r="M479" s="38" t="inlineStr">
        <is>
          <t>2880x1800</t>
        </is>
      </c>
      <c r="N479" s="38" t="inlineStr">
        <is>
          <t>2x USB4 (USB-C), 2x USB-A 3.2, HDMI 2.1, SD card, 3.5mm audio</t>
        </is>
      </c>
      <c r="O479" s="38" t="inlineStr">
        <is>
          <t>Windows 11 Home</t>
        </is>
      </c>
      <c r="P479" s="38" t="n">
        <v>18</v>
      </c>
      <c r="Q479" s="41" t="n">
        <v>1572</v>
      </c>
      <c r="R479" s="38" t="inlineStr">
        <is>
          <t>Lighter than Aristaeus Volt Plus 15" Ultrabook [ARI-027-05] (1,572 g vs 1,720 g); Lower price than Thallo Orbit X 15" Ultrabook [THA-046-07] ($1,762.99 vs $2,292.99)</t>
        </is>
      </c>
      <c r="S479" s="38" t="inlineStr">
        <is>
          <t>work, school, everyday</t>
        </is>
      </c>
      <c r="T479" s="0" t="inlineStr">
        <is>
          <t>in_stock</t>
        </is>
      </c>
      <c r="U479" s="0" t="n">
        <v>45</v>
      </c>
      <c r="V479" s="52" t="n">
        <v>1987.99</v>
      </c>
      <c r="W479" s="0" t="inlineStr">
        <is>
          <t>2026-08-07</t>
        </is>
      </c>
      <c r="X479" s="0" t="n">
        <v>16</v>
      </c>
      <c r="Y479" s="0" t="n">
        <v>1024</v>
      </c>
      <c r="Z479" s="0" t="n">
        <v>15.6</v>
      </c>
      <c r="AA479" s="0" t="inlineStr">
        <is>
          <t>No</t>
        </is>
      </c>
    </row>
    <row r="480" ht="15.75" customHeight="1" s="51">
      <c r="A480" s="38" t="inlineStr">
        <is>
          <t>RHE-047-08</t>
        </is>
      </c>
      <c r="B480" s="38" t="inlineStr">
        <is>
          <t>Rhea</t>
        </is>
      </c>
      <c r="C480" s="38" t="inlineStr">
        <is>
          <t>Laptops</t>
        </is>
      </c>
      <c r="D480" s="38" t="inlineStr">
        <is>
          <t>Laptop</t>
        </is>
      </c>
      <c r="E480" s="39" t="inlineStr">
        <is>
          <t>Rhea Strata Ultra Rugged Laptop</t>
        </is>
      </c>
      <c r="F480" s="40" t="n">
        <v>2897.99</v>
      </c>
      <c r="G480" s="38" t="inlineStr">
        <is>
          <t>the Strata Ultra; Rhea Strata Ultra; Rhe Strata Ultra; Strata Ultra laptop</t>
        </is>
      </c>
      <c r="H480" s="38" t="inlineStr">
        <is>
          <t>3 year limited, accidental damage</t>
        </is>
      </c>
      <c r="I480" s="38" t="inlineStr">
        <is>
          <t>FCC, CE, UL 62368-1, EPEAT Gold, MIL-STD-810H, IP65</t>
        </is>
      </c>
      <c r="J480" s="38" t="inlineStr">
        <is>
          <t>AMD Ryzen AI 9 HX 370</t>
        </is>
      </c>
      <c r="K480" s="38" t="inlineStr">
        <is>
          <t>AMD Radeon 890M</t>
        </is>
      </c>
      <c r="L480" s="38" t="inlineStr">
        <is>
          <t>IPS sunlight-readable 1000 nits, touch</t>
        </is>
      </c>
      <c r="M480" s="38" t="inlineStr">
        <is>
          <t>1920x1080</t>
        </is>
      </c>
      <c r="N480" s="38" t="inlineStr">
        <is>
          <t>2x USB4 (USB-C), 2x USB-A 3.2, HDMI 2.1, SD card, 3.5mm audio, RJ-45 Ethernet, serial (RS-232), smart card reader</t>
        </is>
      </c>
      <c r="O480" s="38" t="inlineStr">
        <is>
          <t>Windows 11 Pro</t>
        </is>
      </c>
      <c r="P480" s="38" t="n">
        <v>9</v>
      </c>
      <c r="Q480" s="41" t="n">
        <v>3233</v>
      </c>
      <c r="R480" s="38" t="inlineStr">
        <is>
          <t>Lower price than Chronos Vibe Air Rugged Laptop [CHR-050-10] ($2,897.99 vs $3,648.99); Lighter than Atropos Lumen Air Rugged Laptop [ATR-035-07] (3,233 g vs 3,447 g)</t>
        </is>
      </c>
      <c r="S480" s="38" t="inlineStr">
        <is>
          <t>fieldwork, outdoor, industrial</t>
        </is>
      </c>
      <c r="T480" s="0" t="inlineStr">
        <is>
          <t>in_stock</t>
        </is>
      </c>
      <c r="U480" s="0" t="n">
        <v>45</v>
      </c>
      <c r="V480" s="52" t="n">
        <v>3245.99</v>
      </c>
      <c r="W480" s="0" t="inlineStr">
        <is>
          <t>2026-09-22</t>
        </is>
      </c>
      <c r="X480" s="0" t="n">
        <v>32</v>
      </c>
      <c r="Y480" s="0" t="n">
        <v>2048</v>
      </c>
      <c r="Z480" s="0" t="n">
        <v>17.3</v>
      </c>
      <c r="AA480" s="0" t="inlineStr">
        <is>
          <t>Yes</t>
        </is>
      </c>
    </row>
    <row r="481" ht="15.75" customHeight="1" s="51">
      <c r="A481" s="38" t="inlineStr">
        <is>
          <t>RHE-047-09</t>
        </is>
      </c>
      <c r="B481" s="38" t="inlineStr">
        <is>
          <t>Rhea</t>
        </is>
      </c>
      <c r="C481" s="38" t="inlineStr">
        <is>
          <t>Laptops</t>
        </is>
      </c>
      <c r="D481" s="38" t="inlineStr">
        <is>
          <t>Laptop</t>
        </is>
      </c>
      <c r="E481" s="39" t="inlineStr">
        <is>
          <t>Rhea Axis Ultra 16" Creator Laptop</t>
        </is>
      </c>
      <c r="F481" s="40" t="n">
        <v>3301.99</v>
      </c>
      <c r="G481" s="38" t="inlineStr">
        <is>
          <t>the Axis Ultra; Rhea Axis Ultra; Rhhea Axis Ultra; Axis Ultra laptop</t>
        </is>
      </c>
      <c r="H481" s="38" t="inlineStr">
        <is>
          <t>2 year limited</t>
        </is>
      </c>
      <c r="I481" s="38" t="inlineStr">
        <is>
          <t>FCC, CE, UL 62368-1, Energy Star, EPEAT Bronze</t>
        </is>
      </c>
      <c r="J481" s="38" t="inlineStr">
        <is>
          <t>AMD Ryzen 9 7945HX</t>
        </is>
      </c>
      <c r="K481" s="38" t="inlineStr">
        <is>
          <t>NVIDIA GeForce RTX 4080 12GB Laptop GPU</t>
        </is>
      </c>
      <c r="L481" s="38" t="inlineStr">
        <is>
          <t>Mini-LED, 165Hz</t>
        </is>
      </c>
      <c r="M481" s="38" t="inlineStr">
        <is>
          <t>3840x2400</t>
        </is>
      </c>
      <c r="N481" s="38" t="inlineStr">
        <is>
          <t>2x USB4 (USB-C), 2x USB-A 3.2, HDMI 2.1, SD card, 3.5mm audio</t>
        </is>
      </c>
      <c r="O481" s="38" t="inlineStr">
        <is>
          <t>Windows 11 Home</t>
        </is>
      </c>
      <c r="P481" s="38" t="n">
        <v>8</v>
      </c>
      <c r="Q481" s="41" t="n">
        <v>1895</v>
      </c>
      <c r="R481" s="38" t="inlineStr">
        <is>
          <t>Longer battery than Boreas Echo Ultra 16" Creator Laptop [BOR-044-06] (8 vs 6 hrs); Lighter than Melpomene Spark 16" Creator Laptop [MEL-026-06] (1,895 g vs 2,245 g)</t>
        </is>
      </c>
      <c r="S481" s="38" t="inlineStr">
        <is>
          <t>video editing, photo editing, content creation</t>
        </is>
      </c>
      <c r="T481" s="0" t="inlineStr">
        <is>
          <t>low_stock</t>
        </is>
      </c>
      <c r="U481" s="0" t="n">
        <v>45</v>
      </c>
      <c r="V481" s="52" t="n">
        <v>3698.99</v>
      </c>
      <c r="W481" s="0" t="inlineStr">
        <is>
          <t>2026-09-16</t>
        </is>
      </c>
      <c r="X481" s="0" t="n">
        <v>64</v>
      </c>
      <c r="Y481" s="0" t="n">
        <v>2048</v>
      </c>
      <c r="Z481" s="0" t="n">
        <v>16</v>
      </c>
      <c r="AA481" s="0" t="inlineStr">
        <is>
          <t>No</t>
        </is>
      </c>
    </row>
    <row r="482" ht="15.75" customHeight="1" s="51">
      <c r="A482" s="38" t="inlineStr">
        <is>
          <t>RHE-047-10</t>
        </is>
      </c>
      <c r="B482" s="38" t="inlineStr">
        <is>
          <t>Rhea</t>
        </is>
      </c>
      <c r="C482" s="38" t="inlineStr">
        <is>
          <t>Laptops</t>
        </is>
      </c>
      <c r="D482" s="38" t="inlineStr">
        <is>
          <t>Laptop</t>
        </is>
      </c>
      <c r="E482" s="39" t="inlineStr">
        <is>
          <t>Rhea Zen Lite Mobile Workstation</t>
        </is>
      </c>
      <c r="F482" s="40" t="n">
        <v>4034.99</v>
      </c>
      <c r="G482" s="38" t="inlineStr">
        <is>
          <t>the Zen Lite; Rhea Zen Lite; Rheaa Zen Lite; Zen Lite laptop</t>
        </is>
      </c>
      <c r="H482" s="38" t="inlineStr">
        <is>
          <t>3 year limited, on-site service</t>
        </is>
      </c>
      <c r="I482" s="38" t="inlineStr">
        <is>
          <t>FCC, CE, UL 62368-1, Energy Star, EPEAT Gold, TCO Certified, MIL-STD-810H</t>
        </is>
      </c>
      <c r="J482" s="38" t="inlineStr">
        <is>
          <t>AMD Ryzen 9 7945HX</t>
        </is>
      </c>
      <c r="K482" s="38" t="inlineStr">
        <is>
          <t>NVIDIA RTX 5000 Ada 16GB Laptop GPU</t>
        </is>
      </c>
      <c r="L482" s="38" t="inlineStr">
        <is>
          <t>OLED, 120Hz</t>
        </is>
      </c>
      <c r="M482" s="38" t="inlineStr">
        <is>
          <t>3840x2400</t>
        </is>
      </c>
      <c r="N482" s="38" t="inlineStr">
        <is>
          <t>2x USB4 (USB-C), 2x USB-A 3.2, HDMI 2.1, SD card, 3.5mm audio</t>
        </is>
      </c>
      <c r="O482" s="38" t="inlineStr">
        <is>
          <t>Windows 11 Pro</t>
        </is>
      </c>
      <c r="P482" s="38" t="n">
        <v>7</v>
      </c>
      <c r="Q482" s="41" t="n">
        <v>2398</v>
      </c>
      <c r="R482" s="38" t="inlineStr">
        <is>
          <t>Longer battery than Dolos Nova Plus Mobile Workstation [DOL-045-10] (7 vs 5 hrs); Lighter than Metis Core Lite Mobile Workstation [MET-029-10] (2,398 g vs 2,570 g)</t>
        </is>
      </c>
      <c r="S482" s="38" t="inlineStr">
        <is>
          <t>engineering, 3D rendering, data science</t>
        </is>
      </c>
      <c r="T482" s="0" t="inlineStr">
        <is>
          <t>in_stock</t>
        </is>
      </c>
      <c r="U482" s="0" t="n">
        <v>45</v>
      </c>
      <c r="V482" s="52" t="n">
        <v>4639.99</v>
      </c>
      <c r="W482" s="0" t="inlineStr">
        <is>
          <t>2026-08-11</t>
        </is>
      </c>
      <c r="X482" s="0" t="n">
        <v>64</v>
      </c>
      <c r="Y482" s="0" t="n">
        <v>4096</v>
      </c>
      <c r="Z482" s="0" t="n">
        <v>16</v>
      </c>
      <c r="AA482" s="0" t="inlineStr">
        <is>
          <t>No</t>
        </is>
      </c>
    </row>
    <row r="483" ht="15.75" customHeight="1" s="51">
      <c r="A483" s="38" t="inlineStr">
        <is>
          <t>HYG-048-01</t>
        </is>
      </c>
      <c r="B483" s="38" t="inlineStr">
        <is>
          <t>Hygieia</t>
        </is>
      </c>
      <c r="C483" s="38" t="inlineStr">
        <is>
          <t>Laptops</t>
        </is>
      </c>
      <c r="D483" s="38" t="inlineStr">
        <is>
          <t>Laptop</t>
        </is>
      </c>
      <c r="E483" s="39" t="inlineStr">
        <is>
          <t>Hygieia Spark Max 15" Budget Laptop</t>
        </is>
      </c>
      <c r="F483" s="40" t="n">
        <v>526.99</v>
      </c>
      <c r="G483" s="38" t="inlineStr">
        <is>
          <t>the Spark Max; Hygieia Spark Max; Hygieiaa Spark Max; Spark Max laptop</t>
        </is>
      </c>
      <c r="H483" s="38" t="inlineStr">
        <is>
          <t>2 year limited</t>
        </is>
      </c>
      <c r="I483" s="38" t="inlineStr">
        <is>
          <t>FCC, CE, UL 62368-1, Energy Star, EPEAT Silver</t>
        </is>
      </c>
      <c r="J483" s="38" t="inlineStr">
        <is>
          <t>AMD Ryzen 5 8640HS</t>
        </is>
      </c>
      <c r="K483" s="38" t="inlineStr">
        <is>
          <t>AMD Radeon 760M</t>
        </is>
      </c>
      <c r="L483" s="38" t="inlineStr">
        <is>
          <t>IPS, 60Hz</t>
        </is>
      </c>
      <c r="M483" s="38" t="inlineStr">
        <is>
          <t>1920x1080</t>
        </is>
      </c>
      <c r="N483" s="38" t="inlineStr">
        <is>
          <t>2x USB4 (USB-C), 2x USB-A 3.2, HDMI 2.1, SD card, 3.5mm audio</t>
        </is>
      </c>
      <c r="O483" s="38" t="inlineStr">
        <is>
          <t>Windows 11 Home</t>
        </is>
      </c>
      <c r="P483" s="38" t="n">
        <v>7</v>
      </c>
      <c r="Q483" s="41" t="n">
        <v>1746</v>
      </c>
      <c r="R483" s="38" t="inlineStr">
        <is>
          <t>Lighter than Aeolus Echo Plus 15" Budget Laptop [AEO-031-01] (1,746 g vs 1,850 g); Longer battery than Priapus Apex Lite 15" Budget Laptop [PRI-042-02] (7 vs 6 hrs)</t>
        </is>
      </c>
      <c r="S483" s="38" t="inlineStr">
        <is>
          <t>budget, everyday, school</t>
        </is>
      </c>
      <c r="T483" s="0" t="inlineStr">
        <is>
          <t>in_stock</t>
        </is>
      </c>
      <c r="U483" s="0" t="n">
        <v>30</v>
      </c>
      <c r="V483" s="52" t="n">
        <v>560.99</v>
      </c>
      <c r="W483" s="0" t="inlineStr">
        <is>
          <t>2026-08-20</t>
        </is>
      </c>
      <c r="X483" s="0" t="n">
        <v>16</v>
      </c>
      <c r="Y483" s="0" t="n">
        <v>512</v>
      </c>
      <c r="Z483" s="0" t="n">
        <v>15.6</v>
      </c>
      <c r="AA483" s="0" t="inlineStr">
        <is>
          <t>No</t>
        </is>
      </c>
    </row>
    <row r="484" ht="15.75" customHeight="1" s="51">
      <c r="A484" s="38" t="inlineStr">
        <is>
          <t>HYG-048-02</t>
        </is>
      </c>
      <c r="B484" s="38" t="inlineStr">
        <is>
          <t>Hygieia</t>
        </is>
      </c>
      <c r="C484" s="38" t="inlineStr">
        <is>
          <t>Laptops</t>
        </is>
      </c>
      <c r="D484" s="38" t="inlineStr">
        <is>
          <t>Laptop</t>
        </is>
      </c>
      <c r="E484" s="39" t="inlineStr">
        <is>
          <t>Hygieia Onyx Pro 14" Business Laptop</t>
        </is>
      </c>
      <c r="F484" s="40" t="n">
        <v>822.99</v>
      </c>
      <c r="G484" s="38" t="inlineStr">
        <is>
          <t>the Onyx Pro; Hygieia Onyx Pro; Hyggieia Onyx Pro; Onyx Pro laptop</t>
        </is>
      </c>
      <c r="H484" s="38" t="inlineStr">
        <is>
          <t>3 year limited, on-site service</t>
        </is>
      </c>
      <c r="I484" s="38" t="inlineStr">
        <is>
          <t>FCC, CE, UL 62368-1, EPEAT Gold, TCO Certified, MIL-STD-810H</t>
        </is>
      </c>
      <c r="J484" s="38" t="inlineStr">
        <is>
          <t>Qualcomm Snapdragon X Plus X1P-42-100</t>
        </is>
      </c>
      <c r="K484" s="38" t="inlineStr">
        <is>
          <t>Qualcomm Adreno X1-45</t>
        </is>
      </c>
      <c r="L484" s="38" t="inlineStr">
        <is>
          <t>IPS anti-glare, 60Hz</t>
        </is>
      </c>
      <c r="M484" s="38" t="inlineStr">
        <is>
          <t>1920x1200</t>
        </is>
      </c>
      <c r="N484" s="38" t="inlineStr">
        <is>
          <t>2x USB4 (USB-C), 1x USB-A 3.2, 3.5mm audio</t>
        </is>
      </c>
      <c r="O484" s="38" t="inlineStr">
        <is>
          <t>Windows 11 Pro</t>
        </is>
      </c>
      <c r="P484" s="38" t="n">
        <v>13</v>
      </c>
      <c r="Q484" s="41" t="n">
        <v>1279</v>
      </c>
      <c r="R484" s="38" t="inlineStr">
        <is>
          <t>Lower price than Demeter Prism SE 14" Business Laptop [DEM-028-05] ($822.99 vs $1,951.99); Lighter than Atropos Volt SE 14" Business Laptop [ATR-035-06] (1,279 g vs 1,338 g)</t>
        </is>
      </c>
      <c r="S484" s="38" t="inlineStr">
        <is>
          <t>work, travel, remote meetings</t>
        </is>
      </c>
      <c r="T484" s="0" t="inlineStr">
        <is>
          <t>in_stock</t>
        </is>
      </c>
      <c r="U484" s="0" t="n">
        <v>30</v>
      </c>
      <c r="V484" s="52" t="n">
        <v>914.99</v>
      </c>
      <c r="W484" s="0" t="inlineStr">
        <is>
          <t>2026-08-08</t>
        </is>
      </c>
      <c r="X484" s="0" t="n">
        <v>16</v>
      </c>
      <c r="Y484" s="0" t="n">
        <v>512</v>
      </c>
      <c r="Z484" s="0" t="n">
        <v>14</v>
      </c>
      <c r="AA484" s="0" t="inlineStr">
        <is>
          <t>No</t>
        </is>
      </c>
    </row>
    <row r="485" ht="15.75" customHeight="1" s="51">
      <c r="A485" s="38" t="inlineStr">
        <is>
          <t>HYG-048-03</t>
        </is>
      </c>
      <c r="B485" s="38" t="inlineStr">
        <is>
          <t>Hygieia</t>
        </is>
      </c>
      <c r="C485" s="38" t="inlineStr">
        <is>
          <t>Laptops</t>
        </is>
      </c>
      <c r="D485" s="38" t="inlineStr">
        <is>
          <t>Laptop</t>
        </is>
      </c>
      <c r="E485" s="39" t="inlineStr">
        <is>
          <t>Hygieia Core 2-in-1 Convertible</t>
        </is>
      </c>
      <c r="F485" s="40" t="n">
        <v>1277.99</v>
      </c>
      <c r="G485" s="38" t="inlineStr">
        <is>
          <t>the Core; Hygieia Core; Hygiei Core; Core laptop</t>
        </is>
      </c>
      <c r="H485" s="38" t="inlineStr">
        <is>
          <t>1 year limited</t>
        </is>
      </c>
      <c r="I485" s="38" t="inlineStr">
        <is>
          <t>FCC, CE, UL 62368-1, Energy Star, EPEAT Bronze</t>
        </is>
      </c>
      <c r="J485" s="38" t="inlineStr">
        <is>
          <t>AMD Ryzen 7 8845HS</t>
        </is>
      </c>
      <c r="K485" s="38" t="inlineStr">
        <is>
          <t>AMD Radeon 780M</t>
        </is>
      </c>
      <c r="L485" s="38" t="inlineStr">
        <is>
          <t>OLED touch, 60Hz</t>
        </is>
      </c>
      <c r="M485" s="38" t="inlineStr">
        <is>
          <t>2880x1800</t>
        </is>
      </c>
      <c r="N485" s="38" t="inlineStr">
        <is>
          <t>2x USB4 (USB-C), 2x USB-A 3.2, HDMI 2.1, SD card, 3.5mm audio</t>
        </is>
      </c>
      <c r="O485" s="38" t="inlineStr">
        <is>
          <t>Windows 11 Home</t>
        </is>
      </c>
      <c r="P485" s="38" t="n">
        <v>15</v>
      </c>
      <c r="Q485" s="41" t="n">
        <v>1597</v>
      </c>
      <c r="R485" s="38" t="inlineStr">
        <is>
          <t>Longer battery than Rhea Echo Plus 2-in-1 Convertible [RHE-047-04] (15 vs 10 hrs); Lower price than Selene Aeon Pro 2-in-1 Convertible [SEL-034-04] ($1,277.99 vs $1,478.99)</t>
        </is>
      </c>
      <c r="S485" s="38" t="inlineStr">
        <is>
          <t>school, note-taking, travel</t>
        </is>
      </c>
      <c r="T485" s="0" t="inlineStr">
        <is>
          <t>in_stock</t>
        </is>
      </c>
      <c r="U485" s="0" t="n">
        <v>30</v>
      </c>
      <c r="V485" s="52" t="n">
        <v>1436.99</v>
      </c>
      <c r="W485" s="0" t="inlineStr">
        <is>
          <t>2026-09-18</t>
        </is>
      </c>
      <c r="X485" s="0" t="n">
        <v>16</v>
      </c>
      <c r="Y485" s="0" t="n">
        <v>1024</v>
      </c>
      <c r="Z485" s="0" t="n">
        <v>14</v>
      </c>
      <c r="AA485" s="0" t="inlineStr">
        <is>
          <t>Yes</t>
        </is>
      </c>
    </row>
    <row r="486" ht="15.75" customHeight="1" s="51">
      <c r="A486" s="38" t="inlineStr">
        <is>
          <t>HYG-048-04</t>
        </is>
      </c>
      <c r="B486" s="38" t="inlineStr">
        <is>
          <t>Hygieia</t>
        </is>
      </c>
      <c r="C486" s="38" t="inlineStr">
        <is>
          <t>Laptops</t>
        </is>
      </c>
      <c r="D486" s="38" t="inlineStr">
        <is>
          <t>Laptop</t>
        </is>
      </c>
      <c r="E486" s="39" t="inlineStr">
        <is>
          <t>Hygieia Volt 13" Ultrabook</t>
        </is>
      </c>
      <c r="F486" s="40" t="n">
        <v>1383.99</v>
      </c>
      <c r="G486" s="38" t="inlineStr">
        <is>
          <t>the Volt; Hygieia Volt; Hygiiea Volt; Volt laptop</t>
        </is>
      </c>
      <c r="H486" s="38" t="inlineStr">
        <is>
          <t>1 year limited</t>
        </is>
      </c>
      <c r="I486" s="38" t="inlineStr">
        <is>
          <t>FCC, CE, UL 62368-1, Energy Star, EPEAT Gold</t>
        </is>
      </c>
      <c r="J486" s="38" t="inlineStr">
        <is>
          <t>AMD Ryzen AI 9 HX 370</t>
        </is>
      </c>
      <c r="K486" s="38" t="inlineStr">
        <is>
          <t>AMD Radeon 890M</t>
        </is>
      </c>
      <c r="L486" s="38" t="inlineStr">
        <is>
          <t>OLED, 90Hz</t>
        </is>
      </c>
      <c r="M486" s="38" t="inlineStr">
        <is>
          <t>2880x1800</t>
        </is>
      </c>
      <c r="N486" s="38" t="inlineStr">
        <is>
          <t>2x USB4 (USB-C), 2x USB-A 3.2, HDMI 2.1, SD card, 3.5mm audio</t>
        </is>
      </c>
      <c r="O486" s="38" t="inlineStr">
        <is>
          <t>Windows 11 Home</t>
        </is>
      </c>
      <c r="P486" s="38" t="n">
        <v>13</v>
      </c>
      <c r="Q486" s="41" t="n">
        <v>1013</v>
      </c>
      <c r="R486" s="38" t="inlineStr">
        <is>
          <t>Lower price than Melpomene Pulse Lite 13" Ultrabook [MEL-026-05] ($1,383.99 vs $1,733.99); Lighter than Rhea Sable Lite 13" Ultrabook [RHE-047-05] (1,013 g vs 1,068 g)</t>
        </is>
      </c>
      <c r="S486" s="38" t="inlineStr">
        <is>
          <t>travel, school, work</t>
        </is>
      </c>
      <c r="T486" s="0" t="inlineStr">
        <is>
          <t>low_stock</t>
        </is>
      </c>
      <c r="U486" s="0" t="n">
        <v>30</v>
      </c>
      <c r="V486" s="52" t="n">
        <v>1466.99</v>
      </c>
      <c r="W486" s="0" t="inlineStr">
        <is>
          <t>2026-08-20</t>
        </is>
      </c>
      <c r="X486" s="0" t="n">
        <v>16</v>
      </c>
      <c r="Y486" s="0" t="n">
        <v>1024</v>
      </c>
      <c r="Z486" s="0" t="n">
        <v>13.3</v>
      </c>
      <c r="AA486" s="0" t="inlineStr">
        <is>
          <t>No</t>
        </is>
      </c>
    </row>
    <row r="487" ht="15.75" customHeight="1" s="51">
      <c r="A487" s="38" t="inlineStr">
        <is>
          <t>HYG-048-05</t>
        </is>
      </c>
      <c r="B487" s="38" t="inlineStr">
        <is>
          <t>Hygieia</t>
        </is>
      </c>
      <c r="C487" s="38" t="inlineStr">
        <is>
          <t>Laptops</t>
        </is>
      </c>
      <c r="D487" s="38" t="inlineStr">
        <is>
          <t>Laptop</t>
        </is>
      </c>
      <c r="E487" s="39" t="inlineStr">
        <is>
          <t>Hygieia Orbit SE 15" Ultrabook</t>
        </is>
      </c>
      <c r="F487" s="40" t="n">
        <v>1633.99</v>
      </c>
      <c r="G487" s="38" t="inlineStr">
        <is>
          <t>the Orbit SE; Hygieia Orbit SE; Hyigeia Orbit SE; Orbit SE laptop</t>
        </is>
      </c>
      <c r="H487" s="38" t="inlineStr">
        <is>
          <t>1 year limited</t>
        </is>
      </c>
      <c r="I487" s="38" t="inlineStr">
        <is>
          <t>FCC, CE, UL 62368-1, Energy Star, EPEAT Bronze</t>
        </is>
      </c>
      <c r="J487" s="38" t="inlineStr">
        <is>
          <t>AMD Ryzen 5 8640HS</t>
        </is>
      </c>
      <c r="K487" s="38" t="inlineStr">
        <is>
          <t>AMD Radeon 760M</t>
        </is>
      </c>
      <c r="L487" s="38" t="inlineStr">
        <is>
          <t>IPS, 60Hz</t>
        </is>
      </c>
      <c r="M487" s="38" t="inlineStr">
        <is>
          <t>1920x1200</t>
        </is>
      </c>
      <c r="N487" s="38" t="inlineStr">
        <is>
          <t>2x USB4 (USB-C), 2x USB-A 3.2, HDMI 2.1, SD card, 3.5mm audio</t>
        </is>
      </c>
      <c r="O487" s="38" t="inlineStr">
        <is>
          <t>Windows 11 Home</t>
        </is>
      </c>
      <c r="P487" s="38" t="n">
        <v>17</v>
      </c>
      <c r="Q487" s="41" t="n">
        <v>1670</v>
      </c>
      <c r="R487" s="38" t="inlineStr">
        <is>
          <t>Longer battery than Selene Axis Plus 15" Ultrabook [SEL-034-07] (17 vs 13 hrs); Lower price than Rhea Core 15" Ultrabook [RHE-047-07] ($1,633.99 vs $1,762.99)</t>
        </is>
      </c>
      <c r="S487" s="38" t="inlineStr">
        <is>
          <t>work, school, everyday</t>
        </is>
      </c>
      <c r="T487" s="0" t="inlineStr">
        <is>
          <t>low_stock</t>
        </is>
      </c>
      <c r="U487" s="0" t="n">
        <v>30</v>
      </c>
      <c r="V487" s="52" t="n">
        <v>1815.99</v>
      </c>
      <c r="W487" s="0" t="inlineStr">
        <is>
          <t>2026-08-23</t>
        </is>
      </c>
      <c r="X487" s="0" t="n">
        <v>16</v>
      </c>
      <c r="Y487" s="0" t="n">
        <v>1024</v>
      </c>
      <c r="Z487" s="0" t="n">
        <v>15.6</v>
      </c>
      <c r="AA487" s="0" t="inlineStr">
        <is>
          <t>No</t>
        </is>
      </c>
    </row>
    <row r="488" ht="15.75" customHeight="1" s="51">
      <c r="A488" s="38" t="inlineStr">
        <is>
          <t>HYG-048-06</t>
        </is>
      </c>
      <c r="B488" s="38" t="inlineStr">
        <is>
          <t>Hygieia</t>
        </is>
      </c>
      <c r="C488" s="38" t="inlineStr">
        <is>
          <t>Laptops</t>
        </is>
      </c>
      <c r="D488" s="38" t="inlineStr">
        <is>
          <t>Laptop</t>
        </is>
      </c>
      <c r="E488" s="39" t="inlineStr">
        <is>
          <t>Hygieia Wave Ultra Dual-Screen Laptop</t>
        </is>
      </c>
      <c r="F488" s="40" t="n">
        <v>1892.99</v>
      </c>
      <c r="G488" s="38" t="inlineStr">
        <is>
          <t>the Wave Ultra; Hygieia Wave Ultra; Hygeiia Wave Ultra; Wave Ultra laptop</t>
        </is>
      </c>
      <c r="H488" s="38" t="inlineStr">
        <is>
          <t>1 year limited</t>
        </is>
      </c>
      <c r="I488" s="38" t="inlineStr">
        <is>
          <t>FCC, CE, UL 62368-1, EPEAT Gold</t>
        </is>
      </c>
      <c r="J488" s="38" t="inlineStr">
        <is>
          <t>Qualcomm Snapdragon X Plus X1P-42-100</t>
        </is>
      </c>
      <c r="K488" s="38" t="inlineStr">
        <is>
          <t>Qualcomm Adreno X1-45</t>
        </is>
      </c>
      <c r="L488" s="38" t="inlineStr">
        <is>
          <t>Dual OLED touch, 120Hz</t>
        </is>
      </c>
      <c r="M488" s="38" t="inlineStr">
        <is>
          <t>2x 2880x1800</t>
        </is>
      </c>
      <c r="N488" s="38" t="inlineStr">
        <is>
          <t>2x USB4 (USB-C), 1x USB-A 3.2, 3.5mm audio</t>
        </is>
      </c>
      <c r="O488" s="38" t="inlineStr">
        <is>
          <t>Windows 11 Home</t>
        </is>
      </c>
      <c r="P488" s="38" t="n">
        <v>8</v>
      </c>
      <c r="Q488" s="41" t="n">
        <v>1596</v>
      </c>
      <c r="R488" s="38" t="inlineStr">
        <is>
          <t>Lower price than Thalia Arc SE Dual-Screen Laptop [THA-030-08] ($1,892.99 vs $2,742.99); Lighter than Calliope Aeon Dual-Screen Laptop [CAL-040-05] (1,596 g vs 1,851 g)</t>
        </is>
      </c>
      <c r="S488" s="38" t="inlineStr">
        <is>
          <t>multitasking, productivity, content creation</t>
        </is>
      </c>
      <c r="T488" s="0" t="inlineStr">
        <is>
          <t>in_stock</t>
        </is>
      </c>
      <c r="U488" s="0" t="n">
        <v>30</v>
      </c>
      <c r="V488" s="52" t="n">
        <v>2044.99</v>
      </c>
      <c r="W488" s="0" t="inlineStr">
        <is>
          <t>2026-09-16</t>
        </is>
      </c>
      <c r="X488" s="0" t="n">
        <v>16</v>
      </c>
      <c r="Y488" s="0" t="n">
        <v>1024</v>
      </c>
      <c r="Z488" s="0" t="n">
        <v>14</v>
      </c>
      <c r="AA488" s="0" t="inlineStr">
        <is>
          <t>Yes</t>
        </is>
      </c>
    </row>
    <row r="489" ht="15.75" customHeight="1" s="51">
      <c r="A489" s="38" t="inlineStr">
        <is>
          <t>HYG-048-07</t>
        </is>
      </c>
      <c r="B489" s="38" t="inlineStr">
        <is>
          <t>Hygieia</t>
        </is>
      </c>
      <c r="C489" s="38" t="inlineStr">
        <is>
          <t>Laptops</t>
        </is>
      </c>
      <c r="D489" s="38" t="inlineStr">
        <is>
          <t>Laptop</t>
        </is>
      </c>
      <c r="E489" s="39" t="inlineStr">
        <is>
          <t>Hygieia Core 15" Gaming Laptop</t>
        </is>
      </c>
      <c r="F489" s="40" t="n">
        <v>2061.99</v>
      </c>
      <c r="G489" s="38" t="inlineStr">
        <is>
          <t>the Core; Hygieia Core; Hygiieia Core; Core laptop</t>
        </is>
      </c>
      <c r="H489" s="38" t="inlineStr">
        <is>
          <t>2 year limited</t>
        </is>
      </c>
      <c r="I489" s="38" t="inlineStr">
        <is>
          <t>FCC, CE, UL 62368-1, Energy Star, EPEAT Silver</t>
        </is>
      </c>
      <c r="J489" s="38" t="inlineStr">
        <is>
          <t>Intel Core i9-14900HX</t>
        </is>
      </c>
      <c r="K489" s="38" t="inlineStr">
        <is>
          <t>NVIDIA GeForce RTX 4070 8GB Laptop GPU</t>
        </is>
      </c>
      <c r="L489" s="38" t="inlineStr">
        <is>
          <t>IPS, 240Hz</t>
        </is>
      </c>
      <c r="M489" s="38" t="inlineStr">
        <is>
          <t>2560x1600</t>
        </is>
      </c>
      <c r="N489" s="38" t="inlineStr">
        <is>
          <t>1x Thunderbolt 4, 3x USB-A 3.2, HDMI 2.1, RJ-45 Ethernet, 3.5mm audio</t>
        </is>
      </c>
      <c r="O489" s="38" t="inlineStr">
        <is>
          <t>Windows 11 Home</t>
        </is>
      </c>
      <c r="P489" s="38" t="n">
        <v>4</v>
      </c>
      <c r="Q489" s="41" t="n">
        <v>2126</v>
      </c>
      <c r="R489" s="38" t="inlineStr">
        <is>
          <t>Lighter than Boreas Titan 15" Gaming Laptop [BOR-044-05] (2,126 g vs 2,242 g); Lower price than Momus Echo Plus 15" Gaming Laptop [MOM-043-09] ($2,061.99 vs $2,076.99)</t>
        </is>
      </c>
      <c r="S489" s="38" t="inlineStr">
        <is>
          <t>gaming, streaming</t>
        </is>
      </c>
      <c r="T489" s="0" t="inlineStr">
        <is>
          <t>in_stock</t>
        </is>
      </c>
      <c r="U489" s="0" t="n">
        <v>30</v>
      </c>
      <c r="V489" s="52" t="n">
        <v>2202.99</v>
      </c>
      <c r="W489" s="0" t="inlineStr">
        <is>
          <t>2026-08-31</t>
        </is>
      </c>
      <c r="X489" s="0" t="n">
        <v>32</v>
      </c>
      <c r="Y489" s="0" t="n">
        <v>2048</v>
      </c>
      <c r="Z489" s="0" t="n">
        <v>15.6</v>
      </c>
      <c r="AA489" s="0" t="inlineStr">
        <is>
          <t>No</t>
        </is>
      </c>
    </row>
    <row r="490" ht="15.75" customHeight="1" s="51">
      <c r="A490" s="38" t="inlineStr">
        <is>
          <t>HYG-048-08</t>
        </is>
      </c>
      <c r="B490" s="38" t="inlineStr">
        <is>
          <t>Hygieia</t>
        </is>
      </c>
      <c r="C490" s="38" t="inlineStr">
        <is>
          <t>Laptops</t>
        </is>
      </c>
      <c r="D490" s="38" t="inlineStr">
        <is>
          <t>Laptop</t>
        </is>
      </c>
      <c r="E490" s="39" t="inlineStr">
        <is>
          <t>Hygieia Vertex SE 17" Gaming Laptop</t>
        </is>
      </c>
      <c r="F490" s="40" t="n">
        <v>3005.99</v>
      </c>
      <c r="G490" s="38" t="inlineStr">
        <is>
          <t>the Vertex SE; Hygieia Vertex SE; Hygeiia Vertex SE; Vertex SE laptop</t>
        </is>
      </c>
      <c r="H490" s="38" t="inlineStr">
        <is>
          <t>1 year limited</t>
        </is>
      </c>
      <c r="I490" s="38" t="inlineStr">
        <is>
          <t>FCC, CE, UL 62368-1, Energy Star, EPEAT Silver</t>
        </is>
      </c>
      <c r="J490" s="38" t="inlineStr">
        <is>
          <t>Intel Core i9-14900HX</t>
        </is>
      </c>
      <c r="K490" s="38" t="inlineStr">
        <is>
          <t>NVIDIA GeForce RTX 4080 12GB Laptop GPU</t>
        </is>
      </c>
      <c r="L490" s="38" t="inlineStr">
        <is>
          <t>Mini-LED, 240Hz</t>
        </is>
      </c>
      <c r="M490" s="38" t="inlineStr">
        <is>
          <t>2560x1600</t>
        </is>
      </c>
      <c r="N490" s="38" t="inlineStr">
        <is>
          <t>1x Thunderbolt 4, 3x USB-A 3.2, HDMI 2.1, RJ-45 Ethernet, 3.5mm audio</t>
        </is>
      </c>
      <c r="O490" s="38" t="inlineStr">
        <is>
          <t>Windows 11 Home</t>
        </is>
      </c>
      <c r="P490" s="38" t="n">
        <v>6</v>
      </c>
      <c r="Q490" s="41" t="n">
        <v>3297</v>
      </c>
      <c r="R490" s="38" t="inlineStr">
        <is>
          <t>Lighter than Zephyrus Lumen Pro 17" Gaming Laptop [ZEP-032-08] (3,297 g vs 3,344 g); Longer battery than Persephone Lumen Pro 17" Gaming Laptop [PER-036-09] (6 vs 3 hrs)</t>
        </is>
      </c>
      <c r="S490" s="38" t="inlineStr">
        <is>
          <t>gaming, streaming, content creation</t>
        </is>
      </c>
      <c r="T490" s="0" t="inlineStr">
        <is>
          <t>in_stock</t>
        </is>
      </c>
      <c r="U490" s="0" t="n">
        <v>30</v>
      </c>
      <c r="V490" s="52" t="n">
        <v>3309.99</v>
      </c>
      <c r="W490" s="0" t="inlineStr">
        <is>
          <t>2026-09-13</t>
        </is>
      </c>
      <c r="X490" s="0" t="n">
        <v>64</v>
      </c>
      <c r="Y490" s="0" t="n">
        <v>2048</v>
      </c>
      <c r="Z490" s="0" t="n">
        <v>17.3</v>
      </c>
      <c r="AA490" s="0" t="inlineStr">
        <is>
          <t>No</t>
        </is>
      </c>
    </row>
    <row r="491" ht="15.75" customHeight="1" s="51">
      <c r="A491" s="38" t="inlineStr">
        <is>
          <t>HYG-048-09</t>
        </is>
      </c>
      <c r="B491" s="38" t="inlineStr">
        <is>
          <t>Hygieia</t>
        </is>
      </c>
      <c r="C491" s="38" t="inlineStr">
        <is>
          <t>Laptops</t>
        </is>
      </c>
      <c r="D491" s="38" t="inlineStr">
        <is>
          <t>Laptop</t>
        </is>
      </c>
      <c r="E491" s="39" t="inlineStr">
        <is>
          <t>Hygieia Quanta SE 16" Creator Laptop</t>
        </is>
      </c>
      <c r="F491" s="40" t="n">
        <v>3199.99</v>
      </c>
      <c r="G491" s="38" t="inlineStr">
        <is>
          <t>the Quanta SE; Hygieia Quanta SE; Hyygieia Quanta SE; Quanta SE laptop</t>
        </is>
      </c>
      <c r="H491" s="38" t="inlineStr">
        <is>
          <t>2 year limited</t>
        </is>
      </c>
      <c r="I491" s="38" t="inlineStr">
        <is>
          <t>FCC, CE, UL 62368-1, Energy Star, EPEAT Gold</t>
        </is>
      </c>
      <c r="J491" s="38" t="inlineStr">
        <is>
          <t>Intel Core i9-14900HX</t>
        </is>
      </c>
      <c r="K491" s="38" t="inlineStr">
        <is>
          <t>NVIDIA GeForce RTX 4080 12GB Laptop GPU</t>
        </is>
      </c>
      <c r="L491" s="38" t="inlineStr">
        <is>
          <t>Mini-LED, 165Hz</t>
        </is>
      </c>
      <c r="M491" s="38" t="inlineStr">
        <is>
          <t>3840x2400</t>
        </is>
      </c>
      <c r="N491" s="38" t="inlineStr">
        <is>
          <t>2x Thunderbolt 4 (USB-C), 1x USB-A 3.2, HDMI 2.1, microSD, 3.5mm audio</t>
        </is>
      </c>
      <c r="O491" s="38" t="inlineStr">
        <is>
          <t>Windows 11 Home</t>
        </is>
      </c>
      <c r="P491" s="38" t="n">
        <v>8</v>
      </c>
      <c r="Q491" s="41" t="n">
        <v>2220</v>
      </c>
      <c r="R491" s="38" t="inlineStr">
        <is>
          <t>Lower price than Thallo Nova 16" Creator Laptop [THA-046-09] ($3,199.99 vs $3,270.99); Longer battery than Heracles Flux Plus 16" Creator Laptop [HER-037-09] (8 vs 6 hrs)</t>
        </is>
      </c>
      <c r="S491" s="38" t="inlineStr">
        <is>
          <t>video editing, photo editing, content creation</t>
        </is>
      </c>
      <c r="T491" s="0" t="inlineStr">
        <is>
          <t>in_stock</t>
        </is>
      </c>
      <c r="U491" s="0" t="n">
        <v>30</v>
      </c>
      <c r="V491" s="52" t="n">
        <v>3458.99</v>
      </c>
      <c r="W491" s="0" t="inlineStr">
        <is>
          <t>2026-09-02</t>
        </is>
      </c>
      <c r="X491" s="0" t="n">
        <v>64</v>
      </c>
      <c r="Y491" s="0" t="n">
        <v>2048</v>
      </c>
      <c r="Z491" s="0" t="n">
        <v>16</v>
      </c>
      <c r="AA491" s="0" t="inlineStr">
        <is>
          <t>No</t>
        </is>
      </c>
    </row>
    <row r="492" ht="15.75" customHeight="1" s="51">
      <c r="A492" s="38" t="inlineStr">
        <is>
          <t>HYG-048-10</t>
        </is>
      </c>
      <c r="B492" s="38" t="inlineStr">
        <is>
          <t>Hygieia</t>
        </is>
      </c>
      <c r="C492" s="38" t="inlineStr">
        <is>
          <t>Laptops</t>
        </is>
      </c>
      <c r="D492" s="38" t="inlineStr">
        <is>
          <t>Laptop</t>
        </is>
      </c>
      <c r="E492" s="39" t="inlineStr">
        <is>
          <t>Hygieia Spark Plus Mobile Workstation</t>
        </is>
      </c>
      <c r="F492" s="40" t="n">
        <v>4632.99</v>
      </c>
      <c r="G492" s="38" t="inlineStr">
        <is>
          <t>the Spark Plus; Hygieia Spark Plus; Hygieiaa Spark Plus; Spark Plus laptop</t>
        </is>
      </c>
      <c r="H492" s="38" t="inlineStr">
        <is>
          <t>3 year limited, on-site service</t>
        </is>
      </c>
      <c r="I492" s="38" t="inlineStr">
        <is>
          <t>FCC, CE, UL 62368-1, EPEAT Bronze, TCO Certified, MIL-STD-810H</t>
        </is>
      </c>
      <c r="J492" s="38" t="inlineStr">
        <is>
          <t>AMD Ryzen 9 7945HX</t>
        </is>
      </c>
      <c r="K492" s="38" t="inlineStr">
        <is>
          <t>NVIDIA RTX 5000 Ada 16GB Laptop GPU</t>
        </is>
      </c>
      <c r="L492" s="38" t="inlineStr">
        <is>
          <t>OLED, 120Hz</t>
        </is>
      </c>
      <c r="M492" s="38" t="inlineStr">
        <is>
          <t>3840x2400</t>
        </is>
      </c>
      <c r="N492" s="38" t="inlineStr">
        <is>
          <t>2x USB4 (USB-C), 2x USB-A 3.2, HDMI 2.1, SD card, 3.5mm audio</t>
        </is>
      </c>
      <c r="O492" s="38" t="inlineStr">
        <is>
          <t>Windows 11 Pro</t>
        </is>
      </c>
      <c r="P492" s="38" t="n">
        <v>10</v>
      </c>
      <c r="Q492" s="41" t="n">
        <v>2784</v>
      </c>
      <c r="R492" s="38" t="inlineStr">
        <is>
          <t>Longer battery than Dolos Nova Plus Mobile Workstation [DOL-045-10] (10 vs 5 hrs); Lighter than Terpsichore Aeon Plus Mobile Workstation [TER-039-10] (2,784 g vs 2,808 g)</t>
        </is>
      </c>
      <c r="S492" s="38" t="inlineStr">
        <is>
          <t>engineering, 3D rendering, data science</t>
        </is>
      </c>
      <c r="T492" s="0" t="inlineStr">
        <is>
          <t>in_stock</t>
        </is>
      </c>
      <c r="U492" s="0" t="n">
        <v>30</v>
      </c>
      <c r="V492" s="52" t="n">
        <v>4890.99</v>
      </c>
      <c r="W492" s="0" t="inlineStr">
        <is>
          <t>2026-09-07</t>
        </is>
      </c>
      <c r="X492" s="0" t="n">
        <v>64</v>
      </c>
      <c r="Y492" s="0" t="n">
        <v>4096</v>
      </c>
      <c r="Z492" s="0" t="n">
        <v>17.3</v>
      </c>
      <c r="AA492" s="0" t="inlineStr">
        <is>
          <t>No</t>
        </is>
      </c>
    </row>
    <row r="493" ht="15.75" customHeight="1" s="51">
      <c r="A493" s="38" t="inlineStr">
        <is>
          <t>THA-049-01</t>
        </is>
      </c>
      <c r="B493" s="38" t="inlineStr">
        <is>
          <t>Thanatos</t>
        </is>
      </c>
      <c r="C493" s="38" t="inlineStr">
        <is>
          <t>Laptops</t>
        </is>
      </c>
      <c r="D493" s="38" t="inlineStr">
        <is>
          <t>Laptop</t>
        </is>
      </c>
      <c r="E493" s="39" t="inlineStr">
        <is>
          <t>Thanatos Apex SE Student Laptop</t>
        </is>
      </c>
      <c r="F493" s="40" t="n">
        <v>336.99</v>
      </c>
      <c r="G493" s="38" t="inlineStr">
        <is>
          <t>the Apex SE; Thanatos Apex SE; Thanato Apex SE; Apex SE laptop</t>
        </is>
      </c>
      <c r="H493" s="38" t="inlineStr">
        <is>
          <t>1 year limited</t>
        </is>
      </c>
      <c r="I493" s="38" t="inlineStr">
        <is>
          <t>FCC, CE, UL 62368-1, EPEAT Bronze</t>
        </is>
      </c>
      <c r="J493" s="38" t="inlineStr">
        <is>
          <t>Intel Core i3-1315U</t>
        </is>
      </c>
      <c r="K493" s="38" t="inlineStr">
        <is>
          <t>Intel UHD Graphics</t>
        </is>
      </c>
      <c r="L493" s="38" t="inlineStr">
        <is>
          <t>IPS, 60Hz</t>
        </is>
      </c>
      <c r="M493" s="38" t="inlineStr">
        <is>
          <t>1920x1080</t>
        </is>
      </c>
      <c r="N493" s="38" t="inlineStr">
        <is>
          <t>2x USB-C 3.2, 1x USB-A 3.2, HDMI 1.4, 3.5mm audio</t>
        </is>
      </c>
      <c r="O493" s="38" t="inlineStr">
        <is>
          <t>Windows 11 Home</t>
        </is>
      </c>
      <c r="P493" s="38" t="n">
        <v>9</v>
      </c>
      <c r="Q493" s="41" t="n">
        <v>1616</v>
      </c>
      <c r="R493" s="38" t="inlineStr">
        <is>
          <t>Lower price than Heracles Apex X Student Laptop [HER-037-03] ($336.99 vs $645.99); Longer battery than Thalia Nova Lite Student Laptop [THA-030-02] (9 vs 8 hrs)</t>
        </is>
      </c>
      <c r="S493" s="38" t="inlineStr">
        <is>
          <t>school, everyday, budget</t>
        </is>
      </c>
      <c r="T493" s="0" t="inlineStr">
        <is>
          <t>in_stock</t>
        </is>
      </c>
      <c r="U493" s="0" t="n">
        <v>30</v>
      </c>
      <c r="V493" s="52" t="n">
        <v>379.99</v>
      </c>
      <c r="W493" s="0" t="inlineStr">
        <is>
          <t>2026-09-14</t>
        </is>
      </c>
      <c r="X493" s="0" t="n">
        <v>8</v>
      </c>
      <c r="Y493" s="0" t="n">
        <v>256</v>
      </c>
      <c r="Z493" s="0" t="n">
        <v>15.6</v>
      </c>
      <c r="AA493" s="0" t="inlineStr">
        <is>
          <t>No</t>
        </is>
      </c>
    </row>
    <row r="494" ht="15.75" customHeight="1" s="51">
      <c r="A494" s="38" t="inlineStr">
        <is>
          <t>THA-049-02</t>
        </is>
      </c>
      <c r="B494" s="38" t="inlineStr">
        <is>
          <t>Thanatos</t>
        </is>
      </c>
      <c r="C494" s="38" t="inlineStr">
        <is>
          <t>Laptops</t>
        </is>
      </c>
      <c r="D494" s="38" t="inlineStr">
        <is>
          <t>Laptop</t>
        </is>
      </c>
      <c r="E494" s="39" t="inlineStr">
        <is>
          <t>Thanatos Prism Max 15" Budget Laptop</t>
        </is>
      </c>
      <c r="F494" s="40" t="n">
        <v>586.99</v>
      </c>
      <c r="G494" s="38" t="inlineStr">
        <is>
          <t>the Prism Max; Thanatos Prism Max; Thanaots Prism Max; Prism Max laptop</t>
        </is>
      </c>
      <c r="H494" s="38" t="inlineStr">
        <is>
          <t>2 year limited</t>
        </is>
      </c>
      <c r="I494" s="38" t="inlineStr">
        <is>
          <t>FCC, CE, UL 62368-1, Energy Star, EPEAT Gold</t>
        </is>
      </c>
      <c r="J494" s="38" t="inlineStr">
        <is>
          <t>Intel Core Ultra 5 125U</t>
        </is>
      </c>
      <c r="K494" s="38" t="inlineStr">
        <is>
          <t>Intel Graphics</t>
        </is>
      </c>
      <c r="L494" s="38" t="inlineStr">
        <is>
          <t>IPS, 60Hz</t>
        </is>
      </c>
      <c r="M494" s="38" t="inlineStr">
        <is>
          <t>1920x1080</t>
        </is>
      </c>
      <c r="N494" s="38" t="inlineStr">
        <is>
          <t>2x Thunderbolt 4 (USB-C), 1x USB-A 3.2, HDMI 2.1, microSD, 3.5mm audio</t>
        </is>
      </c>
      <c r="O494" s="38" t="inlineStr">
        <is>
          <t>Windows 11 Home</t>
        </is>
      </c>
      <c r="P494" s="38" t="n">
        <v>7</v>
      </c>
      <c r="Q494" s="41" t="n">
        <v>1712</v>
      </c>
      <c r="R494" s="38" t="inlineStr">
        <is>
          <t>Lighter than Dolos Pulse Max 15" Budget Laptop [DOL-045-01] (1,712 g vs 1,850 g); Longer battery than Thallo Drift X 15" Budget Laptop [THA-046-02] (7 vs 6 hrs)</t>
        </is>
      </c>
      <c r="S494" s="38" t="inlineStr">
        <is>
          <t>budget, everyday, school</t>
        </is>
      </c>
      <c r="T494" s="0" t="inlineStr">
        <is>
          <t>in_stock</t>
        </is>
      </c>
      <c r="U494" s="0" t="n">
        <v>30</v>
      </c>
      <c r="V494" s="52" t="n">
        <v>606.99</v>
      </c>
      <c r="W494" s="0" t="inlineStr">
        <is>
          <t>2026-08-18</t>
        </is>
      </c>
      <c r="X494" s="0" t="n">
        <v>16</v>
      </c>
      <c r="Y494" s="0" t="n">
        <v>512</v>
      </c>
      <c r="Z494" s="0" t="n">
        <v>15.6</v>
      </c>
      <c r="AA494" s="0" t="inlineStr">
        <is>
          <t>No</t>
        </is>
      </c>
    </row>
    <row r="495" ht="15.75" customHeight="1" s="51">
      <c r="A495" s="38" t="inlineStr">
        <is>
          <t>THA-049-03</t>
        </is>
      </c>
      <c r="B495" s="38" t="inlineStr">
        <is>
          <t>Thanatos</t>
        </is>
      </c>
      <c r="C495" s="38" t="inlineStr">
        <is>
          <t>Laptops</t>
        </is>
      </c>
      <c r="D495" s="38" t="inlineStr">
        <is>
          <t>Laptop</t>
        </is>
      </c>
      <c r="E495" s="39" t="inlineStr">
        <is>
          <t>Thanatos Pulse Lite Chromebook</t>
        </is>
      </c>
      <c r="F495" s="40" t="n">
        <v>685.99</v>
      </c>
      <c r="G495" s="38" t="inlineStr">
        <is>
          <t>the Pulse Lite; Thanatos Pulse Lite; Thanaots Pulse Lite; Pulse Lite laptop</t>
        </is>
      </c>
      <c r="H495" s="38" t="inlineStr">
        <is>
          <t>2 year limited</t>
        </is>
      </c>
      <c r="I495" s="38" t="inlineStr">
        <is>
          <t>FCC, CE, UL 62368-1, EPEAT Bronze</t>
        </is>
      </c>
      <c r="J495" s="38" t="inlineStr">
        <is>
          <t>Intel Core i3-N305</t>
        </is>
      </c>
      <c r="K495" s="38" t="inlineStr">
        <is>
          <t>Intel UHD Graphics</t>
        </is>
      </c>
      <c r="L495" s="38" t="inlineStr">
        <is>
          <t>IPS, 60Hz</t>
        </is>
      </c>
      <c r="M495" s="38" t="inlineStr">
        <is>
          <t>1920x1080</t>
        </is>
      </c>
      <c r="N495" s="38" t="inlineStr">
        <is>
          <t>2x USB-C 3.2, 1x USB-A 3.2, HDMI 1.4, 3.5mm audio</t>
        </is>
      </c>
      <c r="O495" s="38" t="inlineStr">
        <is>
          <t>ChromeOS</t>
        </is>
      </c>
      <c r="P495" s="38" t="n">
        <v>13</v>
      </c>
      <c r="Q495" s="41" t="n">
        <v>1294</v>
      </c>
      <c r="R495" s="38" t="inlineStr">
        <is>
          <t>Lighter than Dolos Rift Ultra Chromebook [DOL-045-02] (1,294 g vs 1,482 g); Longer battery than Thallo Vertex Lite Chromebook [THA-046-03] (13 vs 10 hrs)</t>
        </is>
      </c>
      <c r="S495" s="38" t="inlineStr">
        <is>
          <t>school, kids, budget</t>
        </is>
      </c>
      <c r="T495" s="0" t="inlineStr">
        <is>
          <t>out_of_stock</t>
        </is>
      </c>
      <c r="U495" s="0" t="n">
        <v>30</v>
      </c>
      <c r="V495" s="52" t="n">
        <v>728.99</v>
      </c>
      <c r="W495" s="0" t="inlineStr">
        <is>
          <t>2026-08-02</t>
        </is>
      </c>
      <c r="X495" s="0" t="n">
        <v>8</v>
      </c>
      <c r="Y495" s="0" t="n">
        <v>128</v>
      </c>
      <c r="Z495" s="0" t="n">
        <v>11.6</v>
      </c>
      <c r="AA495" s="0" t="inlineStr">
        <is>
          <t>No</t>
        </is>
      </c>
    </row>
    <row r="496" ht="15.75" customHeight="1" s="51">
      <c r="A496" s="38" t="inlineStr">
        <is>
          <t>THA-049-04</t>
        </is>
      </c>
      <c r="B496" s="38" t="inlineStr">
        <is>
          <t>Thanatos</t>
        </is>
      </c>
      <c r="C496" s="38" t="inlineStr">
        <is>
          <t>Laptops</t>
        </is>
      </c>
      <c r="D496" s="38" t="inlineStr">
        <is>
          <t>Laptop</t>
        </is>
      </c>
      <c r="E496" s="39" t="inlineStr">
        <is>
          <t>Thanatos Axis Ultra 15" Ultrabook</t>
        </is>
      </c>
      <c r="F496" s="40" t="n">
        <v>1339.99</v>
      </c>
      <c r="G496" s="38" t="inlineStr">
        <is>
          <t>the Axis Ultra; Thanatos Axis Ultra; Thanattos Axis Ultra; Axis Ultra laptop</t>
        </is>
      </c>
      <c r="H496" s="38" t="inlineStr">
        <is>
          <t>1 year limited</t>
        </is>
      </c>
      <c r="I496" s="38" t="inlineStr">
        <is>
          <t>FCC, CE, UL 62368-1, Energy Star, EPEAT Silver</t>
        </is>
      </c>
      <c r="J496" s="38" t="inlineStr">
        <is>
          <t>Intel Core Ultra 5 125U</t>
        </is>
      </c>
      <c r="K496" s="38" t="inlineStr">
        <is>
          <t>Intel Graphics</t>
        </is>
      </c>
      <c r="L496" s="38" t="inlineStr">
        <is>
          <t>IPS, 60Hz</t>
        </is>
      </c>
      <c r="M496" s="38" t="inlineStr">
        <is>
          <t>1920x1200</t>
        </is>
      </c>
      <c r="N496" s="38" t="inlineStr">
        <is>
          <t>2x Thunderbolt 4 (USB-C), 1x USB-A 3.2, HDMI 2.1, microSD, 3.5mm audio</t>
        </is>
      </c>
      <c r="O496" s="38" t="inlineStr">
        <is>
          <t>Windows 11 Home</t>
        </is>
      </c>
      <c r="P496" s="38" t="n">
        <v>17</v>
      </c>
      <c r="Q496" s="41" t="n">
        <v>1439</v>
      </c>
      <c r="R496" s="38" t="inlineStr">
        <is>
          <t>Lighter than Zephyrus Nova Pro 15" Ultrabook [ZEP-032-07] (1,439 g vs 1,553 g); Longer battery than Persephone Rift Plus 15" Ultrabook [PER-036-06] (17 vs 11 hrs)</t>
        </is>
      </c>
      <c r="S496" s="38" t="inlineStr">
        <is>
          <t>work, school, everyday</t>
        </is>
      </c>
      <c r="T496" s="0" t="inlineStr">
        <is>
          <t>in_stock</t>
        </is>
      </c>
      <c r="U496" s="0" t="n">
        <v>30</v>
      </c>
      <c r="V496" s="52" t="n">
        <v>1422.99</v>
      </c>
      <c r="W496" s="0" t="inlineStr">
        <is>
          <t>2026-08-19</t>
        </is>
      </c>
      <c r="X496" s="0" t="n">
        <v>16</v>
      </c>
      <c r="Y496" s="0" t="n">
        <v>1024</v>
      </c>
      <c r="Z496" s="0" t="n">
        <v>15.6</v>
      </c>
      <c r="AA496" s="0" t="inlineStr">
        <is>
          <t>No</t>
        </is>
      </c>
    </row>
    <row r="497" ht="15.75" customHeight="1" s="51">
      <c r="A497" s="38" t="inlineStr">
        <is>
          <t>THA-049-05</t>
        </is>
      </c>
      <c r="B497" s="38" t="inlineStr">
        <is>
          <t>Thanatos</t>
        </is>
      </c>
      <c r="C497" s="38" t="inlineStr">
        <is>
          <t>Laptops</t>
        </is>
      </c>
      <c r="D497" s="38" t="inlineStr">
        <is>
          <t>Laptop</t>
        </is>
      </c>
      <c r="E497" s="39" t="inlineStr">
        <is>
          <t>Thanatos Core 2-in-1 Convertible</t>
        </is>
      </c>
      <c r="F497" s="40" t="n">
        <v>1488.99</v>
      </c>
      <c r="G497" s="38" t="inlineStr">
        <is>
          <t>the Core; Thanatos Core; Thanatoos Core; Core laptop</t>
        </is>
      </c>
      <c r="H497" s="38" t="inlineStr">
        <is>
          <t>2 year limited</t>
        </is>
      </c>
      <c r="I497" s="38" t="inlineStr">
        <is>
          <t>FCC, CE, UL 62368-1, Energy Star, EPEAT Bronze</t>
        </is>
      </c>
      <c r="J497" s="38" t="inlineStr">
        <is>
          <t>AMD Ryzen 7 8845HS</t>
        </is>
      </c>
      <c r="K497" s="38" t="inlineStr">
        <is>
          <t>AMD Radeon 780M</t>
        </is>
      </c>
      <c r="L497" s="38" t="inlineStr">
        <is>
          <t>OLED touch, 60Hz</t>
        </is>
      </c>
      <c r="M497" s="38" t="inlineStr">
        <is>
          <t>2880x1800</t>
        </is>
      </c>
      <c r="N497" s="38" t="inlineStr">
        <is>
          <t>2x USB4 (USB-C), 2x USB-A 3.2, HDMI 2.1, SD card, 3.5mm audio</t>
        </is>
      </c>
      <c r="O497" s="38" t="inlineStr">
        <is>
          <t>Windows 11 Home</t>
        </is>
      </c>
      <c r="P497" s="38" t="n">
        <v>15</v>
      </c>
      <c r="Q497" s="41" t="n">
        <v>1529</v>
      </c>
      <c r="R497" s="38" t="inlineStr">
        <is>
          <t>Longer battery than Terpsichore Strata Max 2-in-1 Convertible [TER-039-04] (15 vs 11 hrs); Lighter than Hygieia Core 2-in-1 Convertible [HYG-048-03] (1,529 g vs 1,597 g)</t>
        </is>
      </c>
      <c r="S497" s="38" t="inlineStr">
        <is>
          <t>school, note-taking, travel</t>
        </is>
      </c>
      <c r="T497" s="0" t="inlineStr">
        <is>
          <t>in_stock</t>
        </is>
      </c>
      <c r="U497" s="0" t="n">
        <v>30</v>
      </c>
      <c r="V497" s="52" t="n">
        <v>1579.99</v>
      </c>
      <c r="W497" s="0" t="inlineStr">
        <is>
          <t>2026-09-09</t>
        </is>
      </c>
      <c r="X497" s="0" t="n">
        <v>16</v>
      </c>
      <c r="Y497" s="0" t="n">
        <v>1024</v>
      </c>
      <c r="Z497" s="0" t="n">
        <v>14</v>
      </c>
      <c r="AA497" s="0" t="inlineStr">
        <is>
          <t>Yes</t>
        </is>
      </c>
    </row>
    <row r="498" ht="15.75" customHeight="1" s="51">
      <c r="A498" s="38" t="inlineStr">
        <is>
          <t>THA-049-06</t>
        </is>
      </c>
      <c r="B498" s="38" t="inlineStr">
        <is>
          <t>Thanatos</t>
        </is>
      </c>
      <c r="C498" s="38" t="inlineStr">
        <is>
          <t>Laptops</t>
        </is>
      </c>
      <c r="D498" s="38" t="inlineStr">
        <is>
          <t>Laptop</t>
        </is>
      </c>
      <c r="E498" s="39" t="inlineStr">
        <is>
          <t>Thanatos Orbit Lite 13" Ultrabook</t>
        </is>
      </c>
      <c r="F498" s="40" t="n">
        <v>1542.99</v>
      </c>
      <c r="G498" s="38" t="inlineStr">
        <is>
          <t>the Orbit Lite; Thanatos Orbit Lite; Thanaots Orbit Lite; Orbit Lite laptop</t>
        </is>
      </c>
      <c r="H498" s="38" t="inlineStr">
        <is>
          <t>1 year limited</t>
        </is>
      </c>
      <c r="I498" s="38" t="inlineStr">
        <is>
          <t>FCC, CE, UL 62368-1, Energy Star, EPEAT Bronze</t>
        </is>
      </c>
      <c r="J498" s="38" t="inlineStr">
        <is>
          <t>Intel Core Ultra 7 155H</t>
        </is>
      </c>
      <c r="K498" s="38" t="inlineStr">
        <is>
          <t>Intel Arc Graphics</t>
        </is>
      </c>
      <c r="L498" s="38" t="inlineStr">
        <is>
          <t>OLED, 90Hz</t>
        </is>
      </c>
      <c r="M498" s="38" t="inlineStr">
        <is>
          <t>2880x1800</t>
        </is>
      </c>
      <c r="N498" s="38" t="inlineStr">
        <is>
          <t>2x Thunderbolt 4 (USB-C), 1x USB-A 3.2, HDMI 2.1, microSD, 3.5mm audio</t>
        </is>
      </c>
      <c r="O498" s="38" t="inlineStr">
        <is>
          <t>Windows 11 Home</t>
        </is>
      </c>
      <c r="P498" s="38" t="n">
        <v>12</v>
      </c>
      <c r="Q498" s="41" t="n">
        <v>1207</v>
      </c>
      <c r="R498" s="38" t="inlineStr">
        <is>
          <t>Lower price than Melpomene Pulse Lite 13" Ultrabook [MEL-026-05] ($1,542.99 vs $1,733.99); Lighter than Dolos Onyx Ultra 13" Ultrabook [DOL-045-05] (1,207 g vs 1,258 g)</t>
        </is>
      </c>
      <c r="S498" s="38" t="inlineStr">
        <is>
          <t>travel, school, work</t>
        </is>
      </c>
      <c r="T498" s="0" t="inlineStr">
        <is>
          <t>in_stock</t>
        </is>
      </c>
      <c r="U498" s="0" t="n">
        <v>30</v>
      </c>
      <c r="V498" s="52" t="n">
        <v>1687.99</v>
      </c>
      <c r="W498" s="0" t="inlineStr">
        <is>
          <t>2026-08-15</t>
        </is>
      </c>
      <c r="X498" s="0" t="n">
        <v>16</v>
      </c>
      <c r="Y498" s="0" t="n">
        <v>1024</v>
      </c>
      <c r="Z498" s="0" t="n">
        <v>13.3</v>
      </c>
      <c r="AA498" s="0" t="inlineStr">
        <is>
          <t>No</t>
        </is>
      </c>
    </row>
    <row r="499" ht="15.75" customHeight="1" s="51">
      <c r="A499" s="38" t="inlineStr">
        <is>
          <t>THA-049-07</t>
        </is>
      </c>
      <c r="B499" s="38" t="inlineStr">
        <is>
          <t>Thanatos</t>
        </is>
      </c>
      <c r="C499" s="38" t="inlineStr">
        <is>
          <t>Laptops</t>
        </is>
      </c>
      <c r="D499" s="38" t="inlineStr">
        <is>
          <t>Laptop</t>
        </is>
      </c>
      <c r="E499" s="39" t="inlineStr">
        <is>
          <t>Thanatos Aeon Dual-Screen Laptop</t>
        </is>
      </c>
      <c r="F499" s="40" t="n">
        <v>1917.99</v>
      </c>
      <c r="G499" s="38" t="inlineStr">
        <is>
          <t>the Aeon; Thanatos Aeon; Thanatoss Aeon; Aeon laptop</t>
        </is>
      </c>
      <c r="H499" s="38" t="inlineStr">
        <is>
          <t>1 year limited</t>
        </is>
      </c>
      <c r="I499" s="38" t="inlineStr">
        <is>
          <t>FCC, CE, UL 62368-1, Energy Star, EPEAT Bronze</t>
        </is>
      </c>
      <c r="J499" s="38" t="inlineStr">
        <is>
          <t>AMD Ryzen 5 8640HS</t>
        </is>
      </c>
      <c r="K499" s="38" t="inlineStr">
        <is>
          <t>AMD Radeon 760M</t>
        </is>
      </c>
      <c r="L499" s="38" t="inlineStr">
        <is>
          <t>Dual OLED touch, 120Hz</t>
        </is>
      </c>
      <c r="M499" s="38" t="inlineStr">
        <is>
          <t>2x 2880x1800</t>
        </is>
      </c>
      <c r="N499" s="38" t="inlineStr">
        <is>
          <t>2x USB-C 3.2, 1x USB-A 3.2, HDMI 1.4, 3.5mm audio</t>
        </is>
      </c>
      <c r="O499" s="38" t="inlineStr">
        <is>
          <t>Windows 11 Home</t>
        </is>
      </c>
      <c r="P499" s="38" t="n">
        <v>8</v>
      </c>
      <c r="Q499" s="41" t="n">
        <v>1761</v>
      </c>
      <c r="R499" s="38" t="inlineStr">
        <is>
          <t>Lower price than Aristaeus Vibe Pro Dual-Screen Laptop [ARI-027-08] ($1,917.99 vs $2,080.99); Lighter than Auxo Arc Air Dual-Screen Laptop [AUX-038-09] (1,761 g vs 1,830 g)</t>
        </is>
      </c>
      <c r="S499" s="38" t="inlineStr">
        <is>
          <t>multitasking, productivity, content creation</t>
        </is>
      </c>
      <c r="T499" s="0" t="inlineStr">
        <is>
          <t>in_stock</t>
        </is>
      </c>
      <c r="U499" s="0" t="n">
        <v>30</v>
      </c>
      <c r="V499" s="52" t="n">
        <v>2201.99</v>
      </c>
      <c r="W499" s="0" t="inlineStr">
        <is>
          <t>2026-08-25</t>
        </is>
      </c>
      <c r="X499" s="0" t="n">
        <v>16</v>
      </c>
      <c r="Y499" s="0" t="n">
        <v>1024</v>
      </c>
      <c r="Z499" s="0" t="n">
        <v>14</v>
      </c>
      <c r="AA499" s="0" t="inlineStr">
        <is>
          <t>Yes</t>
        </is>
      </c>
    </row>
    <row r="500" ht="15.75" customHeight="1" s="51">
      <c r="A500" s="38" t="inlineStr">
        <is>
          <t>THA-049-08</t>
        </is>
      </c>
      <c r="B500" s="38" t="inlineStr">
        <is>
          <t>Thanatos</t>
        </is>
      </c>
      <c r="C500" s="38" t="inlineStr">
        <is>
          <t>Laptops</t>
        </is>
      </c>
      <c r="D500" s="38" t="inlineStr">
        <is>
          <t>Laptop</t>
        </is>
      </c>
      <c r="E500" s="39" t="inlineStr">
        <is>
          <t>Thanatos Strata Plus 15" Gaming Laptop</t>
        </is>
      </c>
      <c r="F500" s="40" t="n">
        <v>2486.99</v>
      </c>
      <c r="G500" s="38" t="inlineStr">
        <is>
          <t>the Strata Plus; Thanatos Strata Plus; Tanatos Strata Plus; Strata Plus laptop</t>
        </is>
      </c>
      <c r="H500" s="38" t="inlineStr">
        <is>
          <t>2 year limited</t>
        </is>
      </c>
      <c r="I500" s="38" t="inlineStr">
        <is>
          <t>FCC, CE, UL 62368-1, Energy Star, EPEAT Silver</t>
        </is>
      </c>
      <c r="J500" s="38" t="inlineStr">
        <is>
          <t>Intel Core i9-14900HX</t>
        </is>
      </c>
      <c r="K500" s="38" t="inlineStr">
        <is>
          <t>NVIDIA GeForce RTX 4070 8GB Laptop GPU</t>
        </is>
      </c>
      <c r="L500" s="38" t="inlineStr">
        <is>
          <t>IPS, 240Hz</t>
        </is>
      </c>
      <c r="M500" s="38" t="inlineStr">
        <is>
          <t>2560x1600</t>
        </is>
      </c>
      <c r="N500" s="38" t="inlineStr">
        <is>
          <t>1x Thunderbolt 4, 3x USB-A 3.2, HDMI 2.1, RJ-45 Ethernet, 3.5mm audio</t>
        </is>
      </c>
      <c r="O500" s="38" t="inlineStr">
        <is>
          <t>Windows 11 Home</t>
        </is>
      </c>
      <c r="P500" s="38" t="n">
        <v>5</v>
      </c>
      <c r="Q500" s="41" t="n">
        <v>2115</v>
      </c>
      <c r="R500" s="38" t="inlineStr">
        <is>
          <t>Longer battery than Selene Strata Pro 15" Gaming Laptop [SEL-034-08] (5 vs 4 hrs); Lighter than Boreas Titan 15" Gaming Laptop [BOR-044-05] (2,115 g vs 2,242 g)</t>
        </is>
      </c>
      <c r="S500" s="38" t="inlineStr">
        <is>
          <t>gaming, streaming</t>
        </is>
      </c>
      <c r="T500" s="0" t="inlineStr">
        <is>
          <t>in_stock</t>
        </is>
      </c>
      <c r="U500" s="0" t="n">
        <v>30</v>
      </c>
      <c r="V500" s="52" t="n">
        <v>2776.99</v>
      </c>
      <c r="W500" s="0" t="inlineStr">
        <is>
          <t>2026-08-29</t>
        </is>
      </c>
      <c r="X500" s="0" t="n">
        <v>32</v>
      </c>
      <c r="Y500" s="0" t="n">
        <v>2048</v>
      </c>
      <c r="Z500" s="0" t="n">
        <v>15.6</v>
      </c>
      <c r="AA500" s="0" t="inlineStr">
        <is>
          <t>No</t>
        </is>
      </c>
    </row>
    <row r="501" ht="15.75" customHeight="1" s="51">
      <c r="A501" s="38" t="inlineStr">
        <is>
          <t>THA-049-09</t>
        </is>
      </c>
      <c r="B501" s="38" t="inlineStr">
        <is>
          <t>Thanatos</t>
        </is>
      </c>
      <c r="C501" s="38" t="inlineStr">
        <is>
          <t>Laptops</t>
        </is>
      </c>
      <c r="D501" s="38" t="inlineStr">
        <is>
          <t>Laptop</t>
        </is>
      </c>
      <c r="E501" s="39" t="inlineStr">
        <is>
          <t>Thanatos Echo Lite 16" Creator Laptop</t>
        </is>
      </c>
      <c r="F501" s="40" t="n">
        <v>3192.99</v>
      </c>
      <c r="G501" s="38" t="inlineStr">
        <is>
          <t>the Echo Lite; Thanatos Echo Lite; Thanattos Echo Lite; Echo Lite laptop</t>
        </is>
      </c>
      <c r="H501" s="38" t="inlineStr">
        <is>
          <t>2 year limited</t>
        </is>
      </c>
      <c r="I501" s="38" t="inlineStr">
        <is>
          <t>FCC, CE, UL 62368-1, EPEAT Silver</t>
        </is>
      </c>
      <c r="J501" s="38" t="inlineStr">
        <is>
          <t>Intel Core Ultra 7 155H</t>
        </is>
      </c>
      <c r="K501" s="38" t="inlineStr">
        <is>
          <t>NVIDIA GeForce RTX 4080 12GB Laptop GPU</t>
        </is>
      </c>
      <c r="L501" s="38" t="inlineStr">
        <is>
          <t>Mini-LED, 165Hz</t>
        </is>
      </c>
      <c r="M501" s="38" t="inlineStr">
        <is>
          <t>3840x2400</t>
        </is>
      </c>
      <c r="N501" s="38" t="inlineStr">
        <is>
          <t>2x Thunderbolt 4 (USB-C), 1x USB-A 3.2, HDMI 2.1, microSD, 3.5mm audio</t>
        </is>
      </c>
      <c r="O501" s="38" t="inlineStr">
        <is>
          <t>Windows 11 Home</t>
        </is>
      </c>
      <c r="P501" s="38" t="n">
        <v>6</v>
      </c>
      <c r="Q501" s="41" t="n">
        <v>1856</v>
      </c>
      <c r="R501" s="38" t="inlineStr">
        <is>
          <t>Lower price than Rhea Axis Ultra 16" Creator Laptop [RHE-047-09] ($3,192.99 vs $3,301.99); Lighter than Chronos Arc 16" Creator Laptop [CHR-050-08] (1,856 g vs 1,912 g)</t>
        </is>
      </c>
      <c r="S501" s="38" t="inlineStr">
        <is>
          <t>video editing, photo editing, content creation</t>
        </is>
      </c>
      <c r="T501" s="0" t="inlineStr">
        <is>
          <t>in_stock</t>
        </is>
      </c>
      <c r="U501" s="0" t="n">
        <v>30</v>
      </c>
      <c r="V501" s="52" t="n">
        <v>3505.99</v>
      </c>
      <c r="W501" s="0" t="inlineStr">
        <is>
          <t>2026-08-24</t>
        </is>
      </c>
      <c r="X501" s="0" t="n">
        <v>64</v>
      </c>
      <c r="Y501" s="0" t="n">
        <v>2048</v>
      </c>
      <c r="Z501" s="0" t="n">
        <v>16</v>
      </c>
      <c r="AA501" s="0" t="inlineStr">
        <is>
          <t>No</t>
        </is>
      </c>
    </row>
    <row r="502" ht="15.75" customHeight="1" s="51">
      <c r="A502" s="38" t="inlineStr">
        <is>
          <t>THA-049-10</t>
        </is>
      </c>
      <c r="B502" s="38" t="inlineStr">
        <is>
          <t>Thanatos</t>
        </is>
      </c>
      <c r="C502" s="38" t="inlineStr">
        <is>
          <t>Laptops</t>
        </is>
      </c>
      <c r="D502" s="38" t="inlineStr">
        <is>
          <t>Laptop</t>
        </is>
      </c>
      <c r="E502" s="39" t="inlineStr">
        <is>
          <t>Thanatos Crest SE Mobile Workstation</t>
        </is>
      </c>
      <c r="F502" s="40" t="n">
        <v>3624.99</v>
      </c>
      <c r="G502" s="38" t="inlineStr">
        <is>
          <t>the Crest SE; Thanatos Crest SE; Thanattos Crest SE; Crest SE laptop</t>
        </is>
      </c>
      <c r="H502" s="38" t="inlineStr">
        <is>
          <t>3 year limited, on-site service</t>
        </is>
      </c>
      <c r="I502" s="38" t="inlineStr">
        <is>
          <t>FCC, CE, UL 62368-1, EPEAT Gold, TCO Certified, MIL-STD-810H</t>
        </is>
      </c>
      <c r="J502" s="38" t="inlineStr">
        <is>
          <t>Intel Core Ultra 7 155H</t>
        </is>
      </c>
      <c r="K502" s="38" t="inlineStr">
        <is>
          <t>NVIDIA RTX 3500 Ada 12GB Laptop GPU</t>
        </is>
      </c>
      <c r="L502" s="38" t="inlineStr">
        <is>
          <t>OLED, 120Hz</t>
        </is>
      </c>
      <c r="M502" s="38" t="inlineStr">
        <is>
          <t>3840x2400</t>
        </is>
      </c>
      <c r="N502" s="38" t="inlineStr">
        <is>
          <t>2x Thunderbolt 4 (USB-C), 1x USB-A 3.2, HDMI 2.1, microSD, 3.5mm audio</t>
        </is>
      </c>
      <c r="O502" s="38" t="inlineStr">
        <is>
          <t>Windows 11 Pro</t>
        </is>
      </c>
      <c r="P502" s="38" t="n">
        <v>8</v>
      </c>
      <c r="Q502" s="41" t="n">
        <v>2533</v>
      </c>
      <c r="R502" s="38" t="inlineStr">
        <is>
          <t>Longer battery than Aeolus Drift Mobile Workstation [AEO-031-10] (8 vs 6 hrs); Lower price than Metis Core Lite Mobile Workstation [MET-029-10] ($3,624.99 vs $4,341.99)</t>
        </is>
      </c>
      <c r="S502" s="38" t="inlineStr">
        <is>
          <t>engineering, 3D rendering, data science</t>
        </is>
      </c>
      <c r="T502" s="0" t="inlineStr">
        <is>
          <t>out_of_stock</t>
        </is>
      </c>
      <c r="U502" s="0" t="n">
        <v>30</v>
      </c>
      <c r="V502" s="52" t="n">
        <v>3862.99</v>
      </c>
      <c r="W502" s="0" t="inlineStr">
        <is>
          <t>2026-08-25</t>
        </is>
      </c>
      <c r="X502" s="0" t="n">
        <v>64</v>
      </c>
      <c r="Y502" s="0" t="n">
        <v>4096</v>
      </c>
      <c r="Z502" s="0" t="n">
        <v>16</v>
      </c>
      <c r="AA502" s="0" t="inlineStr">
        <is>
          <t>No</t>
        </is>
      </c>
    </row>
    <row r="503" ht="15.75" customHeight="1" s="51">
      <c r="A503" s="38" t="inlineStr">
        <is>
          <t>CHR-050-01</t>
        </is>
      </c>
      <c r="B503" s="38" t="inlineStr">
        <is>
          <t>Chronos</t>
        </is>
      </c>
      <c r="C503" s="38" t="inlineStr">
        <is>
          <t>Laptops</t>
        </is>
      </c>
      <c r="D503" s="38" t="inlineStr">
        <is>
          <t>Laptop</t>
        </is>
      </c>
      <c r="E503" s="39" t="inlineStr">
        <is>
          <t>Chronos Nimbus Plus Chromebook</t>
        </is>
      </c>
      <c r="F503" s="40" t="n">
        <v>385.99</v>
      </c>
      <c r="G503" s="38" t="inlineStr">
        <is>
          <t>the Nimbus Plus; Chronos Nimbus Plus; Chhronos Nimbus Plus; Nimbus Plus laptop</t>
        </is>
      </c>
      <c r="H503" s="38" t="inlineStr">
        <is>
          <t>1 year limited</t>
        </is>
      </c>
      <c r="I503" s="38" t="inlineStr">
        <is>
          <t>FCC, CE, UL 62368-1, Energy Star, EPEAT Bronze</t>
        </is>
      </c>
      <c r="J503" s="38" t="inlineStr">
        <is>
          <t>MediaTek Kompanio 520</t>
        </is>
      </c>
      <c r="K503" s="38" t="inlineStr">
        <is>
          <t>Arm Mali-G52 MC2</t>
        </is>
      </c>
      <c r="L503" s="38" t="inlineStr">
        <is>
          <t>IPS, 60Hz</t>
        </is>
      </c>
      <c r="M503" s="38" t="inlineStr">
        <is>
          <t>1366x768</t>
        </is>
      </c>
      <c r="N503" s="38" t="inlineStr">
        <is>
          <t>2x USB-C 3.2, 1x USB-A 3.2, HDMI 1.4, 3.5mm audio</t>
        </is>
      </c>
      <c r="O503" s="38" t="inlineStr">
        <is>
          <t>ChromeOS</t>
        </is>
      </c>
      <c r="P503" s="38" t="n">
        <v>9</v>
      </c>
      <c r="Q503" s="41" t="n">
        <v>1434</v>
      </c>
      <c r="R503" s="38" t="inlineStr">
        <is>
          <t>Lower price than Atropos Blaze Plus Chromebook [ATR-035-02] ($385.99 vs $579.99); Lighter than Dolos Rift Ultra Chromebook [DOL-045-02] (1,434 g vs 1,482 g)</t>
        </is>
      </c>
      <c r="S503" s="38" t="inlineStr">
        <is>
          <t>school, kids, budget</t>
        </is>
      </c>
      <c r="T503" s="0" t="inlineStr">
        <is>
          <t>in_stock</t>
        </is>
      </c>
      <c r="U503" s="0" t="n">
        <v>30</v>
      </c>
      <c r="V503" s="52" t="n">
        <v>405.99</v>
      </c>
      <c r="W503" s="0" t="inlineStr">
        <is>
          <t>2026-08-23</t>
        </is>
      </c>
      <c r="X503" s="0" t="n">
        <v>8</v>
      </c>
      <c r="Y503" s="0" t="n">
        <v>128</v>
      </c>
      <c r="Z503" s="0" t="n">
        <v>14</v>
      </c>
      <c r="AA503" s="0" t="inlineStr">
        <is>
          <t>No</t>
        </is>
      </c>
    </row>
    <row r="504" ht="15.75" customHeight="1" s="51">
      <c r="A504" s="38" t="inlineStr">
        <is>
          <t>CHR-050-02</t>
        </is>
      </c>
      <c r="B504" s="38" t="inlineStr">
        <is>
          <t>Chronos</t>
        </is>
      </c>
      <c r="C504" s="38" t="inlineStr">
        <is>
          <t>Laptops</t>
        </is>
      </c>
      <c r="D504" s="38" t="inlineStr">
        <is>
          <t>Laptop</t>
        </is>
      </c>
      <c r="E504" s="39" t="inlineStr">
        <is>
          <t>Chronos Core Max 13" Ultrabook</t>
        </is>
      </c>
      <c r="F504" s="40" t="n">
        <v>1039.99</v>
      </c>
      <c r="G504" s="38" t="inlineStr">
        <is>
          <t>the Core Max; Chronos Core Max; Chroons Core Max; Core Max laptop</t>
        </is>
      </c>
      <c r="H504" s="38" t="inlineStr">
        <is>
          <t>1 year limited</t>
        </is>
      </c>
      <c r="I504" s="38" t="inlineStr">
        <is>
          <t>FCC, CE, UL 62368-1, Energy Star, EPEAT Bronze</t>
        </is>
      </c>
      <c r="J504" s="38" t="inlineStr">
        <is>
          <t>Intel Core Ultra 5 125U</t>
        </is>
      </c>
      <c r="K504" s="38" t="inlineStr">
        <is>
          <t>Intel Graphics</t>
        </is>
      </c>
      <c r="L504" s="38" t="inlineStr">
        <is>
          <t>IPS, 60Hz</t>
        </is>
      </c>
      <c r="M504" s="38" t="inlineStr">
        <is>
          <t>1920x1200</t>
        </is>
      </c>
      <c r="N504" s="38" t="inlineStr">
        <is>
          <t>2x Thunderbolt 4 (USB-C), 1x USB-A 3.2, HDMI 2.1, microSD, 3.5mm audio</t>
        </is>
      </c>
      <c r="O504" s="38" t="inlineStr">
        <is>
          <t>Windows 11 Home</t>
        </is>
      </c>
      <c r="P504" s="38" t="n">
        <v>17</v>
      </c>
      <c r="Q504" s="41" t="n">
        <v>1240</v>
      </c>
      <c r="R504" s="38" t="inlineStr">
        <is>
          <t>Lower price than Heracles Orbit Max 13" Ultrabook [HER-037-06] ($1,039.99 vs $1,794.99); Longer battery than Rhea Sable Lite 13" Ultrabook [RHE-047-05] (17 vs 14 hrs)</t>
        </is>
      </c>
      <c r="S504" s="38" t="inlineStr">
        <is>
          <t>travel, school, work</t>
        </is>
      </c>
      <c r="T504" s="0" t="inlineStr">
        <is>
          <t>in_stock</t>
        </is>
      </c>
      <c r="U504" s="0" t="n">
        <v>30</v>
      </c>
      <c r="V504" s="52" t="n">
        <v>1177.99</v>
      </c>
      <c r="W504" s="0" t="inlineStr">
        <is>
          <t>2026-09-08</t>
        </is>
      </c>
      <c r="X504" s="0" t="n">
        <v>16</v>
      </c>
      <c r="Y504" s="0" t="n">
        <v>1024</v>
      </c>
      <c r="Z504" s="0" t="n">
        <v>13.3</v>
      </c>
      <c r="AA504" s="0" t="inlineStr">
        <is>
          <t>No</t>
        </is>
      </c>
    </row>
    <row r="505" ht="15.75" customHeight="1" s="51">
      <c r="A505" s="38" t="inlineStr">
        <is>
          <t>CHR-050-03</t>
        </is>
      </c>
      <c r="B505" s="38" t="inlineStr">
        <is>
          <t>Chronos</t>
        </is>
      </c>
      <c r="C505" s="38" t="inlineStr">
        <is>
          <t>Laptops</t>
        </is>
      </c>
      <c r="D505" s="38" t="inlineStr">
        <is>
          <t>Laptop</t>
        </is>
      </c>
      <c r="E505" s="39" t="inlineStr">
        <is>
          <t>Chronos Orbit SE 2-in-1 Convertible</t>
        </is>
      </c>
      <c r="F505" s="40" t="n">
        <v>1620.99</v>
      </c>
      <c r="G505" s="38" t="inlineStr">
        <is>
          <t>the Orbit SE; Chronos Orbit SE; Chronnos Orbit SE; Orbit SE laptop</t>
        </is>
      </c>
      <c r="H505" s="38" t="inlineStr">
        <is>
          <t>2 year limited</t>
        </is>
      </c>
      <c r="I505" s="38" t="inlineStr">
        <is>
          <t>FCC, CE, UL 62368-1, Energy Star, EPEAT Bronze</t>
        </is>
      </c>
      <c r="J505" s="38" t="inlineStr">
        <is>
          <t>Intel Core Ultra 7 155H</t>
        </is>
      </c>
      <c r="K505" s="38" t="inlineStr">
        <is>
          <t>Intel Arc Graphics</t>
        </is>
      </c>
      <c r="L505" s="38" t="inlineStr">
        <is>
          <t>OLED touch, 60Hz</t>
        </is>
      </c>
      <c r="M505" s="38" t="inlineStr">
        <is>
          <t>2880x1800</t>
        </is>
      </c>
      <c r="N505" s="38" t="inlineStr">
        <is>
          <t>2x Thunderbolt 4 (USB-C), 1x USB-A 3.2, HDMI 2.1, microSD, 3.5mm audio</t>
        </is>
      </c>
      <c r="O505" s="38" t="inlineStr">
        <is>
          <t>Windows 11 Home</t>
        </is>
      </c>
      <c r="P505" s="38" t="n">
        <v>16</v>
      </c>
      <c r="Q505" s="41" t="n">
        <v>1290</v>
      </c>
      <c r="R505" s="38" t="inlineStr">
        <is>
          <t>Lower price than Momus Onyx Air 2-in-1 Convertible [MOM-043-06] ($1,620.99 vs $1,637.99); Lighter than Priapus Core X 2-in-1 Convertible [PRI-042-04] (1,290 g vs 1,402 g)</t>
        </is>
      </c>
      <c r="S505" s="38" t="inlineStr">
        <is>
          <t>school, note-taking, travel</t>
        </is>
      </c>
      <c r="T505" s="0" t="inlineStr">
        <is>
          <t>in_stock</t>
        </is>
      </c>
      <c r="U505" s="0" t="n">
        <v>30</v>
      </c>
      <c r="V505" s="52" t="n">
        <v>1808.99</v>
      </c>
      <c r="W505" s="0" t="inlineStr">
        <is>
          <t>2026-08-28</t>
        </is>
      </c>
      <c r="X505" s="0" t="n">
        <v>16</v>
      </c>
      <c r="Y505" s="0" t="n">
        <v>1024</v>
      </c>
      <c r="Z505" s="0" t="n">
        <v>13.3</v>
      </c>
      <c r="AA505" s="0" t="inlineStr">
        <is>
          <t>Yes</t>
        </is>
      </c>
    </row>
    <row r="506" ht="15.75" customHeight="1" s="51">
      <c r="A506" s="38" t="inlineStr">
        <is>
          <t>CHR-050-04</t>
        </is>
      </c>
      <c r="B506" s="38" t="inlineStr">
        <is>
          <t>Chronos</t>
        </is>
      </c>
      <c r="C506" s="38" t="inlineStr">
        <is>
          <t>Laptops</t>
        </is>
      </c>
      <c r="D506" s="38" t="inlineStr">
        <is>
          <t>Laptop</t>
        </is>
      </c>
      <c r="E506" s="39" t="inlineStr">
        <is>
          <t>Chronos Blaze Lite Mobile Workstation</t>
        </is>
      </c>
      <c r="F506" s="40" t="n">
        <v>1904.99</v>
      </c>
      <c r="G506" s="38" t="inlineStr">
        <is>
          <t>the Blaze Lite; Chronos Blaze Lite; Chrnoos Blaze Lite; Blaze Lite laptop</t>
        </is>
      </c>
      <c r="H506" s="38" t="inlineStr">
        <is>
          <t>3 year limited, on-site service</t>
        </is>
      </c>
      <c r="I506" s="38" t="inlineStr">
        <is>
          <t>FCC, CE, UL 62368-1, Energy Star, EPEAT Gold, TCO Certified, MIL-STD-810H</t>
        </is>
      </c>
      <c r="J506" s="38" t="inlineStr">
        <is>
          <t>AMD Ryzen 7 8845HS</t>
        </is>
      </c>
      <c r="K506" s="38" t="inlineStr">
        <is>
          <t>NVIDIA RTX 2000 Ada 8GB Laptop GPU</t>
        </is>
      </c>
      <c r="L506" s="38" t="inlineStr">
        <is>
          <t>IPS, 60Hz</t>
        </is>
      </c>
      <c r="M506" s="38" t="inlineStr">
        <is>
          <t>1920x1200</t>
        </is>
      </c>
      <c r="N506" s="38" t="inlineStr">
        <is>
          <t>2x USB-C 3.2, 1x USB-A 3.2, HDMI 1.4, 3.5mm audio</t>
        </is>
      </c>
      <c r="O506" s="38" t="inlineStr">
        <is>
          <t>Windows 11 Pro</t>
        </is>
      </c>
      <c r="P506" s="38" t="n">
        <v>7</v>
      </c>
      <c r="Q506" s="41" t="n">
        <v>2453</v>
      </c>
      <c r="R506" s="38" t="inlineStr">
        <is>
          <t>Lower price than Persephone Vibe Mobile Workstation [PER-036-08] ($1,904.99 vs $2,083.99); Lighter than Auxo Vertex Lite Mobile Workstation [AUX-038-10] (2,453 g vs 2,684 g)</t>
        </is>
      </c>
      <c r="S506" s="38" t="inlineStr">
        <is>
          <t>engineering, 3D rendering, data science</t>
        </is>
      </c>
      <c r="T506" s="0" t="inlineStr">
        <is>
          <t>low_stock</t>
        </is>
      </c>
      <c r="U506" s="0" t="n">
        <v>30</v>
      </c>
      <c r="V506" s="52" t="n">
        <v>1988.99</v>
      </c>
      <c r="W506" s="0" t="inlineStr">
        <is>
          <t>2026-08-22</t>
        </is>
      </c>
      <c r="X506" s="0" t="n">
        <v>32</v>
      </c>
      <c r="Y506" s="0" t="n">
        <v>1024</v>
      </c>
      <c r="Z506" s="0" t="n">
        <v>16</v>
      </c>
      <c r="AA506" s="0" t="inlineStr">
        <is>
          <t>No</t>
        </is>
      </c>
    </row>
    <row r="507" ht="15.75" customHeight="1" s="51">
      <c r="A507" s="38" t="inlineStr">
        <is>
          <t>CHR-050-05</t>
        </is>
      </c>
      <c r="B507" s="38" t="inlineStr">
        <is>
          <t>Chronos</t>
        </is>
      </c>
      <c r="C507" s="38" t="inlineStr">
        <is>
          <t>Laptops</t>
        </is>
      </c>
      <c r="D507" s="38" t="inlineStr">
        <is>
          <t>Laptop</t>
        </is>
      </c>
      <c r="E507" s="39" t="inlineStr">
        <is>
          <t>Chronos Volt Plus 15" Ultrabook</t>
        </is>
      </c>
      <c r="F507" s="40" t="n">
        <v>1919.99</v>
      </c>
      <c r="G507" s="38" t="inlineStr">
        <is>
          <t>the Volt Plus; Chronos Volt Plus; Crhonos Volt Plus; Volt Plus laptop</t>
        </is>
      </c>
      <c r="H507" s="38" t="inlineStr">
        <is>
          <t>2 year limited</t>
        </is>
      </c>
      <c r="I507" s="38" t="inlineStr">
        <is>
          <t>FCC, CE, UL 62368-1, EPEAT Silver</t>
        </is>
      </c>
      <c r="J507" s="38" t="inlineStr">
        <is>
          <t>Qualcomm Snapdragon X Elite X1E-78-100</t>
        </is>
      </c>
      <c r="K507" s="38" t="inlineStr">
        <is>
          <t>Qualcomm Adreno X1-85</t>
        </is>
      </c>
      <c r="L507" s="38" t="inlineStr">
        <is>
          <t>OLED, 120Hz</t>
        </is>
      </c>
      <c r="M507" s="38" t="inlineStr">
        <is>
          <t>2880x1800</t>
        </is>
      </c>
      <c r="N507" s="38" t="inlineStr">
        <is>
          <t>2x USB4 (USB-C), 1x USB-A 3.2, 3.5mm audio</t>
        </is>
      </c>
      <c r="O507" s="38" t="inlineStr">
        <is>
          <t>Windows 11 Home</t>
        </is>
      </c>
      <c r="P507" s="38" t="n">
        <v>14</v>
      </c>
      <c r="Q507" s="41" t="n">
        <v>1441</v>
      </c>
      <c r="R507" s="38" t="inlineStr">
        <is>
          <t>Longer battery than Persephone Rift Plus 15" Ultrabook [PER-036-06] (14 vs 11 hrs); Lower price than Calliope Aeon X 15" Ultrabook [CAL-040-06] ($1,919.99 vs $2,184.99)</t>
        </is>
      </c>
      <c r="S507" s="38" t="inlineStr">
        <is>
          <t>work, school, everyday</t>
        </is>
      </c>
      <c r="T507" s="0" t="inlineStr">
        <is>
          <t>in_stock</t>
        </is>
      </c>
      <c r="U507" s="0" t="n">
        <v>30</v>
      </c>
      <c r="V507" s="52" t="n">
        <v>1994.99</v>
      </c>
      <c r="W507" s="0" t="inlineStr">
        <is>
          <t>2026-09-16</t>
        </is>
      </c>
      <c r="X507" s="0" t="n">
        <v>16</v>
      </c>
      <c r="Y507" s="0" t="n">
        <v>1024</v>
      </c>
      <c r="Z507" s="0" t="n">
        <v>15.6</v>
      </c>
      <c r="AA507" s="0" t="inlineStr">
        <is>
          <t>No</t>
        </is>
      </c>
    </row>
    <row r="508" ht="15.75" customHeight="1" s="51">
      <c r="A508" s="38" t="inlineStr">
        <is>
          <t>CHR-050-06</t>
        </is>
      </c>
      <c r="B508" s="38" t="inlineStr">
        <is>
          <t>Chronos</t>
        </is>
      </c>
      <c r="C508" s="38" t="inlineStr">
        <is>
          <t>Laptops</t>
        </is>
      </c>
      <c r="D508" s="38" t="inlineStr">
        <is>
          <t>Laptop</t>
        </is>
      </c>
      <c r="E508" s="39" t="inlineStr">
        <is>
          <t>Chronos Aeon Pro 14" Business Laptop</t>
        </is>
      </c>
      <c r="F508" s="40" t="n">
        <v>2189.99</v>
      </c>
      <c r="G508" s="38" t="inlineStr">
        <is>
          <t>the Aeon Pro; Chronos Aeon Pro; Chhronos Aeon Pro; Aeon Pro laptop</t>
        </is>
      </c>
      <c r="H508" s="38" t="inlineStr">
        <is>
          <t>3 year limited, on-site service</t>
        </is>
      </c>
      <c r="I508" s="38" t="inlineStr">
        <is>
          <t>FCC, CE, UL 62368-1, Energy Star, EPEAT Gold, TCO Certified, MIL-STD-810H</t>
        </is>
      </c>
      <c r="J508" s="38" t="inlineStr">
        <is>
          <t>Intel Core Ultra 7 155H</t>
        </is>
      </c>
      <c r="K508" s="38" t="inlineStr">
        <is>
          <t>Intel Arc Graphics</t>
        </is>
      </c>
      <c r="L508" s="38" t="inlineStr">
        <is>
          <t>OLED, 60Hz</t>
        </is>
      </c>
      <c r="M508" s="38" t="inlineStr">
        <is>
          <t>2880x1800</t>
        </is>
      </c>
      <c r="N508" s="38" t="inlineStr">
        <is>
          <t>2x Thunderbolt 4 (USB-C), 1x USB-A 3.2, HDMI 2.1, microSD, 3.5mm audio</t>
        </is>
      </c>
      <c r="O508" s="38" t="inlineStr">
        <is>
          <t>Windows 11 Pro</t>
        </is>
      </c>
      <c r="P508" s="38" t="n">
        <v>15</v>
      </c>
      <c r="Q508" s="41" t="n">
        <v>1313</v>
      </c>
      <c r="R508" s="38" t="inlineStr">
        <is>
          <t>Longer battery than Atropos Volt SE 14" Business Laptop [ATR-035-06] (15 vs 12 hrs); Lighter than Selene Crest Air 14" Business Laptop [SEL-034-05] (1,313 g vs 1,448 g)</t>
        </is>
      </c>
      <c r="S508" s="38" t="inlineStr">
        <is>
          <t>work, travel, remote meetings</t>
        </is>
      </c>
      <c r="T508" s="0" t="inlineStr">
        <is>
          <t>in_stock</t>
        </is>
      </c>
      <c r="U508" s="0" t="n">
        <v>30</v>
      </c>
      <c r="V508" s="52" t="n">
        <v>2394.99</v>
      </c>
      <c r="W508" s="0" t="inlineStr">
        <is>
          <t>2026-09-21</t>
        </is>
      </c>
      <c r="X508" s="0" t="n">
        <v>32</v>
      </c>
      <c r="Y508" s="0" t="n">
        <v>2048</v>
      </c>
      <c r="Z508" s="0" t="n">
        <v>14</v>
      </c>
      <c r="AA508" s="0" t="inlineStr">
        <is>
          <t>No</t>
        </is>
      </c>
    </row>
    <row r="509" ht="15.75" customHeight="1" s="51">
      <c r="A509" s="38" t="inlineStr">
        <is>
          <t>CHR-050-07</t>
        </is>
      </c>
      <c r="B509" s="38" t="inlineStr">
        <is>
          <t>Chronos</t>
        </is>
      </c>
      <c r="C509" s="38" t="inlineStr">
        <is>
          <t>Laptops</t>
        </is>
      </c>
      <c r="D509" s="38" t="inlineStr">
        <is>
          <t>Laptop</t>
        </is>
      </c>
      <c r="E509" s="39" t="inlineStr">
        <is>
          <t>Chronos Prism Ultra Dual-Screen Laptop</t>
        </is>
      </c>
      <c r="F509" s="40" t="n">
        <v>2451.99</v>
      </c>
      <c r="G509" s="38" t="inlineStr">
        <is>
          <t>the Prism Ultra; Chronos Prism Ultra; Crhonos Prism Ultra; Prism Ultra laptop</t>
        </is>
      </c>
      <c r="H509" s="38" t="inlineStr">
        <is>
          <t>1 year limited</t>
        </is>
      </c>
      <c r="I509" s="38" t="inlineStr">
        <is>
          <t>FCC, CE, UL 62368-1, Energy Star, EPEAT Bronze</t>
        </is>
      </c>
      <c r="J509" s="38" t="inlineStr">
        <is>
          <t>AMD Ryzen 7 8845HS</t>
        </is>
      </c>
      <c r="K509" s="38" t="inlineStr">
        <is>
          <t>AMD Radeon 780M</t>
        </is>
      </c>
      <c r="L509" s="38" t="inlineStr">
        <is>
          <t>Dual OLED touch, 120Hz</t>
        </is>
      </c>
      <c r="M509" s="38" t="inlineStr">
        <is>
          <t>2x 2880x1800</t>
        </is>
      </c>
      <c r="N509" s="38" t="inlineStr">
        <is>
          <t>2x USB4 (USB-C), 2x USB-A 3.2, HDMI 2.1, SD card, 3.5mm audio</t>
        </is>
      </c>
      <c r="O509" s="38" t="inlineStr">
        <is>
          <t>Windows 11 Home</t>
        </is>
      </c>
      <c r="P509" s="38" t="n">
        <v>11</v>
      </c>
      <c r="Q509" s="41" t="n">
        <v>1520</v>
      </c>
      <c r="R509" s="38" t="inlineStr">
        <is>
          <t>Longer battery than Metis Sable Ultra Dual-Screen Laptop [MET-029-05] (11 vs 9 hrs); Lighter than Calliope Aeon Dual-Screen Laptop [CAL-040-05] (1,520 g vs 1,851 g)</t>
        </is>
      </c>
      <c r="S509" s="38" t="inlineStr">
        <is>
          <t>multitasking, productivity, content creation</t>
        </is>
      </c>
      <c r="T509" s="0" t="inlineStr">
        <is>
          <t>in_stock</t>
        </is>
      </c>
      <c r="U509" s="0" t="n">
        <v>30</v>
      </c>
      <c r="V509" s="52" t="n">
        <v>2797.99</v>
      </c>
      <c r="W509" s="0" t="inlineStr">
        <is>
          <t>2026-08-27</t>
        </is>
      </c>
      <c r="X509" s="0" t="n">
        <v>32</v>
      </c>
      <c r="Y509" s="0" t="n">
        <v>2048</v>
      </c>
      <c r="Z509" s="0" t="n">
        <v>14</v>
      </c>
      <c r="AA509" s="0" t="inlineStr">
        <is>
          <t>Yes</t>
        </is>
      </c>
    </row>
    <row r="510" ht="15.75" customHeight="1" s="51">
      <c r="A510" s="38" t="inlineStr">
        <is>
          <t>CHR-050-08</t>
        </is>
      </c>
      <c r="B510" s="38" t="inlineStr">
        <is>
          <t>Chronos</t>
        </is>
      </c>
      <c r="C510" s="38" t="inlineStr">
        <is>
          <t>Laptops</t>
        </is>
      </c>
      <c r="D510" s="38" t="inlineStr">
        <is>
          <t>Laptop</t>
        </is>
      </c>
      <c r="E510" s="39" t="inlineStr">
        <is>
          <t>Chronos Arc 16" Creator Laptop</t>
        </is>
      </c>
      <c r="F510" s="40" t="n">
        <v>2539.99</v>
      </c>
      <c r="G510" s="38" t="inlineStr">
        <is>
          <t>the Arc; Chronos Arc; Chroonos Arc; Arc laptop</t>
        </is>
      </c>
      <c r="H510" s="38" t="inlineStr">
        <is>
          <t>1 year limited</t>
        </is>
      </c>
      <c r="I510" s="38" t="inlineStr">
        <is>
          <t>FCC, CE, UL 62368-1, Energy Star, EPEAT Silver</t>
        </is>
      </c>
      <c r="J510" s="38" t="inlineStr">
        <is>
          <t>Intel Core Ultra 7 155H</t>
        </is>
      </c>
      <c r="K510" s="38" t="inlineStr">
        <is>
          <t>NVIDIA GeForce RTX 4070 8GB Laptop GPU</t>
        </is>
      </c>
      <c r="L510" s="38" t="inlineStr">
        <is>
          <t>Mini-LED, 165Hz</t>
        </is>
      </c>
      <c r="M510" s="38" t="inlineStr">
        <is>
          <t>3840x2400</t>
        </is>
      </c>
      <c r="N510" s="38" t="inlineStr">
        <is>
          <t>2x Thunderbolt 4 (USB-C), 1x USB-A 3.2, HDMI 2.1, microSD, 3.5mm audio</t>
        </is>
      </c>
      <c r="O510" s="38" t="inlineStr">
        <is>
          <t>Windows 11 Home</t>
        </is>
      </c>
      <c r="P510" s="38" t="n">
        <v>11</v>
      </c>
      <c r="Q510" s="41" t="n">
        <v>1912</v>
      </c>
      <c r="R510" s="38" t="inlineStr">
        <is>
          <t>Longer battery than Boreas Echo Ultra 16" Creator Laptop [BOR-044-06] (11 vs 6 hrs); Lower price than Atropos Apex 16" Creator Laptop [ATR-035-09] ($2,539.99 vs $2,748.99)</t>
        </is>
      </c>
      <c r="S510" s="38" t="inlineStr">
        <is>
          <t>video editing, photo editing, content creation</t>
        </is>
      </c>
      <c r="T510" s="0" t="inlineStr">
        <is>
          <t>in_stock</t>
        </is>
      </c>
      <c r="U510" s="0" t="n">
        <v>30</v>
      </c>
      <c r="V510" s="52" t="n">
        <v>2881.99</v>
      </c>
      <c r="W510" s="0" t="inlineStr">
        <is>
          <t>2026-08-14</t>
        </is>
      </c>
      <c r="X510" s="0" t="n">
        <v>32</v>
      </c>
      <c r="Y510" s="0" t="n">
        <v>2048</v>
      </c>
      <c r="Z510" s="0" t="n">
        <v>16</v>
      </c>
      <c r="AA510" s="0" t="inlineStr">
        <is>
          <t>No</t>
        </is>
      </c>
    </row>
    <row r="511" ht="15.75" customHeight="1" s="51">
      <c r="A511" s="38" t="inlineStr">
        <is>
          <t>CHR-050-09</t>
        </is>
      </c>
      <c r="B511" s="38" t="inlineStr">
        <is>
          <t>Chronos</t>
        </is>
      </c>
      <c r="C511" s="38" t="inlineStr">
        <is>
          <t>Laptops</t>
        </is>
      </c>
      <c r="D511" s="38" t="inlineStr">
        <is>
          <t>Laptop</t>
        </is>
      </c>
      <c r="E511" s="39" t="inlineStr">
        <is>
          <t>Chronos Onyx 17" Gaming Laptop</t>
        </is>
      </c>
      <c r="F511" s="40" t="n">
        <v>3316.99</v>
      </c>
      <c r="G511" s="38" t="inlineStr">
        <is>
          <t>the Onyx; Chronos Onyx; Chroonos Onyx; Onyx laptop</t>
        </is>
      </c>
      <c r="H511" s="38" t="inlineStr">
        <is>
          <t>2 year limited</t>
        </is>
      </c>
      <c r="I511" s="38" t="inlineStr">
        <is>
          <t>FCC, CE, UL 62368-1, Energy Star, EPEAT Silver</t>
        </is>
      </c>
      <c r="J511" s="38" t="inlineStr">
        <is>
          <t>AMD Ryzen 9 7945HX</t>
        </is>
      </c>
      <c r="K511" s="38" t="inlineStr">
        <is>
          <t>NVIDIA GeForce RTX 4090 16GB Laptop GPU</t>
        </is>
      </c>
      <c r="L511" s="38" t="inlineStr">
        <is>
          <t>Mini-LED, 240Hz</t>
        </is>
      </c>
      <c r="M511" s="38" t="inlineStr">
        <is>
          <t>2560x1600</t>
        </is>
      </c>
      <c r="N511" s="38" t="inlineStr">
        <is>
          <t>1x USB4, 3x USB-A 3.2, HDMI 2.1, RJ-45 Ethernet, 3.5mm audio</t>
        </is>
      </c>
      <c r="O511" s="38" t="inlineStr">
        <is>
          <t>Windows 11 Home</t>
        </is>
      </c>
      <c r="P511" s="38" t="n">
        <v>5</v>
      </c>
      <c r="Q511" s="41" t="n">
        <v>3314</v>
      </c>
      <c r="R511" s="38" t="inlineStr">
        <is>
          <t>Longer battery than Demeter Aeon Plus 17" Gaming Laptop [DEM-028-04] (5 vs 4 hrs); Lighter than Auxo Pulse Ultra 17" Gaming Laptop [AUX-038-08] (3,314 g vs 3,322 g)</t>
        </is>
      </c>
      <c r="S511" s="38" t="inlineStr">
        <is>
          <t>gaming, streaming, content creation</t>
        </is>
      </c>
      <c r="T511" s="0" t="inlineStr">
        <is>
          <t>in_stock</t>
        </is>
      </c>
      <c r="U511" s="0" t="n">
        <v>30</v>
      </c>
      <c r="V511" s="52" t="n">
        <v>3801.99</v>
      </c>
      <c r="W511" s="0" t="inlineStr">
        <is>
          <t>2026-09-17</t>
        </is>
      </c>
      <c r="X511" s="0" t="n">
        <v>64</v>
      </c>
      <c r="Y511" s="0" t="n">
        <v>2048</v>
      </c>
      <c r="Z511" s="0" t="n">
        <v>17.3</v>
      </c>
      <c r="AA511" s="0" t="inlineStr">
        <is>
          <t>No</t>
        </is>
      </c>
    </row>
    <row r="512" ht="15.75" customHeight="1" s="51">
      <c r="A512" s="38" t="inlineStr">
        <is>
          <t>CHR-050-10</t>
        </is>
      </c>
      <c r="B512" s="38" t="inlineStr">
        <is>
          <t>Chronos</t>
        </is>
      </c>
      <c r="C512" s="38" t="inlineStr">
        <is>
          <t>Laptops</t>
        </is>
      </c>
      <c r="D512" s="38" t="inlineStr">
        <is>
          <t>Laptop</t>
        </is>
      </c>
      <c r="E512" s="39" t="inlineStr">
        <is>
          <t>Chronos Vibe Air Rugged Laptop</t>
        </is>
      </c>
      <c r="F512" s="40" t="n">
        <v>3648.99</v>
      </c>
      <c r="G512" s="38" t="inlineStr">
        <is>
          <t>the Vibe Air; Chronos Vibe Air; Chrronos Vibe Air; Vibe Air laptop</t>
        </is>
      </c>
      <c r="H512" s="38" t="inlineStr">
        <is>
          <t>3 year limited, accidental damage</t>
        </is>
      </c>
      <c r="I512" s="38" t="inlineStr">
        <is>
          <t>FCC, CE, UL 62368-1, EPEAT Silver, MIL-STD-810H, IP65</t>
        </is>
      </c>
      <c r="J512" s="38" t="inlineStr">
        <is>
          <t>AMD Ryzen AI 9 HX 370</t>
        </is>
      </c>
      <c r="K512" s="38" t="inlineStr">
        <is>
          <t>AMD Radeon 890M</t>
        </is>
      </c>
      <c r="L512" s="38" t="inlineStr">
        <is>
          <t>IPS sunlight-readable 1000 nits, touch</t>
        </is>
      </c>
      <c r="M512" s="38" t="inlineStr">
        <is>
          <t>1920x1080</t>
        </is>
      </c>
      <c r="N512" s="38" t="inlineStr">
        <is>
          <t>2x USB4 (USB-C), 2x USB-A 3.2, HDMI 2.1, SD card, 3.5mm audio, RJ-45 Ethernet, serial (RS-232), smart card reader</t>
        </is>
      </c>
      <c r="O512" s="38" t="inlineStr">
        <is>
          <t>Windows 11 Pro</t>
        </is>
      </c>
      <c r="P512" s="38" t="n">
        <v>16</v>
      </c>
      <c r="Q512" s="41" t="n">
        <v>2930</v>
      </c>
      <c r="R512" s="38" t="inlineStr">
        <is>
          <t>Lighter than Demeter Flux Pro Rugged Laptop [DEM-028-09] (2,930 g vs 3,332 g); Longer battery than Zephyrus Drift X Rugged Laptop [ZEP-032-10] (16 vs 11 hrs)</t>
        </is>
      </c>
      <c r="S512" s="38" t="inlineStr">
        <is>
          <t>fieldwork, outdoor, industrial</t>
        </is>
      </c>
      <c r="T512" s="0" t="inlineStr">
        <is>
          <t>in_stock</t>
        </is>
      </c>
      <c r="U512" s="0" t="n">
        <v>30</v>
      </c>
      <c r="V512" s="52" t="n">
        <v>3827.99</v>
      </c>
      <c r="W512" s="0" t="inlineStr">
        <is>
          <t>2026-08-22</t>
        </is>
      </c>
      <c r="X512" s="0" t="n">
        <v>64</v>
      </c>
      <c r="Y512" s="0" t="n">
        <v>4096</v>
      </c>
      <c r="Z512" s="0" t="n">
        <v>17.3</v>
      </c>
      <c r="AA512" s="0" t="inlineStr">
        <is>
          <t>Yes</t>
        </is>
      </c>
    </row>
    <row r="513" ht="15.75" customHeight="1" s="51">
      <c r="A513" s="43" t="inlineStr">
        <is>
          <t>NEM-051-01</t>
        </is>
      </c>
      <c r="B513" s="43" t="inlineStr">
        <is>
          <t>Nemesis</t>
        </is>
      </c>
      <c r="C513" s="43" t="inlineStr">
        <is>
          <t>Smartphones &amp; Tablets</t>
        </is>
      </c>
      <c r="D513" s="43" t="inlineStr">
        <is>
          <t>Tablet</t>
        </is>
      </c>
      <c r="E513" s="44" t="inlineStr">
        <is>
          <t>Nemesis Arc Ultra 8" Mini Tablet</t>
        </is>
      </c>
      <c r="F513" s="45" t="n">
        <v>269.99</v>
      </c>
      <c r="G513" s="43" t="inlineStr">
        <is>
          <t>the Arc Ultra; Nemesis Arc Ultra; Nemesi Arc Ultra; Arc Ultra tablet</t>
        </is>
      </c>
      <c r="H513" s="43" t="inlineStr">
        <is>
          <t>1 year limited</t>
        </is>
      </c>
      <c r="I513" s="43" t="inlineStr">
        <is>
          <t>FCC, CE, TUV Rheinland Low Blue Light</t>
        </is>
      </c>
      <c r="J513" s="43" t="inlineStr">
        <is>
          <t>Qualcomm Snapdragon 6 Gen 1</t>
        </is>
      </c>
      <c r="K513" s="43" t="inlineStr">
        <is>
          <t>Qualcomm Adreno 710</t>
        </is>
      </c>
      <c r="L513" s="43" t="inlineStr">
        <is>
          <t>IPS LCD, 60Hz</t>
        </is>
      </c>
      <c r="M513" s="43" t="inlineStr">
        <is>
          <t>1200x1920</t>
        </is>
      </c>
      <c r="N513" s="43" t="inlineStr">
        <is>
          <t>USB-C (USB 2.0), microSD slot</t>
        </is>
      </c>
      <c r="O513" s="43" t="inlineStr">
        <is>
          <t>Android 15</t>
        </is>
      </c>
      <c r="P513" s="43" t="n">
        <v>9</v>
      </c>
      <c r="Q513" s="46" t="n">
        <v>304</v>
      </c>
      <c r="R513" s="43" t="inlineStr">
        <is>
          <t>Lower price than Eunomia Volt SE 8" Mini Tablet [EUN-056-06] ($269.99 vs $570.99); Lighter than Comus Zen Max 8" Mini Tablet [COM-078-03] (304 g vs 331 g)</t>
        </is>
      </c>
      <c r="S513" s="43" t="inlineStr">
        <is>
          <t>reading, travel, gaming</t>
        </is>
      </c>
      <c r="T513" s="0" t="inlineStr">
        <is>
          <t>in_stock</t>
        </is>
      </c>
      <c r="U513" s="0" t="n">
        <v>15</v>
      </c>
      <c r="V513" s="52" t="n">
        <v>291.99</v>
      </c>
      <c r="W513" s="0" t="inlineStr">
        <is>
          <t>2026-09-06</t>
        </is>
      </c>
      <c r="X513" s="0" t="inlineStr">
        <is>
          <t>N/A</t>
        </is>
      </c>
      <c r="Y513" s="0" t="inlineStr">
        <is>
          <t>N/A</t>
        </is>
      </c>
      <c r="Z513" s="0" t="inlineStr">
        <is>
          <t>N/A</t>
        </is>
      </c>
      <c r="AA513" s="0" t="inlineStr">
        <is>
          <t>N/A</t>
        </is>
      </c>
    </row>
    <row r="514" ht="15.75" customHeight="1" s="51">
      <c r="A514" s="43" t="inlineStr">
        <is>
          <t>NEM-051-02</t>
        </is>
      </c>
      <c r="B514" s="43" t="inlineStr">
        <is>
          <t>Nemesis</t>
        </is>
      </c>
      <c r="C514" s="43" t="inlineStr">
        <is>
          <t>Smartphones &amp; Tablets</t>
        </is>
      </c>
      <c r="D514" s="43" t="inlineStr">
        <is>
          <t>Smartphone</t>
        </is>
      </c>
      <c r="E514" s="44" t="inlineStr">
        <is>
          <t>Nemesis Axis Budget Smartphone</t>
        </is>
      </c>
      <c r="F514" s="45" t="n">
        <v>305.99</v>
      </c>
      <c r="G514" s="43" t="inlineStr">
        <is>
          <t>the Axis; Nemesis Axis; Nemseis Axis; Axis smartphone</t>
        </is>
      </c>
      <c r="H514" s="43" t="inlineStr">
        <is>
          <t>1 year limited</t>
        </is>
      </c>
      <c r="I514" s="43" t="inlineStr">
        <is>
          <t>FCC, CE, IP54</t>
        </is>
      </c>
      <c r="J514" s="43" t="inlineStr">
        <is>
          <t>Qualcomm Snapdragon 6 Gen 1</t>
        </is>
      </c>
      <c r="K514" s="43" t="inlineStr">
        <is>
          <t>Qualcomm Adreno 710</t>
        </is>
      </c>
      <c r="L514" s="43" t="inlineStr">
        <is>
          <t>IPS LCD, 90Hz</t>
        </is>
      </c>
      <c r="M514" s="43" t="inlineStr">
        <is>
          <t>1080x2400</t>
        </is>
      </c>
      <c r="N514" s="43" t="inlineStr">
        <is>
          <t>USB-C (USB 2.0), nano-SIM + eSIM, 3.5mm headphone jack, microSD slot</t>
        </is>
      </c>
      <c r="O514" s="43" t="inlineStr">
        <is>
          <t>Android 14</t>
        </is>
      </c>
      <c r="P514" s="43" t="n">
        <v>29</v>
      </c>
      <c r="Q514" s="46" t="n">
        <v>199</v>
      </c>
      <c r="R514" s="43" t="inlineStr">
        <is>
          <t>Lower price than Dike Sable Lite Budget Smartphone [DIK-099-04] ($305.99 vs $355.99); Longer battery than Proteus Rift Pro Budget Smartphone [PRO-070-02] (29 vs 26 hrs)</t>
        </is>
      </c>
      <c r="S514" s="43" t="inlineStr">
        <is>
          <t>budget, first phone, everyday</t>
        </is>
      </c>
      <c r="T514" s="0" t="inlineStr">
        <is>
          <t>in_stock</t>
        </is>
      </c>
      <c r="U514" s="0" t="n">
        <v>15</v>
      </c>
      <c r="V514" s="52" t="n">
        <v>344.99</v>
      </c>
      <c r="W514" s="0" t="inlineStr">
        <is>
          <t>2026-08-07</t>
        </is>
      </c>
      <c r="X514" s="0" t="inlineStr">
        <is>
          <t>N/A</t>
        </is>
      </c>
      <c r="Y514" s="0" t="inlineStr">
        <is>
          <t>N/A</t>
        </is>
      </c>
      <c r="Z514" s="0" t="inlineStr">
        <is>
          <t>N/A</t>
        </is>
      </c>
      <c r="AA514" s="0" t="inlineStr">
        <is>
          <t>N/A</t>
        </is>
      </c>
    </row>
    <row r="515" ht="15.75" customHeight="1" s="51">
      <c r="A515" s="43" t="inlineStr">
        <is>
          <t>NEM-051-03</t>
        </is>
      </c>
      <c r="B515" s="43" t="inlineStr">
        <is>
          <t>Nemesis</t>
        </is>
      </c>
      <c r="C515" s="43" t="inlineStr">
        <is>
          <t>Smartphones &amp; Tablets</t>
        </is>
      </c>
      <c r="D515" s="43" t="inlineStr">
        <is>
          <t>Tablet</t>
        </is>
      </c>
      <c r="E515" s="44" t="inlineStr">
        <is>
          <t>Nemesis Axis Lite E-Ink Note Tablet</t>
        </is>
      </c>
      <c r="F515" s="45" t="n">
        <v>612.99</v>
      </c>
      <c r="G515" s="43" t="inlineStr">
        <is>
          <t>the Axis Lite; Nemesis Axis Lite; Nemesi Axis Lite; Axis Lite tablet</t>
        </is>
      </c>
      <c r="H515" s="43" t="inlineStr">
        <is>
          <t>2 year limited</t>
        </is>
      </c>
      <c r="I515" s="43" t="inlineStr">
        <is>
          <t>FCC, CE, TUV Rheinland Low Blue Light, Energy Star</t>
        </is>
      </c>
      <c r="J515" s="43" t="inlineStr">
        <is>
          <t>Rockchip RK3566</t>
        </is>
      </c>
      <c r="K515" s="43" t="inlineStr">
        <is>
          <t>Arm Mali-G52 2EE</t>
        </is>
      </c>
      <c r="L515" s="43" t="inlineStr">
        <is>
          <t>E Ink Carta 1300, front-lit</t>
        </is>
      </c>
      <c r="M515" s="43" t="inlineStr">
        <is>
          <t>1404x1872</t>
        </is>
      </c>
      <c r="N515" s="43" t="inlineStr">
        <is>
          <t>USB-C (USB 2.0), microSD slot</t>
        </is>
      </c>
      <c r="O515" s="43" t="inlineStr">
        <is>
          <t>Android 13 (E Ink optimized)</t>
        </is>
      </c>
      <c r="P515" s="43" t="n">
        <v>143</v>
      </c>
      <c r="Q515" s="46" t="n">
        <v>382</v>
      </c>
      <c r="R515" s="43" t="inlineStr">
        <is>
          <t>Lighter than Pothos Aria SE E-Ink Note Tablet [POT-072-03] (382 g vs 405 g); Lower price than Phorcys Halo Ultra E-Ink Note Tablet [PHO-087-04] ($612.99 vs $670.99)</t>
        </is>
      </c>
      <c r="S515" s="43" t="inlineStr">
        <is>
          <t>reading, note-taking, school</t>
        </is>
      </c>
      <c r="T515" s="0" t="inlineStr">
        <is>
          <t>in_stock</t>
        </is>
      </c>
      <c r="U515" s="0" t="n">
        <v>15</v>
      </c>
      <c r="V515" s="52" t="n">
        <v>695.99</v>
      </c>
      <c r="W515" s="0" t="inlineStr">
        <is>
          <t>2026-08-27</t>
        </is>
      </c>
      <c r="X515" s="0" t="inlineStr">
        <is>
          <t>N/A</t>
        </is>
      </c>
      <c r="Y515" s="0" t="inlineStr">
        <is>
          <t>N/A</t>
        </is>
      </c>
      <c r="Z515" s="0" t="inlineStr">
        <is>
          <t>N/A</t>
        </is>
      </c>
      <c r="AA515" s="0" t="inlineStr">
        <is>
          <t>N/A</t>
        </is>
      </c>
    </row>
    <row r="516" ht="15.75" customHeight="1" s="51">
      <c r="A516" s="43" t="inlineStr">
        <is>
          <t>NEM-051-04</t>
        </is>
      </c>
      <c r="B516" s="43" t="inlineStr">
        <is>
          <t>Nemesis</t>
        </is>
      </c>
      <c r="C516" s="43" t="inlineStr">
        <is>
          <t>Smartphones &amp; Tablets</t>
        </is>
      </c>
      <c r="D516" s="43" t="inlineStr">
        <is>
          <t>Tablet</t>
        </is>
      </c>
      <c r="E516" s="44" t="inlineStr">
        <is>
          <t>Nemesis Flux Pro Drawing Tablet with Stylus</t>
        </is>
      </c>
      <c r="F516" s="45" t="n">
        <v>627.99</v>
      </c>
      <c r="G516" s="43" t="inlineStr">
        <is>
          <t>the Flux Pro; Nemesis Flux Pro; Nemmesis Flux Pro; Flux Pro tablet</t>
        </is>
      </c>
      <c r="H516" s="43" t="inlineStr">
        <is>
          <t>1 year limited</t>
        </is>
      </c>
      <c r="I516" s="43" t="inlineStr">
        <is>
          <t>FCC, CE, TUV Rheinland Low Blue Light</t>
        </is>
      </c>
      <c r="J516" s="43" t="inlineStr">
        <is>
          <t>Qualcomm Snapdragon 7+ Gen 3</t>
        </is>
      </c>
      <c r="K516" s="43" t="inlineStr">
        <is>
          <t>Qualcomm Adreno 732</t>
        </is>
      </c>
      <c r="L516" s="43" t="inlineStr">
        <is>
          <t>IPS LCD anti-glare, pen digitizer</t>
        </is>
      </c>
      <c r="M516" s="43" t="inlineStr">
        <is>
          <t>2000x1200</t>
        </is>
      </c>
      <c r="N516" s="43" t="inlineStr">
        <is>
          <t>USB-C (USB 2.0), microSD slot</t>
        </is>
      </c>
      <c r="O516" s="43" t="inlineStr">
        <is>
          <t>Android 15</t>
        </is>
      </c>
      <c r="P516" s="43" t="n">
        <v>10</v>
      </c>
      <c r="Q516" s="46" t="n">
        <v>596</v>
      </c>
      <c r="R516" s="43" t="inlineStr">
        <is>
          <t>Lower price than Oceanus Drift Max Drawing Tablet with Stylus [OCE-060-06] ($627.99 vs $850.99); Longer battery than Erebus Sable Lite Drawing Tablet with Stylus [ERE-098-03] (10 vs 9 hrs)</t>
        </is>
      </c>
      <c r="S516" s="43" t="inlineStr">
        <is>
          <t>drawing, design, note-taking</t>
        </is>
      </c>
      <c r="T516" s="0" t="inlineStr">
        <is>
          <t>in_stock</t>
        </is>
      </c>
      <c r="U516" s="0" t="n">
        <v>15</v>
      </c>
      <c r="V516" s="52" t="n">
        <v>653.99</v>
      </c>
      <c r="W516" s="0" t="inlineStr">
        <is>
          <t>2026-08-21</t>
        </is>
      </c>
      <c r="X516" s="0" t="inlineStr">
        <is>
          <t>N/A</t>
        </is>
      </c>
      <c r="Y516" s="0" t="inlineStr">
        <is>
          <t>N/A</t>
        </is>
      </c>
      <c r="Z516" s="0" t="inlineStr">
        <is>
          <t>N/A</t>
        </is>
      </c>
      <c r="AA516" s="0" t="inlineStr">
        <is>
          <t>N/A</t>
        </is>
      </c>
    </row>
    <row r="517" ht="15.75" customHeight="1" s="51">
      <c r="A517" s="43" t="inlineStr">
        <is>
          <t>NEM-051-05</t>
        </is>
      </c>
      <c r="B517" s="43" t="inlineStr">
        <is>
          <t>Nemesis</t>
        </is>
      </c>
      <c r="C517" s="43" t="inlineStr">
        <is>
          <t>Smartphones &amp; Tablets</t>
        </is>
      </c>
      <c r="D517" s="43" t="inlineStr">
        <is>
          <t>Smartphone</t>
        </is>
      </c>
      <c r="E517" s="44" t="inlineStr">
        <is>
          <t>Nemesis Strata Lite Compact Smartphone</t>
        </is>
      </c>
      <c r="F517" s="45" t="n">
        <v>651.99</v>
      </c>
      <c r="G517" s="43" t="inlineStr">
        <is>
          <t>the Strata Lite; Nemesis Strata Lite; Nemseis Strata Lite; Strata Lite smartphone</t>
        </is>
      </c>
      <c r="H517" s="43" t="inlineStr">
        <is>
          <t>1 year limited</t>
        </is>
      </c>
      <c r="I517" s="43" t="inlineStr">
        <is>
          <t>FCC, CE, IP68</t>
        </is>
      </c>
      <c r="J517" s="43" t="inlineStr">
        <is>
          <t>MediaTek Dimensity 8300</t>
        </is>
      </c>
      <c r="K517" s="43" t="inlineStr">
        <is>
          <t>Arm Mali-G615 MC6</t>
        </is>
      </c>
      <c r="L517" s="43" t="inlineStr">
        <is>
          <t>AMOLED, 120Hz</t>
        </is>
      </c>
      <c r="M517" s="43" t="inlineStr">
        <is>
          <t>1080x2340</t>
        </is>
      </c>
      <c r="N517" s="43" t="inlineStr">
        <is>
          <t>USB-C (USB 2.0), nano-SIM + eSIM</t>
        </is>
      </c>
      <c r="O517" s="43" t="inlineStr">
        <is>
          <t>Android 15</t>
        </is>
      </c>
      <c r="P517" s="43" t="n">
        <v>23</v>
      </c>
      <c r="Q517" s="46" t="n">
        <v>167</v>
      </c>
      <c r="R517" s="43" t="inlineStr">
        <is>
          <t>Lower price than Panacea Nova Air Compact Smartphone [PAN-069-05] ($651.99 vs $687.99); Longer battery than Peitho Vibe X Compact Smartphone [PEI-083-06] (23 vs 21 hrs)</t>
        </is>
      </c>
      <c r="S517" s="43" t="inlineStr">
        <is>
          <t>everyday, one-handed use</t>
        </is>
      </c>
      <c r="T517" s="0" t="inlineStr">
        <is>
          <t>low_stock</t>
        </is>
      </c>
      <c r="U517" s="0" t="n">
        <v>15</v>
      </c>
      <c r="V517" s="52" t="n">
        <v>696.99</v>
      </c>
      <c r="W517" s="0" t="inlineStr">
        <is>
          <t>2026-08-23</t>
        </is>
      </c>
      <c r="X517" s="0" t="inlineStr">
        <is>
          <t>N/A</t>
        </is>
      </c>
      <c r="Y517" s="0" t="inlineStr">
        <is>
          <t>N/A</t>
        </is>
      </c>
      <c r="Z517" s="0" t="inlineStr">
        <is>
          <t>N/A</t>
        </is>
      </c>
      <c r="AA517" s="0" t="inlineStr">
        <is>
          <t>N/A</t>
        </is>
      </c>
    </row>
    <row r="518" ht="15.75" customHeight="1" s="51">
      <c r="A518" s="43" t="inlineStr">
        <is>
          <t>NEM-051-06</t>
        </is>
      </c>
      <c r="B518" s="43" t="inlineStr">
        <is>
          <t>Nemesis</t>
        </is>
      </c>
      <c r="C518" s="43" t="inlineStr">
        <is>
          <t>Smartphones &amp; Tablets</t>
        </is>
      </c>
      <c r="D518" s="43" t="inlineStr">
        <is>
          <t>Tablet</t>
        </is>
      </c>
      <c r="E518" s="44" t="inlineStr">
        <is>
          <t>Nemesis Volt Air 11" Tablet</t>
        </is>
      </c>
      <c r="F518" s="45" t="n">
        <v>734.99</v>
      </c>
      <c r="G518" s="43" t="inlineStr">
        <is>
          <t>the Volt Air; Nemesis Volt Air; Nemeiss Volt Air; Volt Air tablet</t>
        </is>
      </c>
      <c r="H518" s="43" t="inlineStr">
        <is>
          <t>2 year limited</t>
        </is>
      </c>
      <c r="I518" s="43" t="inlineStr">
        <is>
          <t>FCC, CE, Energy Star</t>
        </is>
      </c>
      <c r="J518" s="43" t="inlineStr">
        <is>
          <t>MediaTek Dimensity 8300</t>
        </is>
      </c>
      <c r="K518" s="43" t="inlineStr">
        <is>
          <t>Arm Mali-G615 MC6</t>
        </is>
      </c>
      <c r="L518" s="43" t="inlineStr">
        <is>
          <t>OLED, 120Hz</t>
        </is>
      </c>
      <c r="M518" s="43" t="inlineStr">
        <is>
          <t>1752x2800</t>
        </is>
      </c>
      <c r="N518" s="43" t="inlineStr">
        <is>
          <t>USB-C (USB 3.2), microSD slot</t>
        </is>
      </c>
      <c r="O518" s="43" t="inlineStr">
        <is>
          <t>Android 15</t>
        </is>
      </c>
      <c r="P518" s="43" t="n">
        <v>13</v>
      </c>
      <c r="Q518" s="46" t="n">
        <v>472</v>
      </c>
      <c r="R518" s="43" t="inlineStr">
        <is>
          <t>Lighter than Clotho Titan Air 11" Tablet [CLO-062-05] (472 g vs 495 g); Longer battery than Hephaestus Zen SE 11" Tablet [HEP-076-06] (13 vs 10 hrs)</t>
        </is>
      </c>
      <c r="S518" s="43" t="inlineStr">
        <is>
          <t>school, streaming, reading</t>
        </is>
      </c>
      <c r="T518" s="0" t="inlineStr">
        <is>
          <t>in_stock</t>
        </is>
      </c>
      <c r="U518" s="0" t="n">
        <v>15</v>
      </c>
      <c r="V518" s="52" t="n">
        <v>797.99</v>
      </c>
      <c r="W518" s="0" t="inlineStr">
        <is>
          <t>2026-09-21</t>
        </is>
      </c>
      <c r="X518" s="0" t="inlineStr">
        <is>
          <t>N/A</t>
        </is>
      </c>
      <c r="Y518" s="0" t="inlineStr">
        <is>
          <t>N/A</t>
        </is>
      </c>
      <c r="Z518" s="0" t="inlineStr">
        <is>
          <t>N/A</t>
        </is>
      </c>
      <c r="AA518" s="0" t="inlineStr">
        <is>
          <t>N/A</t>
        </is>
      </c>
    </row>
    <row r="519" ht="15.75" customHeight="1" s="51">
      <c r="A519" s="43" t="inlineStr">
        <is>
          <t>NEM-051-07</t>
        </is>
      </c>
      <c r="B519" s="43" t="inlineStr">
        <is>
          <t>Nemesis</t>
        </is>
      </c>
      <c r="C519" s="43" t="inlineStr">
        <is>
          <t>Smartphones &amp; Tablets</t>
        </is>
      </c>
      <c r="D519" s="43" t="inlineStr">
        <is>
          <t>Smartphone</t>
        </is>
      </c>
      <c r="E519" s="44" t="inlineStr">
        <is>
          <t>Nemesis Volt Air Flagship Smartphone</t>
        </is>
      </c>
      <c r="F519" s="45" t="n">
        <v>811.99</v>
      </c>
      <c r="G519" s="43" t="inlineStr">
        <is>
          <t>the Volt Air; Nemesis Volt Air; Nemmesis Volt Air; Volt Air smartphone</t>
        </is>
      </c>
      <c r="H519" s="43" t="inlineStr">
        <is>
          <t>1 year limited</t>
        </is>
      </c>
      <c r="I519" s="43" t="inlineStr">
        <is>
          <t>FCC, CE, IP68, Qi2</t>
        </is>
      </c>
      <c r="J519" s="43" t="inlineStr">
        <is>
          <t>Qualcomm Snapdragon 8 Gen 3</t>
        </is>
      </c>
      <c r="K519" s="43" t="inlineStr">
        <is>
          <t>Qualcomm Adreno 750</t>
        </is>
      </c>
      <c r="L519" s="43" t="inlineStr">
        <is>
          <t>AMOLED, 120Hz</t>
        </is>
      </c>
      <c r="M519" s="43" t="inlineStr">
        <is>
          <t>1080x2400</t>
        </is>
      </c>
      <c r="N519" s="43" t="inlineStr">
        <is>
          <t>USB-C (USB 3.2), nano-SIM + eSIM</t>
        </is>
      </c>
      <c r="O519" s="43" t="inlineStr">
        <is>
          <t>Android 15</t>
        </is>
      </c>
      <c r="P519" s="43" t="n">
        <v>29</v>
      </c>
      <c r="Q519" s="46" t="n">
        <v>186</v>
      </c>
      <c r="R519" s="43" t="inlineStr">
        <is>
          <t>Lower price than Anteros Onyx Flagship Smartphone [ANT-090-05] ($811.99 vs $869.99); Longer battery than Paean Vibe SE Flagship Smartphone [PAE-066-09] (29 vs 27 hrs)</t>
        </is>
      </c>
      <c r="S519" s="43" t="inlineStr">
        <is>
          <t>photography, everyday, business</t>
        </is>
      </c>
      <c r="T519" s="0" t="inlineStr">
        <is>
          <t>in_stock</t>
        </is>
      </c>
      <c r="U519" s="0" t="n">
        <v>15</v>
      </c>
      <c r="V519" s="52" t="n">
        <v>910.99</v>
      </c>
      <c r="W519" s="0" t="inlineStr">
        <is>
          <t>2026-09-07</t>
        </is>
      </c>
      <c r="X519" s="0" t="inlineStr">
        <is>
          <t>N/A</t>
        </is>
      </c>
      <c r="Y519" s="0" t="inlineStr">
        <is>
          <t>N/A</t>
        </is>
      </c>
      <c r="Z519" s="0" t="inlineStr">
        <is>
          <t>N/A</t>
        </is>
      </c>
      <c r="AA519" s="0" t="inlineStr">
        <is>
          <t>N/A</t>
        </is>
      </c>
    </row>
    <row r="520" ht="15.75" customHeight="1" s="51">
      <c r="A520" s="43" t="inlineStr">
        <is>
          <t>NEM-051-08</t>
        </is>
      </c>
      <c r="B520" s="43" t="inlineStr">
        <is>
          <t>Nemesis</t>
        </is>
      </c>
      <c r="C520" s="43" t="inlineStr">
        <is>
          <t>Smartphones &amp; Tablets</t>
        </is>
      </c>
      <c r="D520" s="43" t="inlineStr">
        <is>
          <t>Smartphone</t>
        </is>
      </c>
      <c r="E520" s="44" t="inlineStr">
        <is>
          <t>Nemesis Volt Ultra Flip Foldable Phone</t>
        </is>
      </c>
      <c r="F520" s="45" t="n">
        <v>1091.99</v>
      </c>
      <c r="G520" s="43" t="inlineStr">
        <is>
          <t>the Volt Ultra; Nemesis Volt Ultra; Nemesi Volt Ultra; Volt Ultra smartphone</t>
        </is>
      </c>
      <c r="H520" s="43" t="inlineStr">
        <is>
          <t>2 year limited</t>
        </is>
      </c>
      <c r="I520" s="43" t="inlineStr">
        <is>
          <t>FCC, CE, IPX8</t>
        </is>
      </c>
      <c r="J520" s="43" t="inlineStr">
        <is>
          <t>MediaTek Dimensity 9400</t>
        </is>
      </c>
      <c r="K520" s="43" t="inlineStr">
        <is>
          <t>Arm Immortalis-G925</t>
        </is>
      </c>
      <c r="L520" s="43" t="inlineStr">
        <is>
          <t>Foldable AMOLED inner + AMOLED cover screen</t>
        </is>
      </c>
      <c r="M520" s="43" t="inlineStr">
        <is>
          <t>1080x2640 inner / 720x748 cover</t>
        </is>
      </c>
      <c r="N520" s="43" t="inlineStr">
        <is>
          <t>USB-C (USB 3.2), nano-SIM + eSIM</t>
        </is>
      </c>
      <c r="O520" s="43" t="inlineStr">
        <is>
          <t>Android 15</t>
        </is>
      </c>
      <c r="P520" s="43" t="n">
        <v>22</v>
      </c>
      <c r="Q520" s="46" t="n">
        <v>185</v>
      </c>
      <c r="R520" s="43" t="inlineStr">
        <is>
          <t>Lighter than Proteus Zen Max Flip Foldable Phone [PRO-070-06] (185 g vs 186 g); Lower price than Triton Onyx Flip Foldable Phone [TRI-092-08] ($1,091.99 vs $1,122.99)</t>
        </is>
      </c>
      <c r="S520" s="43" t="inlineStr">
        <is>
          <t>style, everyday, compact</t>
        </is>
      </c>
      <c r="T520" s="0" t="inlineStr">
        <is>
          <t>in_stock</t>
        </is>
      </c>
      <c r="U520" s="0" t="n">
        <v>15</v>
      </c>
      <c r="V520" s="52" t="n">
        <v>1201.99</v>
      </c>
      <c r="W520" s="0" t="inlineStr">
        <is>
          <t>2026-08-16</t>
        </is>
      </c>
      <c r="X520" s="0" t="inlineStr">
        <is>
          <t>N/A</t>
        </is>
      </c>
      <c r="Y520" s="0" t="inlineStr">
        <is>
          <t>N/A</t>
        </is>
      </c>
      <c r="Z520" s="0" t="inlineStr">
        <is>
          <t>N/A</t>
        </is>
      </c>
      <c r="AA520" s="0" t="inlineStr">
        <is>
          <t>N/A</t>
        </is>
      </c>
    </row>
    <row r="521" ht="15.75" customHeight="1" s="51">
      <c r="A521" s="43" t="inlineStr">
        <is>
          <t>NEM-051-09</t>
        </is>
      </c>
      <c r="B521" s="43" t="inlineStr">
        <is>
          <t>Nemesis</t>
        </is>
      </c>
      <c r="C521" s="43" t="inlineStr">
        <is>
          <t>Smartphones &amp; Tablets</t>
        </is>
      </c>
      <c r="D521" s="43" t="inlineStr">
        <is>
          <t>Smartphone</t>
        </is>
      </c>
      <c r="E521" s="44" t="inlineStr">
        <is>
          <t>Nemesis Titan Max Pro Max Smartphone</t>
        </is>
      </c>
      <c r="F521" s="45" t="n">
        <v>1379.99</v>
      </c>
      <c r="G521" s="43" t="inlineStr">
        <is>
          <t>the Titan Max; Nemesis Titan Max; Nemesi Titan Max; Titan Max smartphone</t>
        </is>
      </c>
      <c r="H521" s="43" t="inlineStr">
        <is>
          <t>1 year limited</t>
        </is>
      </c>
      <c r="I521" s="43" t="inlineStr">
        <is>
          <t>FCC, CE, IP68, Qi2</t>
        </is>
      </c>
      <c r="J521" s="43" t="inlineStr">
        <is>
          <t>Qualcomm Snapdragon 8 Elite</t>
        </is>
      </c>
      <c r="K521" s="43" t="inlineStr">
        <is>
          <t>Qualcomm Adreno 830</t>
        </is>
      </c>
      <c r="L521" s="43" t="inlineStr">
        <is>
          <t>LTPO AMOLED, 1-120Hz</t>
        </is>
      </c>
      <c r="M521" s="43" t="inlineStr">
        <is>
          <t>1440x3120</t>
        </is>
      </c>
      <c r="N521" s="43" t="inlineStr">
        <is>
          <t>USB-C (USB 3.2), nano-SIM + eSIM</t>
        </is>
      </c>
      <c r="O521" s="43" t="inlineStr">
        <is>
          <t>Android 15</t>
        </is>
      </c>
      <c r="P521" s="43" t="n">
        <v>32</v>
      </c>
      <c r="Q521" s="46" t="n">
        <v>230</v>
      </c>
      <c r="R521" s="43" t="inlineStr">
        <is>
          <t>Lighter than Helios Volt SE Pro Max Smartphone [HEL-073-06] (230 g vs 234 g); Longer battery than Athena Apex Pro Pro Max Smartphone [ATH-064-09] (32 vs 26 hrs)</t>
        </is>
      </c>
      <c r="S521" s="43" t="inlineStr">
        <is>
          <t>photography, video, mobile gaming</t>
        </is>
      </c>
      <c r="T521" s="0" t="inlineStr">
        <is>
          <t>in_stock</t>
        </is>
      </c>
      <c r="U521" s="0" t="n">
        <v>15</v>
      </c>
      <c r="V521" s="52" t="n">
        <v>1444.99</v>
      </c>
      <c r="W521" s="0" t="inlineStr">
        <is>
          <t>2026-09-14</t>
        </is>
      </c>
      <c r="X521" s="0" t="inlineStr">
        <is>
          <t>N/A</t>
        </is>
      </c>
      <c r="Y521" s="0" t="inlineStr">
        <is>
          <t>N/A</t>
        </is>
      </c>
      <c r="Z521" s="0" t="inlineStr">
        <is>
          <t>N/A</t>
        </is>
      </c>
      <c r="AA521" s="0" t="inlineStr">
        <is>
          <t>N/A</t>
        </is>
      </c>
    </row>
    <row r="522" ht="15.75" customHeight="1" s="51">
      <c r="A522" s="43" t="inlineStr">
        <is>
          <t>NEM-051-10</t>
        </is>
      </c>
      <c r="B522" s="43" t="inlineStr">
        <is>
          <t>Nemesis</t>
        </is>
      </c>
      <c r="C522" s="43" t="inlineStr">
        <is>
          <t>Smartphones &amp; Tablets</t>
        </is>
      </c>
      <c r="D522" s="43" t="inlineStr">
        <is>
          <t>Tablet</t>
        </is>
      </c>
      <c r="E522" s="44" t="inlineStr">
        <is>
          <t>Nemesis Titan Lite 13" Pro Tablet</t>
        </is>
      </c>
      <c r="F522" s="45" t="n">
        <v>1820.99</v>
      </c>
      <c r="G522" s="43" t="inlineStr">
        <is>
          <t>the Titan Lite; Nemesis Titan Lite; Nmeesis Titan Lite; Titan Lite tablet</t>
        </is>
      </c>
      <c r="H522" s="43" t="inlineStr">
        <is>
          <t>2 year limited</t>
        </is>
      </c>
      <c r="I522" s="43" t="inlineStr">
        <is>
          <t>FCC, CE, Energy Star</t>
        </is>
      </c>
      <c r="J522" s="43" t="inlineStr">
        <is>
          <t>Qualcomm Snapdragon 8 Elite</t>
        </is>
      </c>
      <c r="K522" s="43" t="inlineStr">
        <is>
          <t>Qualcomm Adreno 830</t>
        </is>
      </c>
      <c r="L522" s="43" t="inlineStr">
        <is>
          <t>Mini-LED, 144Hz</t>
        </is>
      </c>
      <c r="M522" s="43" t="inlineStr">
        <is>
          <t>2960x1848</t>
        </is>
      </c>
      <c r="N522" s="43" t="inlineStr">
        <is>
          <t>USB-C (USB 3.2), magnetic keyboard connector</t>
        </is>
      </c>
      <c r="O522" s="43" t="inlineStr">
        <is>
          <t>Android 15</t>
        </is>
      </c>
      <c r="P522" s="43" t="n">
        <v>9</v>
      </c>
      <c r="Q522" s="46" t="n">
        <v>613</v>
      </c>
      <c r="R522" s="43" t="inlineStr">
        <is>
          <t>Lighter than Pallas Crest Air 13" Pro Tablet [PAL-057-09] (613 g vs 661 g); Lower price than Triton Vibe Air 13" Pro Tablet [TRI-092-09] ($1,820.99 vs $1,825.99)</t>
        </is>
      </c>
      <c r="S522" s="43" t="inlineStr">
        <is>
          <t>creative work, productivity, drawing</t>
        </is>
      </c>
      <c r="T522" s="0" t="inlineStr">
        <is>
          <t>in_stock</t>
        </is>
      </c>
      <c r="U522" s="0" t="n">
        <v>15</v>
      </c>
      <c r="V522" s="52" t="n">
        <v>2049.99</v>
      </c>
      <c r="W522" s="0" t="inlineStr">
        <is>
          <t>2026-09-07</t>
        </is>
      </c>
      <c r="X522" s="0" t="inlineStr">
        <is>
          <t>N/A</t>
        </is>
      </c>
      <c r="Y522" s="0" t="inlineStr">
        <is>
          <t>N/A</t>
        </is>
      </c>
      <c r="Z522" s="0" t="inlineStr">
        <is>
          <t>N/A</t>
        </is>
      </c>
      <c r="AA522" s="0" t="inlineStr">
        <is>
          <t>N/A</t>
        </is>
      </c>
    </row>
    <row r="523" ht="15.75" customHeight="1" s="51">
      <c r="A523" s="43" t="inlineStr">
        <is>
          <t>HEC-052-01</t>
        </is>
      </c>
      <c r="B523" s="43" t="inlineStr">
        <is>
          <t>Hecate</t>
        </is>
      </c>
      <c r="C523" s="43" t="inlineStr">
        <is>
          <t>Smartphones &amp; Tablets</t>
        </is>
      </c>
      <c r="D523" s="43" t="inlineStr">
        <is>
          <t>Tablet</t>
        </is>
      </c>
      <c r="E523" s="44" t="inlineStr">
        <is>
          <t>Hecate Zen Pro Kids Tablet</t>
        </is>
      </c>
      <c r="F523" s="45" t="n">
        <v>98.98999999999999</v>
      </c>
      <c r="G523" s="43" t="inlineStr">
        <is>
          <t>the Zen Pro; Hecate Zen Pro; Hecatee Zen Pro; Zen Pro tablet</t>
        </is>
      </c>
      <c r="H523" s="43" t="inlineStr">
        <is>
          <t>1 year limited</t>
        </is>
      </c>
      <c r="I523" s="43" t="inlineStr">
        <is>
          <t>FCC, CE, TUV Rheinland Low Blue Light, EN 71 Toy Safety</t>
        </is>
      </c>
      <c r="J523" s="43" t="inlineStr">
        <is>
          <t>MediaTek Helio G88</t>
        </is>
      </c>
      <c r="K523" s="43" t="inlineStr">
        <is>
          <t>Arm Mali-G52 MC2</t>
        </is>
      </c>
      <c r="L523" s="43" t="inlineStr">
        <is>
          <t>IPS LCD, 60Hz</t>
        </is>
      </c>
      <c r="M523" s="43" t="inlineStr">
        <is>
          <t>800x1280</t>
        </is>
      </c>
      <c r="N523" s="43" t="inlineStr">
        <is>
          <t>USB-C (USB 2.0), microSD slot</t>
        </is>
      </c>
      <c r="O523" s="43" t="inlineStr">
        <is>
          <t>Android 14 with parental controls</t>
        </is>
      </c>
      <c r="P523" s="43" t="n">
        <v>10</v>
      </c>
      <c r="Q523" s="46" t="n">
        <v>388</v>
      </c>
      <c r="R523" s="43" t="inlineStr">
        <is>
          <t>Lighter than Iapetus Blaze Kids Tablet [IAP-096-01] (388 g vs 435 g); Lower price than Plutus Halo Air Kids Tablet [PLU-100-01] ($98.99 vs $131.99)</t>
        </is>
      </c>
      <c r="S523" s="43" t="inlineStr">
        <is>
          <t>kids, learning, games</t>
        </is>
      </c>
      <c r="T523" s="0" t="inlineStr">
        <is>
          <t>in_stock</t>
        </is>
      </c>
      <c r="U523" s="0" t="n">
        <v>60</v>
      </c>
      <c r="V523" s="52" t="n">
        <v>102.99</v>
      </c>
      <c r="W523" s="0" t="inlineStr">
        <is>
          <t>2026-09-07</t>
        </is>
      </c>
      <c r="X523" s="0" t="inlineStr">
        <is>
          <t>N/A</t>
        </is>
      </c>
      <c r="Y523" s="0" t="inlineStr">
        <is>
          <t>N/A</t>
        </is>
      </c>
      <c r="Z523" s="0" t="inlineStr">
        <is>
          <t>N/A</t>
        </is>
      </c>
      <c r="AA523" s="0" t="inlineStr">
        <is>
          <t>N/A</t>
        </is>
      </c>
    </row>
    <row r="524" ht="15.75" customHeight="1" s="51">
      <c r="A524" s="43" t="inlineStr">
        <is>
          <t>HEC-052-02</t>
        </is>
      </c>
      <c r="B524" s="43" t="inlineStr">
        <is>
          <t>Hecate</t>
        </is>
      </c>
      <c r="C524" s="43" t="inlineStr">
        <is>
          <t>Smartphones &amp; Tablets</t>
        </is>
      </c>
      <c r="D524" s="43" t="inlineStr">
        <is>
          <t>Smartphone</t>
        </is>
      </c>
      <c r="E524" s="44" t="inlineStr">
        <is>
          <t>Hecate Prism Lite Budget Smartphone</t>
        </is>
      </c>
      <c r="F524" s="45" t="n">
        <v>206.99</v>
      </c>
      <c r="G524" s="43" t="inlineStr">
        <is>
          <t>the Prism Lite; Hecate Prism Lite; Hecaate Prism Lite; Prism Lite smartphone</t>
        </is>
      </c>
      <c r="H524" s="43" t="inlineStr">
        <is>
          <t>1 year limited</t>
        </is>
      </c>
      <c r="I524" s="43" t="inlineStr">
        <is>
          <t>FCC, CE, IP54</t>
        </is>
      </c>
      <c r="J524" s="43" t="inlineStr">
        <is>
          <t>MediaTek Helio G99</t>
        </is>
      </c>
      <c r="K524" s="43" t="inlineStr">
        <is>
          <t>Arm Mali-G57 MC2</t>
        </is>
      </c>
      <c r="L524" s="43" t="inlineStr">
        <is>
          <t>IPS LCD, 90Hz</t>
        </is>
      </c>
      <c r="M524" s="43" t="inlineStr">
        <is>
          <t>720x1600</t>
        </is>
      </c>
      <c r="N524" s="43" t="inlineStr">
        <is>
          <t>USB-C (USB 2.0), nano-SIM + eSIM, 3.5mm headphone jack, microSD slot</t>
        </is>
      </c>
      <c r="O524" s="43" t="inlineStr">
        <is>
          <t>Android 14</t>
        </is>
      </c>
      <c r="P524" s="43" t="n">
        <v>28</v>
      </c>
      <c r="Q524" s="46" t="n">
        <v>210</v>
      </c>
      <c r="R524" s="43" t="inlineStr">
        <is>
          <t>Lower price than Aether Titan X Budget Smartphone [AET-080-02] ($206.99 vs $393.99); Longer battery than Mnemosyne Pulse Air Budget Smartphone [MNE-061-02] (28 vs 26 hrs)</t>
        </is>
      </c>
      <c r="S524" s="43" t="inlineStr">
        <is>
          <t>budget, first phone, everyday</t>
        </is>
      </c>
      <c r="T524" s="0" t="inlineStr">
        <is>
          <t>in_stock</t>
        </is>
      </c>
      <c r="U524" s="0" t="n">
        <v>60</v>
      </c>
      <c r="V524" s="52" t="n">
        <v>223.99</v>
      </c>
      <c r="W524" s="0" t="inlineStr">
        <is>
          <t>2026-09-10</t>
        </is>
      </c>
      <c r="X524" s="0" t="inlineStr">
        <is>
          <t>N/A</t>
        </is>
      </c>
      <c r="Y524" s="0" t="inlineStr">
        <is>
          <t>N/A</t>
        </is>
      </c>
      <c r="Z524" s="0" t="inlineStr">
        <is>
          <t>N/A</t>
        </is>
      </c>
      <c r="AA524" s="0" t="inlineStr">
        <is>
          <t>N/A</t>
        </is>
      </c>
    </row>
    <row r="525" ht="15.75" customHeight="1" s="51">
      <c r="A525" s="43" t="inlineStr">
        <is>
          <t>HEC-052-03</t>
        </is>
      </c>
      <c r="B525" s="43" t="inlineStr">
        <is>
          <t>Hecate</t>
        </is>
      </c>
      <c r="C525" s="43" t="inlineStr">
        <is>
          <t>Smartphones &amp; Tablets</t>
        </is>
      </c>
      <c r="D525" s="43" t="inlineStr">
        <is>
          <t>Tablet</t>
        </is>
      </c>
      <c r="E525" s="44" t="inlineStr">
        <is>
          <t>Hecate Vibe Plus 8" Mini Tablet</t>
        </is>
      </c>
      <c r="F525" s="45" t="n">
        <v>235.99</v>
      </c>
      <c r="G525" s="43" t="inlineStr">
        <is>
          <t>the Vibe Plus; Hecate Vibe Plus; Heacte Vibe Plus; Vibe Plus tablet</t>
        </is>
      </c>
      <c r="H525" s="43" t="inlineStr">
        <is>
          <t>1 year limited</t>
        </is>
      </c>
      <c r="I525" s="43" t="inlineStr">
        <is>
          <t>FCC, CE, TUV Rheinland Low Blue Light</t>
        </is>
      </c>
      <c r="J525" s="43" t="inlineStr">
        <is>
          <t>MediaTek Helio G99</t>
        </is>
      </c>
      <c r="K525" s="43" t="inlineStr">
        <is>
          <t>Arm Mali-G57 MC2</t>
        </is>
      </c>
      <c r="L525" s="43" t="inlineStr">
        <is>
          <t>IPS LCD, 60Hz</t>
        </is>
      </c>
      <c r="M525" s="43" t="inlineStr">
        <is>
          <t>1200x1920</t>
        </is>
      </c>
      <c r="N525" s="43" t="inlineStr">
        <is>
          <t>USB-C (USB 2.0), microSD slot</t>
        </is>
      </c>
      <c r="O525" s="43" t="inlineStr">
        <is>
          <t>Android 15</t>
        </is>
      </c>
      <c r="P525" s="43" t="n">
        <v>9</v>
      </c>
      <c r="Q525" s="46" t="n">
        <v>316</v>
      </c>
      <c r="R525" s="43" t="inlineStr">
        <is>
          <t>Lower price than Eupheme Axis Ultra 8" Mini Tablet [EUP-084-03] ($235.99 vs $410.99); Lighter than Plutus Titan Ultra 8" Mini Tablet [PLU-100-03] (316 g vs 333 g)</t>
        </is>
      </c>
      <c r="S525" s="43" t="inlineStr">
        <is>
          <t>reading, travel, gaming</t>
        </is>
      </c>
      <c r="T525" s="0" t="inlineStr">
        <is>
          <t>low_stock</t>
        </is>
      </c>
      <c r="U525" s="0" t="n">
        <v>60</v>
      </c>
      <c r="V525" s="52" t="n">
        <v>244.99</v>
      </c>
      <c r="W525" s="0" t="inlineStr">
        <is>
          <t>2026-09-04</t>
        </is>
      </c>
      <c r="X525" s="0" t="inlineStr">
        <is>
          <t>N/A</t>
        </is>
      </c>
      <c r="Y525" s="0" t="inlineStr">
        <is>
          <t>N/A</t>
        </is>
      </c>
      <c r="Z525" s="0" t="inlineStr">
        <is>
          <t>N/A</t>
        </is>
      </c>
      <c r="AA525" s="0" t="inlineStr">
        <is>
          <t>N/A</t>
        </is>
      </c>
    </row>
    <row r="526" ht="15.75" customHeight="1" s="51">
      <c r="A526" s="43" t="inlineStr">
        <is>
          <t>HEC-052-04</t>
        </is>
      </c>
      <c r="B526" s="43" t="inlineStr">
        <is>
          <t>Hecate</t>
        </is>
      </c>
      <c r="C526" s="43" t="inlineStr">
        <is>
          <t>Smartphones &amp; Tablets</t>
        </is>
      </c>
      <c r="D526" s="43" t="inlineStr">
        <is>
          <t>Tablet</t>
        </is>
      </c>
      <c r="E526" s="44" t="inlineStr">
        <is>
          <t>Hecate Apex Air E-Ink Note Tablet</t>
        </is>
      </c>
      <c r="F526" s="45" t="n">
        <v>486.99</v>
      </c>
      <c r="G526" s="43" t="inlineStr">
        <is>
          <t>the Apex Air; Hecate Apex Air; Heacte Apex Air; Apex Air tablet</t>
        </is>
      </c>
      <c r="H526" s="43" t="inlineStr">
        <is>
          <t>1 year limited</t>
        </is>
      </c>
      <c r="I526" s="43" t="inlineStr">
        <is>
          <t>FCC, CE, TUV Rheinland Low Blue Light, Energy Star</t>
        </is>
      </c>
      <c r="J526" s="43" t="inlineStr">
        <is>
          <t>Rockchip RK3566</t>
        </is>
      </c>
      <c r="K526" s="43" t="inlineStr">
        <is>
          <t>Arm Mali-G52 2EE</t>
        </is>
      </c>
      <c r="L526" s="43" t="inlineStr">
        <is>
          <t>E Ink Carta 1300, front-lit</t>
        </is>
      </c>
      <c r="M526" s="43" t="inlineStr">
        <is>
          <t>1404x1872</t>
        </is>
      </c>
      <c r="N526" s="43" t="inlineStr">
        <is>
          <t>USB-C (USB 2.0), microSD slot</t>
        </is>
      </c>
      <c r="O526" s="43" t="inlineStr">
        <is>
          <t>Android 13 (E Ink optimized)</t>
        </is>
      </c>
      <c r="P526" s="43" t="n">
        <v>180</v>
      </c>
      <c r="Q526" s="46" t="n">
        <v>427</v>
      </c>
      <c r="R526" s="43" t="inlineStr">
        <is>
          <t>Longer battery than Tyche Echo Max E-Ink Note Tablet [TYC-055-01] (180 vs 143 hrs); Lower price than Elpis Aria SE E-Ink Note Tablet [ELP-074-03] ($486.99 vs $538.99)</t>
        </is>
      </c>
      <c r="S526" s="43" t="inlineStr">
        <is>
          <t>reading, note-taking, school</t>
        </is>
      </c>
      <c r="T526" s="0" t="inlineStr">
        <is>
          <t>in_stock</t>
        </is>
      </c>
      <c r="U526" s="0" t="n">
        <v>60</v>
      </c>
      <c r="V526" s="52" t="n">
        <v>525.99</v>
      </c>
      <c r="W526" s="0" t="inlineStr">
        <is>
          <t>2026-08-24</t>
        </is>
      </c>
      <c r="X526" s="0" t="inlineStr">
        <is>
          <t>N/A</t>
        </is>
      </c>
      <c r="Y526" s="0" t="inlineStr">
        <is>
          <t>N/A</t>
        </is>
      </c>
      <c r="Z526" s="0" t="inlineStr">
        <is>
          <t>N/A</t>
        </is>
      </c>
      <c r="AA526" s="0" t="inlineStr">
        <is>
          <t>N/A</t>
        </is>
      </c>
    </row>
    <row r="527" ht="15.75" customHeight="1" s="51">
      <c r="A527" s="43" t="inlineStr">
        <is>
          <t>HEC-052-05</t>
        </is>
      </c>
      <c r="B527" s="43" t="inlineStr">
        <is>
          <t>Hecate</t>
        </is>
      </c>
      <c r="C527" s="43" t="inlineStr">
        <is>
          <t>Smartphones &amp; Tablets</t>
        </is>
      </c>
      <c r="D527" s="43" t="inlineStr">
        <is>
          <t>Smartphone</t>
        </is>
      </c>
      <c r="E527" s="44" t="inlineStr">
        <is>
          <t>Hecate Lumen Lite Rugged Smartphone</t>
        </is>
      </c>
      <c r="F527" s="45" t="n">
        <v>625.99</v>
      </c>
      <c r="G527" s="43" t="inlineStr">
        <is>
          <t>the Lumen Lite; Hecate Lumen Lite; Hecaate Lumen Lite; Lumen Lite smartphone</t>
        </is>
      </c>
      <c r="H527" s="43" t="inlineStr">
        <is>
          <t>2 year limited</t>
        </is>
      </c>
      <c r="I527" s="43" t="inlineStr">
        <is>
          <t>FCC, CE, IP69K, MIL-STD-810H</t>
        </is>
      </c>
      <c r="J527" s="43" t="inlineStr">
        <is>
          <t>Qualcomm Snapdragon 7+ Gen 3</t>
        </is>
      </c>
      <c r="K527" s="43" t="inlineStr">
        <is>
          <t>Qualcomm Adreno 732</t>
        </is>
      </c>
      <c r="L527" s="43" t="inlineStr">
        <is>
          <t>IPS LCD, Gorilla Glass Victus, 120Hz</t>
        </is>
      </c>
      <c r="M527" s="43" t="inlineStr">
        <is>
          <t>1080x2400</t>
        </is>
      </c>
      <c r="N527" s="43" t="inlineStr">
        <is>
          <t>USB-C (USB 2.0), nano-SIM + eSIM, 3.5mm headphone jack, microSD slot</t>
        </is>
      </c>
      <c r="O527" s="43" t="inlineStr">
        <is>
          <t>Android 15</t>
        </is>
      </c>
      <c r="P527" s="43" t="n">
        <v>43</v>
      </c>
      <c r="Q527" s="46" t="n">
        <v>280</v>
      </c>
      <c r="R527" s="43" t="inlineStr">
        <is>
          <t>Lighter than Hephaestus Titan Air Rugged Smartphone [HEP-076-04] (280 g vs 286 g); Longer battery than Phorcys Pulse Rugged Smartphone [PHO-087-03] (43 vs 35 hrs)</t>
        </is>
      </c>
      <c r="S527" s="43" t="inlineStr">
        <is>
          <t>outdoor, construction, fieldwork</t>
        </is>
      </c>
      <c r="T527" s="0" t="inlineStr">
        <is>
          <t>in_stock</t>
        </is>
      </c>
      <c r="U527" s="0" t="n">
        <v>60</v>
      </c>
      <c r="V527" s="52" t="n">
        <v>694.99</v>
      </c>
      <c r="W527" s="0" t="inlineStr">
        <is>
          <t>2026-09-24</t>
        </is>
      </c>
      <c r="X527" s="0" t="inlineStr">
        <is>
          <t>N/A</t>
        </is>
      </c>
      <c r="Y527" s="0" t="inlineStr">
        <is>
          <t>N/A</t>
        </is>
      </c>
      <c r="Z527" s="0" t="inlineStr">
        <is>
          <t>N/A</t>
        </is>
      </c>
      <c r="AA527" s="0" t="inlineStr">
        <is>
          <t>N/A</t>
        </is>
      </c>
    </row>
    <row r="528" ht="15.75" customHeight="1" s="51">
      <c r="A528" s="43" t="inlineStr">
        <is>
          <t>HEC-052-06</t>
        </is>
      </c>
      <c r="B528" s="43" t="inlineStr">
        <is>
          <t>Hecate</t>
        </is>
      </c>
      <c r="C528" s="43" t="inlineStr">
        <is>
          <t>Smartphones &amp; Tablets</t>
        </is>
      </c>
      <c r="D528" s="43" t="inlineStr">
        <is>
          <t>Tablet</t>
        </is>
      </c>
      <c r="E528" s="44" t="inlineStr">
        <is>
          <t>Hecate Vibe SE 11" Tablet</t>
        </is>
      </c>
      <c r="F528" s="45" t="n">
        <v>721.99</v>
      </c>
      <c r="G528" s="43" t="inlineStr">
        <is>
          <t>the Vibe SE; Hecate Vibe SE; Hceate Vibe SE; Vibe SE tablet</t>
        </is>
      </c>
      <c r="H528" s="43" t="inlineStr">
        <is>
          <t>2 year limited</t>
        </is>
      </c>
      <c r="I528" s="43" t="inlineStr">
        <is>
          <t>FCC, CE, Energy Star</t>
        </is>
      </c>
      <c r="J528" s="43" t="inlineStr">
        <is>
          <t>MediaTek Dimensity 8300</t>
        </is>
      </c>
      <c r="K528" s="43" t="inlineStr">
        <is>
          <t>Arm Mali-G615 MC6</t>
        </is>
      </c>
      <c r="L528" s="43" t="inlineStr">
        <is>
          <t>OLED, 120Hz</t>
        </is>
      </c>
      <c r="M528" s="43" t="inlineStr">
        <is>
          <t>1752x2800</t>
        </is>
      </c>
      <c r="N528" s="43" t="inlineStr">
        <is>
          <t>USB-C (USB 3.2), microSD slot</t>
        </is>
      </c>
      <c r="O528" s="43" t="inlineStr">
        <is>
          <t>Android 15</t>
        </is>
      </c>
      <c r="P528" s="43" t="n">
        <v>14</v>
      </c>
      <c r="Q528" s="46" t="n">
        <v>485</v>
      </c>
      <c r="R528" s="43" t="inlineStr">
        <is>
          <t>Lighter than Peitho Nimbus SE 11" Tablet [PEI-083-04] (485 g vs 510 g); Longer battery than Pallas Spark 11" Tablet [PAL-057-03] (14 vs 13 hrs)</t>
        </is>
      </c>
      <c r="S528" s="43" t="inlineStr">
        <is>
          <t>school, streaming, reading</t>
        </is>
      </c>
      <c r="T528" s="0" t="inlineStr">
        <is>
          <t>out_of_stock</t>
        </is>
      </c>
      <c r="U528" s="0" t="n">
        <v>60</v>
      </c>
      <c r="V528" s="52" t="n">
        <v>760.99</v>
      </c>
      <c r="W528" s="0" t="inlineStr">
        <is>
          <t>2026-08-03</t>
        </is>
      </c>
      <c r="X528" s="0" t="inlineStr">
        <is>
          <t>N/A</t>
        </is>
      </c>
      <c r="Y528" s="0" t="inlineStr">
        <is>
          <t>N/A</t>
        </is>
      </c>
      <c r="Z528" s="0" t="inlineStr">
        <is>
          <t>N/A</t>
        </is>
      </c>
      <c r="AA528" s="0" t="inlineStr">
        <is>
          <t>N/A</t>
        </is>
      </c>
    </row>
    <row r="529" ht="15.75" customHeight="1" s="51">
      <c r="A529" s="43" t="inlineStr">
        <is>
          <t>HEC-052-07</t>
        </is>
      </c>
      <c r="B529" s="43" t="inlineStr">
        <is>
          <t>Hecate</t>
        </is>
      </c>
      <c r="C529" s="43" t="inlineStr">
        <is>
          <t>Smartphones &amp; Tablets</t>
        </is>
      </c>
      <c r="D529" s="43" t="inlineStr">
        <is>
          <t>Tablet</t>
        </is>
      </c>
      <c r="E529" s="44" t="inlineStr">
        <is>
          <t>Hecate Rift 5G Tablet</t>
        </is>
      </c>
      <c r="F529" s="45" t="n">
        <v>1012.99</v>
      </c>
      <c r="G529" s="43" t="inlineStr">
        <is>
          <t>the Rift; Hecate Rift; Hceate Rift; Rift tablet</t>
        </is>
      </c>
      <c r="H529" s="43" t="inlineStr">
        <is>
          <t>2 year limited</t>
        </is>
      </c>
      <c r="I529" s="43" t="inlineStr">
        <is>
          <t>FCC, CE, Energy Star</t>
        </is>
      </c>
      <c r="J529" s="43" t="inlineStr">
        <is>
          <t>MediaTek Dimensity 9400</t>
        </is>
      </c>
      <c r="K529" s="43" t="inlineStr">
        <is>
          <t>Arm Immortalis-G925</t>
        </is>
      </c>
      <c r="L529" s="43" t="inlineStr">
        <is>
          <t>OLED, 120Hz</t>
        </is>
      </c>
      <c r="M529" s="43" t="inlineStr">
        <is>
          <t>1752x2800</t>
        </is>
      </c>
      <c r="N529" s="43" t="inlineStr">
        <is>
          <t>USB-C (USB 3.2), magnetic keyboard connector, nano-SIM + eSIM</t>
        </is>
      </c>
      <c r="O529" s="43" t="inlineStr">
        <is>
          <t>Android 15</t>
        </is>
      </c>
      <c r="P529" s="43" t="n">
        <v>13</v>
      </c>
      <c r="Q529" s="46" t="n">
        <v>513</v>
      </c>
      <c r="R529" s="43" t="inlineStr">
        <is>
          <t>Longer battery than Circe Nimbus Lite 5G Tablet [CIR-068-05] (13 vs 11 hrs); Lower price than Helios Aria 5G Tablet [HEL-073-08] ($1,012.99 vs $1,198.99)</t>
        </is>
      </c>
      <c r="S529" s="43" t="inlineStr">
        <is>
          <t>travel, streaming, work on the go</t>
        </is>
      </c>
      <c r="T529" s="0" t="inlineStr">
        <is>
          <t>in_stock</t>
        </is>
      </c>
      <c r="U529" s="0" t="n">
        <v>60</v>
      </c>
      <c r="V529" s="52" t="n">
        <v>1140.99</v>
      </c>
      <c r="W529" s="0" t="inlineStr">
        <is>
          <t>2026-09-13</t>
        </is>
      </c>
      <c r="X529" s="0" t="inlineStr">
        <is>
          <t>N/A</t>
        </is>
      </c>
      <c r="Y529" s="0" t="inlineStr">
        <is>
          <t>N/A</t>
        </is>
      </c>
      <c r="Z529" s="0" t="inlineStr">
        <is>
          <t>N/A</t>
        </is>
      </c>
      <c r="AA529" s="0" t="inlineStr">
        <is>
          <t>N/A</t>
        </is>
      </c>
    </row>
    <row r="530" ht="15.75" customHeight="1" s="51">
      <c r="A530" s="43" t="inlineStr">
        <is>
          <t>HEC-052-08</t>
        </is>
      </c>
      <c r="B530" s="43" t="inlineStr">
        <is>
          <t>Hecate</t>
        </is>
      </c>
      <c r="C530" s="43" t="inlineStr">
        <is>
          <t>Smartphones &amp; Tablets</t>
        </is>
      </c>
      <c r="D530" s="43" t="inlineStr">
        <is>
          <t>Smartphone</t>
        </is>
      </c>
      <c r="E530" s="44" t="inlineStr">
        <is>
          <t>Hecate Nova Ultra Pro Max Smartphone</t>
        </is>
      </c>
      <c r="F530" s="45" t="n">
        <v>1426.99</v>
      </c>
      <c r="G530" s="43" t="inlineStr">
        <is>
          <t>the Nova Ultra; Hecate Nova Ultra; Hceate Nova Ultra; Nova Ultra smartphone</t>
        </is>
      </c>
      <c r="H530" s="43" t="inlineStr">
        <is>
          <t>1 year limited</t>
        </is>
      </c>
      <c r="I530" s="43" t="inlineStr">
        <is>
          <t>FCC, CE, IP68, Qi2</t>
        </is>
      </c>
      <c r="J530" s="43" t="inlineStr">
        <is>
          <t>Qualcomm Snapdragon 8 Elite</t>
        </is>
      </c>
      <c r="K530" s="43" t="inlineStr">
        <is>
          <t>Qualcomm Adreno 830</t>
        </is>
      </c>
      <c r="L530" s="43" t="inlineStr">
        <is>
          <t>LTPO AMOLED, 1-120Hz</t>
        </is>
      </c>
      <c r="M530" s="43" t="inlineStr">
        <is>
          <t>1440x3120</t>
        </is>
      </c>
      <c r="N530" s="43" t="inlineStr">
        <is>
          <t>USB-C (USB 3.2), nano-SIM + eSIM</t>
        </is>
      </c>
      <c r="O530" s="43" t="inlineStr">
        <is>
          <t>Android 15</t>
        </is>
      </c>
      <c r="P530" s="43" t="n">
        <v>33</v>
      </c>
      <c r="Q530" s="46" t="n">
        <v>220</v>
      </c>
      <c r="R530" s="43" t="inlineStr">
        <is>
          <t>Longer battery than Coeus Aeon Ultra Pro Max Smartphone [COE-075-10] (33 vs 30 hrs); Lighter than Paean Vertex Lite Pro Max Smartphone [PAE-066-10] (220 g vs 225 g)</t>
        </is>
      </c>
      <c r="S530" s="43" t="inlineStr">
        <is>
          <t>photography, video, mobile gaming</t>
        </is>
      </c>
      <c r="T530" s="0" t="inlineStr">
        <is>
          <t>in_stock</t>
        </is>
      </c>
      <c r="U530" s="0" t="n">
        <v>60</v>
      </c>
      <c r="V530" s="52" t="n">
        <v>1564.99</v>
      </c>
      <c r="W530" s="0" t="inlineStr">
        <is>
          <t>2026-08-11</t>
        </is>
      </c>
      <c r="X530" s="0" t="inlineStr">
        <is>
          <t>N/A</t>
        </is>
      </c>
      <c r="Y530" s="0" t="inlineStr">
        <is>
          <t>N/A</t>
        </is>
      </c>
      <c r="Z530" s="0" t="inlineStr">
        <is>
          <t>N/A</t>
        </is>
      </c>
      <c r="AA530" s="0" t="inlineStr">
        <is>
          <t>N/A</t>
        </is>
      </c>
    </row>
    <row r="531" ht="15.75" customHeight="1" s="51">
      <c r="A531" s="43" t="inlineStr">
        <is>
          <t>HEC-052-09</t>
        </is>
      </c>
      <c r="B531" s="43" t="inlineStr">
        <is>
          <t>Hecate</t>
        </is>
      </c>
      <c r="C531" s="43" t="inlineStr">
        <is>
          <t>Smartphones &amp; Tablets</t>
        </is>
      </c>
      <c r="D531" s="43" t="inlineStr">
        <is>
          <t>Smartphone</t>
        </is>
      </c>
      <c r="E531" s="44" t="inlineStr">
        <is>
          <t>Hecate Vibe Air Foldable Phone</t>
        </is>
      </c>
      <c r="F531" s="45" t="n">
        <v>1650.99</v>
      </c>
      <c r="G531" s="43" t="inlineStr">
        <is>
          <t>the Vibe Air; Hecate Vibe Air; Hectae Vibe Air; Vibe Air smartphone</t>
        </is>
      </c>
      <c r="H531" s="43" t="inlineStr">
        <is>
          <t>1 year limited</t>
        </is>
      </c>
      <c r="I531" s="43" t="inlineStr">
        <is>
          <t>FCC, CE, IPX8</t>
        </is>
      </c>
      <c r="J531" s="43" t="inlineStr">
        <is>
          <t>Qualcomm Snapdragon 8 Elite</t>
        </is>
      </c>
      <c r="K531" s="43" t="inlineStr">
        <is>
          <t>Qualcomm Adreno 830</t>
        </is>
      </c>
      <c r="L531" s="43" t="inlineStr">
        <is>
          <t>Foldable LTPO AMOLED inner + AMOLED cover, 120Hz</t>
        </is>
      </c>
      <c r="M531" s="43" t="inlineStr">
        <is>
          <t>2160x1856 inner / 1080x2376 cover</t>
        </is>
      </c>
      <c r="N531" s="43" t="inlineStr">
        <is>
          <t>USB-C (USB 3.2), nano-SIM + eSIM</t>
        </is>
      </c>
      <c r="O531" s="43" t="inlineStr">
        <is>
          <t>Android 15</t>
        </is>
      </c>
      <c r="P531" s="43" t="n">
        <v>19</v>
      </c>
      <c r="Q531" s="46" t="n">
        <v>269</v>
      </c>
      <c r="R531" s="43" t="inlineStr">
        <is>
          <t>Longer battery than Eurus Flux Ultra Foldable Phone [EUR-088-09] (19 vs 18 hrs); Lower price than Arete Axis Plus Foldable Phone [ARE-054-10] ($1,650.99 vs $2,180.99)</t>
        </is>
      </c>
      <c r="S531" s="43" t="inlineStr">
        <is>
          <t>multitasking, business, media</t>
        </is>
      </c>
      <c r="T531" s="0" t="inlineStr">
        <is>
          <t>in_stock</t>
        </is>
      </c>
      <c r="U531" s="0" t="n">
        <v>60</v>
      </c>
      <c r="V531" s="52" t="n">
        <v>1815.99</v>
      </c>
      <c r="W531" s="0" t="inlineStr">
        <is>
          <t>2026-09-21</t>
        </is>
      </c>
      <c r="X531" s="0" t="inlineStr">
        <is>
          <t>N/A</t>
        </is>
      </c>
      <c r="Y531" s="0" t="inlineStr">
        <is>
          <t>N/A</t>
        </is>
      </c>
      <c r="Z531" s="0" t="inlineStr">
        <is>
          <t>N/A</t>
        </is>
      </c>
      <c r="AA531" s="0" t="inlineStr">
        <is>
          <t>N/A</t>
        </is>
      </c>
    </row>
    <row r="532" ht="15.75" customHeight="1" s="51">
      <c r="A532" s="43" t="inlineStr">
        <is>
          <t>HEC-052-10</t>
        </is>
      </c>
      <c r="B532" s="43" t="inlineStr">
        <is>
          <t>Hecate</t>
        </is>
      </c>
      <c r="C532" s="43" t="inlineStr">
        <is>
          <t>Smartphones &amp; Tablets</t>
        </is>
      </c>
      <c r="D532" s="43" t="inlineStr">
        <is>
          <t>Tablet</t>
        </is>
      </c>
      <c r="E532" s="44" t="inlineStr">
        <is>
          <t>Hecate Flux Air 13" Pro Tablet</t>
        </is>
      </c>
      <c r="F532" s="45" t="n">
        <v>1849.99</v>
      </c>
      <c r="G532" s="43" t="inlineStr">
        <is>
          <t>the Flux Air; Hecate Flux Air; Hecat Flux Air; Flux Air tablet</t>
        </is>
      </c>
      <c r="H532" s="43" t="inlineStr">
        <is>
          <t>2 year limited</t>
        </is>
      </c>
      <c r="I532" s="43" t="inlineStr">
        <is>
          <t>FCC, CE, Energy Star</t>
        </is>
      </c>
      <c r="J532" s="43" t="inlineStr">
        <is>
          <t>Qualcomm Snapdragon 8 Elite</t>
        </is>
      </c>
      <c r="K532" s="43" t="inlineStr">
        <is>
          <t>Qualcomm Adreno 830</t>
        </is>
      </c>
      <c r="L532" s="43" t="inlineStr">
        <is>
          <t>Mini-LED, 144Hz</t>
        </is>
      </c>
      <c r="M532" s="43" t="inlineStr">
        <is>
          <t>2960x1848</t>
        </is>
      </c>
      <c r="N532" s="43" t="inlineStr">
        <is>
          <t>USB-C (USB 3.2), magnetic keyboard connector</t>
        </is>
      </c>
      <c r="O532" s="43" t="inlineStr">
        <is>
          <t>Android 15</t>
        </is>
      </c>
      <c r="P532" s="43" t="n">
        <v>13</v>
      </c>
      <c r="Q532" s="46" t="n">
        <v>677</v>
      </c>
      <c r="R532" s="43" t="inlineStr">
        <is>
          <t>Longer battery than Leto Sable 13" Pro Tablet [LET-077-10] (13 vs 10 hrs)</t>
        </is>
      </c>
      <c r="S532" s="43" t="inlineStr">
        <is>
          <t>creative work, productivity, drawing</t>
        </is>
      </c>
      <c r="T532" s="0" t="inlineStr">
        <is>
          <t>low_stock</t>
        </is>
      </c>
      <c r="U532" s="0" t="n">
        <v>60</v>
      </c>
      <c r="V532" s="52" t="n">
        <v>1950.99</v>
      </c>
      <c r="W532" s="0" t="inlineStr">
        <is>
          <t>2026-09-19</t>
        </is>
      </c>
      <c r="X532" s="0" t="inlineStr">
        <is>
          <t>N/A</t>
        </is>
      </c>
      <c r="Y532" s="0" t="inlineStr">
        <is>
          <t>N/A</t>
        </is>
      </c>
      <c r="Z532" s="0" t="inlineStr">
        <is>
          <t>N/A</t>
        </is>
      </c>
      <c r="AA532" s="0" t="inlineStr">
        <is>
          <t>N/A</t>
        </is>
      </c>
    </row>
    <row r="533" ht="15.75" customHeight="1" s="51">
      <c r="A533" s="43" t="inlineStr">
        <is>
          <t>PHO-053-01</t>
        </is>
      </c>
      <c r="B533" s="43" t="inlineStr">
        <is>
          <t>Phobos</t>
        </is>
      </c>
      <c r="C533" s="43" t="inlineStr">
        <is>
          <t>Smartphones &amp; Tablets</t>
        </is>
      </c>
      <c r="D533" s="43" t="inlineStr">
        <is>
          <t>Tablet</t>
        </is>
      </c>
      <c r="E533" s="44" t="inlineStr">
        <is>
          <t>Phobos Echo X Kids Tablet</t>
        </is>
      </c>
      <c r="F533" s="45" t="n">
        <v>88.98999999999999</v>
      </c>
      <c r="G533" s="43" t="inlineStr">
        <is>
          <t>the Echo X; Phobos Echo X; Fobos Echo X; Echo X tablet</t>
        </is>
      </c>
      <c r="H533" s="43" t="inlineStr">
        <is>
          <t>1 year limited</t>
        </is>
      </c>
      <c r="I533" s="43" t="inlineStr">
        <is>
          <t>FCC, CE, TUV Rheinland Low Blue Light, EN 71 Toy Safety</t>
        </is>
      </c>
      <c r="J533" s="43" t="inlineStr">
        <is>
          <t>MediaTek Helio G88</t>
        </is>
      </c>
      <c r="K533" s="43" t="inlineStr">
        <is>
          <t>Arm Mali-G52 MC2</t>
        </is>
      </c>
      <c r="L533" s="43" t="inlineStr">
        <is>
          <t>IPS LCD, 60Hz</t>
        </is>
      </c>
      <c r="M533" s="43" t="inlineStr">
        <is>
          <t>800x1280</t>
        </is>
      </c>
      <c r="N533" s="43" t="inlineStr">
        <is>
          <t>USB-C (USB 2.0), microSD slot</t>
        </is>
      </c>
      <c r="O533" s="43" t="inlineStr">
        <is>
          <t>Android 14 with parental controls</t>
        </is>
      </c>
      <c r="P533" s="43" t="n">
        <v>8</v>
      </c>
      <c r="Q533" s="46" t="n">
        <v>406</v>
      </c>
      <c r="R533" s="43" t="inlineStr">
        <is>
          <t>Lower price than Iapetus Blaze Kids Tablet [IAP-096-01] ($88.99 vs $136.99); Lighter than Pothos Volt Kids Tablet [POT-072-01] (406 g vs 436 g)</t>
        </is>
      </c>
      <c r="S533" s="43" t="inlineStr">
        <is>
          <t>kids, learning, games</t>
        </is>
      </c>
      <c r="T533" s="0" t="inlineStr">
        <is>
          <t>in_stock</t>
        </is>
      </c>
      <c r="U533" s="0" t="n">
        <v>30</v>
      </c>
      <c r="V533" s="52" t="n">
        <v>92.98999999999999</v>
      </c>
      <c r="W533" s="0" t="inlineStr">
        <is>
          <t>2026-08-10</t>
        </is>
      </c>
      <c r="X533" s="0" t="inlineStr">
        <is>
          <t>N/A</t>
        </is>
      </c>
      <c r="Y533" s="0" t="inlineStr">
        <is>
          <t>N/A</t>
        </is>
      </c>
      <c r="Z533" s="0" t="inlineStr">
        <is>
          <t>N/A</t>
        </is>
      </c>
      <c r="AA533" s="0" t="inlineStr">
        <is>
          <t>N/A</t>
        </is>
      </c>
    </row>
    <row r="534" ht="15.75" customHeight="1" s="51">
      <c r="A534" s="43" t="inlineStr">
        <is>
          <t>PHO-053-02</t>
        </is>
      </c>
      <c r="B534" s="43" t="inlineStr">
        <is>
          <t>Phobos</t>
        </is>
      </c>
      <c r="C534" s="43" t="inlineStr">
        <is>
          <t>Smartphones &amp; Tablets</t>
        </is>
      </c>
      <c r="D534" s="43" t="inlineStr">
        <is>
          <t>Tablet</t>
        </is>
      </c>
      <c r="E534" s="44" t="inlineStr">
        <is>
          <t>Phobos Aria 8" Mini Tablet</t>
        </is>
      </c>
      <c r="F534" s="45" t="n">
        <v>219.99</v>
      </c>
      <c r="G534" s="43" t="inlineStr">
        <is>
          <t>the Aria; Phobos Aria; Phboos Aria; Aria tablet</t>
        </is>
      </c>
      <c r="H534" s="43" t="inlineStr">
        <is>
          <t>1 year limited</t>
        </is>
      </c>
      <c r="I534" s="43" t="inlineStr">
        <is>
          <t>FCC, CE, TUV Rheinland Low Blue Light</t>
        </is>
      </c>
      <c r="J534" s="43" t="inlineStr">
        <is>
          <t>MediaTek Helio G99</t>
        </is>
      </c>
      <c r="K534" s="43" t="inlineStr">
        <is>
          <t>Arm Mali-G57 MC2</t>
        </is>
      </c>
      <c r="L534" s="43" t="inlineStr">
        <is>
          <t>IPS LCD, 60Hz</t>
        </is>
      </c>
      <c r="M534" s="43" t="inlineStr">
        <is>
          <t>1200x1920</t>
        </is>
      </c>
      <c r="N534" s="43" t="inlineStr">
        <is>
          <t>USB-C (USB 2.0), microSD slot</t>
        </is>
      </c>
      <c r="O534" s="43" t="inlineStr">
        <is>
          <t>Android 15</t>
        </is>
      </c>
      <c r="P534" s="43" t="n">
        <v>11</v>
      </c>
      <c r="Q534" s="46" t="n">
        <v>321</v>
      </c>
      <c r="R534" s="43" t="inlineStr">
        <is>
          <t>Lower price than Clymene Crest 8" Mini Tablet [CLY-067-04] ($219.99 vs $426.99); Longer battery than Leto Flux Lite 8" Mini Tablet [LET-077-03] (11 vs 9 hrs)</t>
        </is>
      </c>
      <c r="S534" s="43" t="inlineStr">
        <is>
          <t>reading, travel, gaming</t>
        </is>
      </c>
      <c r="T534" s="0" t="inlineStr">
        <is>
          <t>in_stock</t>
        </is>
      </c>
      <c r="U534" s="0" t="n">
        <v>30</v>
      </c>
      <c r="V534" s="52" t="n">
        <v>231.99</v>
      </c>
      <c r="W534" s="0" t="inlineStr">
        <is>
          <t>2026-09-23</t>
        </is>
      </c>
      <c r="X534" s="0" t="inlineStr">
        <is>
          <t>N/A</t>
        </is>
      </c>
      <c r="Y534" s="0" t="inlineStr">
        <is>
          <t>N/A</t>
        </is>
      </c>
      <c r="Z534" s="0" t="inlineStr">
        <is>
          <t>N/A</t>
        </is>
      </c>
      <c r="AA534" s="0" t="inlineStr">
        <is>
          <t>N/A</t>
        </is>
      </c>
    </row>
    <row r="535" ht="15.75" customHeight="1" s="51">
      <c r="A535" s="43" t="inlineStr">
        <is>
          <t>PHO-053-03</t>
        </is>
      </c>
      <c r="B535" s="43" t="inlineStr">
        <is>
          <t>Phobos</t>
        </is>
      </c>
      <c r="C535" s="43" t="inlineStr">
        <is>
          <t>Smartphones &amp; Tablets</t>
        </is>
      </c>
      <c r="D535" s="43" t="inlineStr">
        <is>
          <t>Smartphone</t>
        </is>
      </c>
      <c r="E535" s="44" t="inlineStr">
        <is>
          <t>Phobos Aria X Budget Smartphone</t>
        </is>
      </c>
      <c r="F535" s="45" t="n">
        <v>300.99</v>
      </c>
      <c r="G535" s="43" t="inlineStr">
        <is>
          <t>the Aria X; Phobos Aria X; Phobo Aria X; Aria X smartphone</t>
        </is>
      </c>
      <c r="H535" s="43" t="inlineStr">
        <is>
          <t>1 year limited</t>
        </is>
      </c>
      <c r="I535" s="43" t="inlineStr">
        <is>
          <t>FCC, CE, IP54</t>
        </is>
      </c>
      <c r="J535" s="43" t="inlineStr">
        <is>
          <t>Qualcomm Snapdragon 6 Gen 1</t>
        </is>
      </c>
      <c r="K535" s="43" t="inlineStr">
        <is>
          <t>Qualcomm Adreno 710</t>
        </is>
      </c>
      <c r="L535" s="43" t="inlineStr">
        <is>
          <t>IPS LCD, 90Hz</t>
        </is>
      </c>
      <c r="M535" s="43" t="inlineStr">
        <is>
          <t>1080x2400</t>
        </is>
      </c>
      <c r="N535" s="43" t="inlineStr">
        <is>
          <t>USB-C (USB 2.0), nano-SIM + eSIM, 3.5mm headphone jack, microSD slot</t>
        </is>
      </c>
      <c r="O535" s="43" t="inlineStr">
        <is>
          <t>Android 14</t>
        </is>
      </c>
      <c r="P535" s="43" t="n">
        <v>30</v>
      </c>
      <c r="Q535" s="46" t="n">
        <v>193</v>
      </c>
      <c r="R535" s="43" t="inlineStr">
        <is>
          <t>Longer battery than Epimetheus Nimbus X Budget Smartphone [EPI-091-01] (30 vs 27 hrs); Lower price than Leto Core Pro Budget Smartphone [LET-077-02] ($300.99 vs $312.99)</t>
        </is>
      </c>
      <c r="S535" s="43" t="inlineStr">
        <is>
          <t>budget, first phone, everyday</t>
        </is>
      </c>
      <c r="T535" s="0" t="inlineStr">
        <is>
          <t>low_stock</t>
        </is>
      </c>
      <c r="U535" s="0" t="n">
        <v>30</v>
      </c>
      <c r="V535" s="52" t="n">
        <v>321.99</v>
      </c>
      <c r="W535" s="0" t="inlineStr">
        <is>
          <t>2026-09-15</t>
        </is>
      </c>
      <c r="X535" s="0" t="inlineStr">
        <is>
          <t>N/A</t>
        </is>
      </c>
      <c r="Y535" s="0" t="inlineStr">
        <is>
          <t>N/A</t>
        </is>
      </c>
      <c r="Z535" s="0" t="inlineStr">
        <is>
          <t>N/A</t>
        </is>
      </c>
      <c r="AA535" s="0" t="inlineStr">
        <is>
          <t>N/A</t>
        </is>
      </c>
    </row>
    <row r="536" ht="15.75" customHeight="1" s="51">
      <c r="A536" s="43" t="inlineStr">
        <is>
          <t>PHO-053-04</t>
        </is>
      </c>
      <c r="B536" s="43" t="inlineStr">
        <is>
          <t>Phobos</t>
        </is>
      </c>
      <c r="C536" s="43" t="inlineStr">
        <is>
          <t>Smartphones &amp; Tablets</t>
        </is>
      </c>
      <c r="D536" s="43" t="inlineStr">
        <is>
          <t>Tablet</t>
        </is>
      </c>
      <c r="E536" s="44" t="inlineStr">
        <is>
          <t>Phobos Drift Pro 5G Tablet</t>
        </is>
      </c>
      <c r="F536" s="45" t="n">
        <v>769.99</v>
      </c>
      <c r="G536" s="43" t="inlineStr">
        <is>
          <t>the Drift Pro; Phobos Drift Pro; Phhobos Drift Pro; Drift Pro tablet</t>
        </is>
      </c>
      <c r="H536" s="43" t="inlineStr">
        <is>
          <t>1 year limited</t>
        </is>
      </c>
      <c r="I536" s="43" t="inlineStr">
        <is>
          <t>FCC, CE</t>
        </is>
      </c>
      <c r="J536" s="43" t="inlineStr">
        <is>
          <t>MediaTek Dimensity 8300</t>
        </is>
      </c>
      <c r="K536" s="43" t="inlineStr">
        <is>
          <t>Arm Mali-G615 MC6</t>
        </is>
      </c>
      <c r="L536" s="43" t="inlineStr">
        <is>
          <t>IPS LCD, 90Hz</t>
        </is>
      </c>
      <c r="M536" s="43" t="inlineStr">
        <is>
          <t>1600x2560</t>
        </is>
      </c>
      <c r="N536" s="43" t="inlineStr">
        <is>
          <t>USB-C (USB 3.2), microSD slot, nano-SIM + eSIM</t>
        </is>
      </c>
      <c r="O536" s="43" t="inlineStr">
        <is>
          <t>Android 15</t>
        </is>
      </c>
      <c r="P536" s="43" t="n">
        <v>12</v>
      </c>
      <c r="Q536" s="46" t="n">
        <v>480</v>
      </c>
      <c r="R536" s="43" t="inlineStr">
        <is>
          <t>Lower price than Arete Nimbus Lite 5G Tablet [ARE-054-06] ($769.99 vs $851.99); Lighter than Erebus Nova Pro 5G Tablet [ERE-098-06] (480 g vs 504 g)</t>
        </is>
      </c>
      <c r="S536" s="43" t="inlineStr">
        <is>
          <t>travel, streaming, work on the go</t>
        </is>
      </c>
      <c r="T536" s="0" t="inlineStr">
        <is>
          <t>low_stock</t>
        </is>
      </c>
      <c r="U536" s="0" t="n">
        <v>30</v>
      </c>
      <c r="V536" s="52" t="n">
        <v>819.99</v>
      </c>
      <c r="W536" s="0" t="inlineStr">
        <is>
          <t>2026-09-05</t>
        </is>
      </c>
      <c r="X536" s="0" t="inlineStr">
        <is>
          <t>N/A</t>
        </is>
      </c>
      <c r="Y536" s="0" t="inlineStr">
        <is>
          <t>N/A</t>
        </is>
      </c>
      <c r="Z536" s="0" t="inlineStr">
        <is>
          <t>N/A</t>
        </is>
      </c>
      <c r="AA536" s="0" t="inlineStr">
        <is>
          <t>N/A</t>
        </is>
      </c>
    </row>
    <row r="537" ht="15.75" customHeight="1" s="51">
      <c r="A537" s="43" t="inlineStr">
        <is>
          <t>PHO-053-05</t>
        </is>
      </c>
      <c r="B537" s="43" t="inlineStr">
        <is>
          <t>Phobos</t>
        </is>
      </c>
      <c r="C537" s="43" t="inlineStr">
        <is>
          <t>Smartphones &amp; Tablets</t>
        </is>
      </c>
      <c r="D537" s="43" t="inlineStr">
        <is>
          <t>Smartphone</t>
        </is>
      </c>
      <c r="E537" s="44" t="inlineStr">
        <is>
          <t>Phobos Lumen SE Compact Smartphone</t>
        </is>
      </c>
      <c r="F537" s="45" t="n">
        <v>890.99</v>
      </c>
      <c r="G537" s="43" t="inlineStr">
        <is>
          <t>the Lumen SE; Phobos Lumen SE; Phobo Lumen SE; Lumen SE smartphone</t>
        </is>
      </c>
      <c r="H537" s="43" t="inlineStr">
        <is>
          <t>2 year limited</t>
        </is>
      </c>
      <c r="I537" s="43" t="inlineStr">
        <is>
          <t>FCC, CE, IP68</t>
        </is>
      </c>
      <c r="J537" s="43" t="inlineStr">
        <is>
          <t>Qualcomm Snapdragon 8 Gen 3</t>
        </is>
      </c>
      <c r="K537" s="43" t="inlineStr">
        <is>
          <t>Qualcomm Adreno 750</t>
        </is>
      </c>
      <c r="L537" s="43" t="inlineStr">
        <is>
          <t>AMOLED, 120Hz</t>
        </is>
      </c>
      <c r="M537" s="43" t="inlineStr">
        <is>
          <t>1080x2340</t>
        </is>
      </c>
      <c r="N537" s="43" t="inlineStr">
        <is>
          <t>USB-C (USB 3.2), nano-SIM + eSIM</t>
        </is>
      </c>
      <c r="O537" s="43" t="inlineStr">
        <is>
          <t>Android 15</t>
        </is>
      </c>
      <c r="P537" s="43" t="n">
        <v>18</v>
      </c>
      <c r="Q537" s="46" t="n">
        <v>154</v>
      </c>
      <c r="R537" s="43" t="inlineStr">
        <is>
          <t>Lighter than Theia Strata Plus Compact Smartphone [THE-081-04] (154 g vs 161 g); Lower price than Erato Titan Plus Compact Smartphone [ERA-085-06] ($890.99 vs $894.99)</t>
        </is>
      </c>
      <c r="S537" s="43" t="inlineStr">
        <is>
          <t>everyday, one-handed use</t>
        </is>
      </c>
      <c r="T537" s="0" t="inlineStr">
        <is>
          <t>in_stock</t>
        </is>
      </c>
      <c r="U537" s="0" t="n">
        <v>30</v>
      </c>
      <c r="V537" s="52" t="n">
        <v>984.99</v>
      </c>
      <c r="W537" s="0" t="inlineStr">
        <is>
          <t>2026-08-03</t>
        </is>
      </c>
      <c r="X537" s="0" t="inlineStr">
        <is>
          <t>N/A</t>
        </is>
      </c>
      <c r="Y537" s="0" t="inlineStr">
        <is>
          <t>N/A</t>
        </is>
      </c>
      <c r="Z537" s="0" t="inlineStr">
        <is>
          <t>N/A</t>
        </is>
      </c>
      <c r="AA537" s="0" t="inlineStr">
        <is>
          <t>N/A</t>
        </is>
      </c>
    </row>
    <row r="538" ht="15.75" customHeight="1" s="51">
      <c r="A538" s="43" t="inlineStr">
        <is>
          <t>PHO-053-06</t>
        </is>
      </c>
      <c r="B538" s="43" t="inlineStr">
        <is>
          <t>Phobos</t>
        </is>
      </c>
      <c r="C538" s="43" t="inlineStr">
        <is>
          <t>Smartphones &amp; Tablets</t>
        </is>
      </c>
      <c r="D538" s="43" t="inlineStr">
        <is>
          <t>Smartphone</t>
        </is>
      </c>
      <c r="E538" s="44" t="inlineStr">
        <is>
          <t>Phobos Titan Flip Foldable Phone</t>
        </is>
      </c>
      <c r="F538" s="45" t="n">
        <v>1112.99</v>
      </c>
      <c r="G538" s="43" t="inlineStr">
        <is>
          <t>the Titan; Phobos Titan; Pohbos Titan; Titan smartphone</t>
        </is>
      </c>
      <c r="H538" s="43" t="inlineStr">
        <is>
          <t>2 year limited</t>
        </is>
      </c>
      <c r="I538" s="43" t="inlineStr">
        <is>
          <t>FCC, CE, IPX8</t>
        </is>
      </c>
      <c r="J538" s="43" t="inlineStr">
        <is>
          <t>MediaTek Dimensity 9400</t>
        </is>
      </c>
      <c r="K538" s="43" t="inlineStr">
        <is>
          <t>Arm Immortalis-G925</t>
        </is>
      </c>
      <c r="L538" s="43" t="inlineStr">
        <is>
          <t>Foldable AMOLED inner + AMOLED cover screen</t>
        </is>
      </c>
      <c r="M538" s="43" t="inlineStr">
        <is>
          <t>1080x2640 inner / 720x748 cover</t>
        </is>
      </c>
      <c r="N538" s="43" t="inlineStr">
        <is>
          <t>USB-C (USB 3.2), nano-SIM + eSIM</t>
        </is>
      </c>
      <c r="O538" s="43" t="inlineStr">
        <is>
          <t>Android 15</t>
        </is>
      </c>
      <c r="P538" s="43" t="n">
        <v>20</v>
      </c>
      <c r="Q538" s="46" t="n">
        <v>194</v>
      </c>
      <c r="R538" s="43" t="inlineStr">
        <is>
          <t>Lower price than Styx Sable X Flip Foldable Phone [STY-058-07] ($1,112.99 vs $1,133.99); Longer battery than Plutus Arc Max Flip Foldable Phone [PLU-100-07] (20 vs 19 hrs)</t>
        </is>
      </c>
      <c r="S538" s="43" t="inlineStr">
        <is>
          <t>style, everyday, compact</t>
        </is>
      </c>
      <c r="T538" s="0" t="inlineStr">
        <is>
          <t>in_stock</t>
        </is>
      </c>
      <c r="U538" s="0" t="n">
        <v>30</v>
      </c>
      <c r="V538" s="52" t="n">
        <v>1178.99</v>
      </c>
      <c r="W538" s="0" t="inlineStr">
        <is>
          <t>2026-08-10</t>
        </is>
      </c>
      <c r="X538" s="0" t="inlineStr">
        <is>
          <t>N/A</t>
        </is>
      </c>
      <c r="Y538" s="0" t="inlineStr">
        <is>
          <t>N/A</t>
        </is>
      </c>
      <c r="Z538" s="0" t="inlineStr">
        <is>
          <t>N/A</t>
        </is>
      </c>
      <c r="AA538" s="0" t="inlineStr">
        <is>
          <t>N/A</t>
        </is>
      </c>
    </row>
    <row r="539" ht="15.75" customHeight="1" s="51">
      <c r="A539" s="43" t="inlineStr">
        <is>
          <t>PHO-053-07</t>
        </is>
      </c>
      <c r="B539" s="43" t="inlineStr">
        <is>
          <t>Phobos</t>
        </is>
      </c>
      <c r="C539" s="43" t="inlineStr">
        <is>
          <t>Smartphones &amp; Tablets</t>
        </is>
      </c>
      <c r="D539" s="43" t="inlineStr">
        <is>
          <t>Tablet</t>
        </is>
      </c>
      <c r="E539" s="44" t="inlineStr">
        <is>
          <t>Phobos Quanta X Drawing Tablet with Stylus</t>
        </is>
      </c>
      <c r="F539" s="45" t="n">
        <v>1135.99</v>
      </c>
      <c r="G539" s="43" t="inlineStr">
        <is>
          <t>the Quanta X; Phobos Quanta X; Phobbos Quanta X; Quanta X tablet</t>
        </is>
      </c>
      <c r="H539" s="43" t="inlineStr">
        <is>
          <t>2 year limited</t>
        </is>
      </c>
      <c r="I539" s="43" t="inlineStr">
        <is>
          <t>FCC, CE, TUV Rheinland Low Blue Light, Energy Star</t>
        </is>
      </c>
      <c r="J539" s="43" t="inlineStr">
        <is>
          <t>MediaTek Dimensity 9400</t>
        </is>
      </c>
      <c r="K539" s="43" t="inlineStr">
        <is>
          <t>Arm Immortalis-G925</t>
        </is>
      </c>
      <c r="L539" s="43" t="inlineStr">
        <is>
          <t>OLED, 120Hz, pen digitizer</t>
        </is>
      </c>
      <c r="M539" s="43" t="inlineStr">
        <is>
          <t>2560x1600</t>
        </is>
      </c>
      <c r="N539" s="43" t="inlineStr">
        <is>
          <t>USB-C (USB 3.2), magnetic keyboard connector</t>
        </is>
      </c>
      <c r="O539" s="43" t="inlineStr">
        <is>
          <t>Android 15</t>
        </is>
      </c>
      <c r="P539" s="43" t="n">
        <v>12</v>
      </c>
      <c r="Q539" s="46" t="n">
        <v>612</v>
      </c>
      <c r="R539" s="43" t="inlineStr">
        <is>
          <t>Longer battery than Comus Axis Ultra Drawing Tablet with Stylus [COM-078-08] (12 vs 9 hrs); Lighter than Mnemosyne Vertex Lite Drawing Tablet with Stylus [MNE-061-06] (612 g vs 639 g)</t>
        </is>
      </c>
      <c r="S539" s="43" t="inlineStr">
        <is>
          <t>drawing, design, note-taking</t>
        </is>
      </c>
      <c r="T539" s="0" t="inlineStr">
        <is>
          <t>in_stock</t>
        </is>
      </c>
      <c r="U539" s="0" t="n">
        <v>30</v>
      </c>
      <c r="V539" s="52" t="n">
        <v>1238.99</v>
      </c>
      <c r="W539" s="0" t="inlineStr">
        <is>
          <t>2026-09-18</t>
        </is>
      </c>
      <c r="X539" s="0" t="inlineStr">
        <is>
          <t>N/A</t>
        </is>
      </c>
      <c r="Y539" s="0" t="inlineStr">
        <is>
          <t>N/A</t>
        </is>
      </c>
      <c r="Z539" s="0" t="inlineStr">
        <is>
          <t>N/A</t>
        </is>
      </c>
      <c r="AA539" s="0" t="inlineStr">
        <is>
          <t>N/A</t>
        </is>
      </c>
    </row>
    <row r="540" ht="15.75" customHeight="1" s="51">
      <c r="A540" s="43" t="inlineStr">
        <is>
          <t>PHO-053-08</t>
        </is>
      </c>
      <c r="B540" s="43" t="inlineStr">
        <is>
          <t>Phobos</t>
        </is>
      </c>
      <c r="C540" s="43" t="inlineStr">
        <is>
          <t>Smartphones &amp; Tablets</t>
        </is>
      </c>
      <c r="D540" s="43" t="inlineStr">
        <is>
          <t>Smartphone</t>
        </is>
      </c>
      <c r="E540" s="44" t="inlineStr">
        <is>
          <t>Phobos Apex X Pro Max Smartphone</t>
        </is>
      </c>
      <c r="F540" s="45" t="n">
        <v>1185.99</v>
      </c>
      <c r="G540" s="43" t="inlineStr">
        <is>
          <t>the Apex X; Phobos Apex X; Phoobos Apex X; Apex X smartphone</t>
        </is>
      </c>
      <c r="H540" s="43" t="inlineStr">
        <is>
          <t>1 year limited</t>
        </is>
      </c>
      <c r="I540" s="43" t="inlineStr">
        <is>
          <t>FCC, CE, IP68, Qi2</t>
        </is>
      </c>
      <c r="J540" s="43" t="inlineStr">
        <is>
          <t>MediaTek Dimensity 9400</t>
        </is>
      </c>
      <c r="K540" s="43" t="inlineStr">
        <is>
          <t>Arm Immortalis-G925</t>
        </is>
      </c>
      <c r="L540" s="43" t="inlineStr">
        <is>
          <t>LTPO AMOLED, 1-120Hz</t>
        </is>
      </c>
      <c r="M540" s="43" t="inlineStr">
        <is>
          <t>1440x3120</t>
        </is>
      </c>
      <c r="N540" s="43" t="inlineStr">
        <is>
          <t>USB-C (USB 3.2), nano-SIM + eSIM</t>
        </is>
      </c>
      <c r="O540" s="43" t="inlineStr">
        <is>
          <t>Android 15</t>
        </is>
      </c>
      <c r="P540" s="43" t="n">
        <v>28</v>
      </c>
      <c r="Q540" s="46" t="n">
        <v>212</v>
      </c>
      <c r="R540" s="43" t="inlineStr">
        <is>
          <t>Lower price than Paean Vertex Lite Pro Max Smartphone [PAE-066-10] ($1,185.99 vs $1,244.99); Lighter than Aletheia Flux SE Pro Max Smartphone [ALE-089-09] (212 g vs 214 g)</t>
        </is>
      </c>
      <c r="S540" s="43" t="inlineStr">
        <is>
          <t>photography, video, mobile gaming</t>
        </is>
      </c>
      <c r="T540" s="0" t="inlineStr">
        <is>
          <t>in_stock</t>
        </is>
      </c>
      <c r="U540" s="0" t="n">
        <v>30</v>
      </c>
      <c r="V540" s="52" t="n">
        <v>1252.99</v>
      </c>
      <c r="W540" s="0" t="inlineStr">
        <is>
          <t>2026-09-10</t>
        </is>
      </c>
      <c r="X540" s="0" t="inlineStr">
        <is>
          <t>N/A</t>
        </is>
      </c>
      <c r="Y540" s="0" t="inlineStr">
        <is>
          <t>N/A</t>
        </is>
      </c>
      <c r="Z540" s="0" t="inlineStr">
        <is>
          <t>N/A</t>
        </is>
      </c>
      <c r="AA540" s="0" t="inlineStr">
        <is>
          <t>N/A</t>
        </is>
      </c>
    </row>
    <row r="541" ht="15.75" customHeight="1" s="51">
      <c r="A541" s="43" t="inlineStr">
        <is>
          <t>PHO-053-09</t>
        </is>
      </c>
      <c r="B541" s="43" t="inlineStr">
        <is>
          <t>Phobos</t>
        </is>
      </c>
      <c r="C541" s="43" t="inlineStr">
        <is>
          <t>Smartphones &amp; Tablets</t>
        </is>
      </c>
      <c r="D541" s="43" t="inlineStr">
        <is>
          <t>Tablet</t>
        </is>
      </c>
      <c r="E541" s="44" t="inlineStr">
        <is>
          <t>Phobos Drift Lite 13" Pro Tablet</t>
        </is>
      </c>
      <c r="F541" s="45" t="n">
        <v>1512.99</v>
      </c>
      <c r="G541" s="43" t="inlineStr">
        <is>
          <t>the Drift Lite; Phobos Drift Lite; Phboos Drift Lite; Drift Lite tablet</t>
        </is>
      </c>
      <c r="H541" s="43" t="inlineStr">
        <is>
          <t>1 year limited</t>
        </is>
      </c>
      <c r="I541" s="43" t="inlineStr">
        <is>
          <t>FCC, CE, Energy Star</t>
        </is>
      </c>
      <c r="J541" s="43" t="inlineStr">
        <is>
          <t>Qualcomm Snapdragon 8 Elite</t>
        </is>
      </c>
      <c r="K541" s="43" t="inlineStr">
        <is>
          <t>Qualcomm Adreno 830</t>
        </is>
      </c>
      <c r="L541" s="43" t="inlineStr">
        <is>
          <t>Mini-LED, 144Hz</t>
        </is>
      </c>
      <c r="M541" s="43" t="inlineStr">
        <is>
          <t>2960x1848</t>
        </is>
      </c>
      <c r="N541" s="43" t="inlineStr">
        <is>
          <t>USB-C (USB 3.2), magnetic keyboard connector</t>
        </is>
      </c>
      <c r="O541" s="43" t="inlineStr">
        <is>
          <t>Android 15</t>
        </is>
      </c>
      <c r="P541" s="43" t="n">
        <v>12</v>
      </c>
      <c r="Q541" s="46" t="n">
        <v>602</v>
      </c>
      <c r="R541" s="43" t="inlineStr">
        <is>
          <t>Lighter than Oceanus Echo Max 13" Pro Tablet [OCE-060-09] (602 g vs 608 g); Longer battery than Leucothea Aeon Plus 13" Pro Tablet [LEU-095-08] (12 vs 9 hrs)</t>
        </is>
      </c>
      <c r="S541" s="43" t="inlineStr">
        <is>
          <t>creative work, productivity, drawing</t>
        </is>
      </c>
      <c r="T541" s="0" t="inlineStr">
        <is>
          <t>in_stock</t>
        </is>
      </c>
      <c r="U541" s="0" t="n">
        <v>30</v>
      </c>
      <c r="V541" s="52" t="n">
        <v>1680.99</v>
      </c>
      <c r="W541" s="0" t="inlineStr">
        <is>
          <t>2026-09-21</t>
        </is>
      </c>
      <c r="X541" s="0" t="inlineStr">
        <is>
          <t>N/A</t>
        </is>
      </c>
      <c r="Y541" s="0" t="inlineStr">
        <is>
          <t>N/A</t>
        </is>
      </c>
      <c r="Z541" s="0" t="inlineStr">
        <is>
          <t>N/A</t>
        </is>
      </c>
      <c r="AA541" s="0" t="inlineStr">
        <is>
          <t>N/A</t>
        </is>
      </c>
    </row>
    <row r="542" ht="15.75" customHeight="1" s="51">
      <c r="A542" s="43" t="inlineStr">
        <is>
          <t>PHO-053-10</t>
        </is>
      </c>
      <c r="B542" s="43" t="inlineStr">
        <is>
          <t>Phobos</t>
        </is>
      </c>
      <c r="C542" s="43" t="inlineStr">
        <is>
          <t>Smartphones &amp; Tablets</t>
        </is>
      </c>
      <c r="D542" s="43" t="inlineStr">
        <is>
          <t>Smartphone</t>
        </is>
      </c>
      <c r="E542" s="44" t="inlineStr">
        <is>
          <t>Phobos Lumen Lite Foldable Phone</t>
        </is>
      </c>
      <c r="F542" s="45" t="n">
        <v>1904.99</v>
      </c>
      <c r="G542" s="43" t="inlineStr">
        <is>
          <t>the Lumen Lite; Phobos Lumen Lite; Phoboss Lumen Lite; Lumen Lite smartphone</t>
        </is>
      </c>
      <c r="H542" s="43" t="inlineStr">
        <is>
          <t>1 year limited</t>
        </is>
      </c>
      <c r="I542" s="43" t="inlineStr">
        <is>
          <t>FCC, CE, IPX8</t>
        </is>
      </c>
      <c r="J542" s="43" t="inlineStr">
        <is>
          <t>Qualcomm Snapdragon 8 Elite</t>
        </is>
      </c>
      <c r="K542" s="43" t="inlineStr">
        <is>
          <t>Qualcomm Adreno 830</t>
        </is>
      </c>
      <c r="L542" s="43" t="inlineStr">
        <is>
          <t>Foldable LTPO AMOLED inner + AMOLED cover, 120Hz</t>
        </is>
      </c>
      <c r="M542" s="43" t="inlineStr">
        <is>
          <t>2160x1856 inner / 1080x2376 cover</t>
        </is>
      </c>
      <c r="N542" s="43" t="inlineStr">
        <is>
          <t>USB-C (USB 3.2), nano-SIM + eSIM</t>
        </is>
      </c>
      <c r="O542" s="43" t="inlineStr">
        <is>
          <t>Android 15</t>
        </is>
      </c>
      <c r="P542" s="43" t="n">
        <v>25</v>
      </c>
      <c r="Q542" s="46" t="n">
        <v>260</v>
      </c>
      <c r="R542" s="43" t="inlineStr">
        <is>
          <t>Longer battery than Iapetus Axis Plus Foldable Phone [IAP-096-10] (25 vs 22 hrs); Lower price than Tyche Prism Ultra Foldable Phone [TYC-055-10] ($1,904.99 vs $2,198.99)</t>
        </is>
      </c>
      <c r="S542" s="43" t="inlineStr">
        <is>
          <t>multitasking, business, media</t>
        </is>
      </c>
      <c r="T542" s="0" t="inlineStr">
        <is>
          <t>low_stock</t>
        </is>
      </c>
      <c r="U542" s="0" t="n">
        <v>30</v>
      </c>
      <c r="V542" s="52" t="n">
        <v>2182.99</v>
      </c>
      <c r="W542" s="0" t="inlineStr">
        <is>
          <t>2026-09-11</t>
        </is>
      </c>
      <c r="X542" s="0" t="inlineStr">
        <is>
          <t>N/A</t>
        </is>
      </c>
      <c r="Y542" s="0" t="inlineStr">
        <is>
          <t>N/A</t>
        </is>
      </c>
      <c r="Z542" s="0" t="inlineStr">
        <is>
          <t>N/A</t>
        </is>
      </c>
      <c r="AA542" s="0" t="inlineStr">
        <is>
          <t>N/A</t>
        </is>
      </c>
    </row>
    <row r="543" ht="15.75" customHeight="1" s="51">
      <c r="A543" s="43" t="inlineStr">
        <is>
          <t>ARE-054-01</t>
        </is>
      </c>
      <c r="B543" s="43" t="inlineStr">
        <is>
          <t>Arete</t>
        </is>
      </c>
      <c r="C543" s="43" t="inlineStr">
        <is>
          <t>Smartphones &amp; Tablets</t>
        </is>
      </c>
      <c r="D543" s="43" t="inlineStr">
        <is>
          <t>Tablet</t>
        </is>
      </c>
      <c r="E543" s="44" t="inlineStr">
        <is>
          <t>Arete Echo Lite Kids Tablet</t>
        </is>
      </c>
      <c r="F543" s="45" t="n">
        <v>166.99</v>
      </c>
      <c r="G543" s="43" t="inlineStr">
        <is>
          <t>the Echo Lite; Arete Echo Lite; Aret Echo Lite; Echo Lite tablet</t>
        </is>
      </c>
      <c r="H543" s="43" t="inlineStr">
        <is>
          <t>2 year limited</t>
        </is>
      </c>
      <c r="I543" s="43" t="inlineStr">
        <is>
          <t>FCC, CE, TUV Rheinland Low Blue Light, EN 71 Toy Safety, Energy Star</t>
        </is>
      </c>
      <c r="J543" s="43" t="inlineStr">
        <is>
          <t>MediaTek Helio G88</t>
        </is>
      </c>
      <c r="K543" s="43" t="inlineStr">
        <is>
          <t>Arm Mali-G52 MC2</t>
        </is>
      </c>
      <c r="L543" s="43" t="inlineStr">
        <is>
          <t>IPS LCD, 60Hz</t>
        </is>
      </c>
      <c r="M543" s="43" t="inlineStr">
        <is>
          <t>800x1280</t>
        </is>
      </c>
      <c r="N543" s="43" t="inlineStr">
        <is>
          <t>USB-C (USB 2.0), microSD slot</t>
        </is>
      </c>
      <c r="O543" s="43" t="inlineStr">
        <is>
          <t>Android 14 with parental controls</t>
        </is>
      </c>
      <c r="P543" s="43" t="n">
        <v>8</v>
      </c>
      <c r="Q543" s="46" t="n">
        <v>401</v>
      </c>
      <c r="R543" s="43" t="inlineStr">
        <is>
          <t>Lighter than Styx Spark Lite Kids Tablet [STY-058-01] (401 g vs 404 g); Lower price than Aether Zen SE Kids Tablet [AET-080-01] ($166.99 vs $174.99)</t>
        </is>
      </c>
      <c r="S543" s="43" t="inlineStr">
        <is>
          <t>kids, learning, games</t>
        </is>
      </c>
      <c r="T543" s="0" t="inlineStr">
        <is>
          <t>low_stock</t>
        </is>
      </c>
      <c r="U543" s="0" t="n">
        <v>60</v>
      </c>
      <c r="V543" s="52" t="n">
        <v>191.99</v>
      </c>
      <c r="W543" s="0" t="inlineStr">
        <is>
          <t>2026-09-13</t>
        </is>
      </c>
      <c r="X543" s="0" t="inlineStr">
        <is>
          <t>N/A</t>
        </is>
      </c>
      <c r="Y543" s="0" t="inlineStr">
        <is>
          <t>N/A</t>
        </is>
      </c>
      <c r="Z543" s="0" t="inlineStr">
        <is>
          <t>N/A</t>
        </is>
      </c>
      <c r="AA543" s="0" t="inlineStr">
        <is>
          <t>N/A</t>
        </is>
      </c>
    </row>
    <row r="544" ht="15.75" customHeight="1" s="51">
      <c r="A544" s="43" t="inlineStr">
        <is>
          <t>ARE-054-02</t>
        </is>
      </c>
      <c r="B544" s="43" t="inlineStr">
        <is>
          <t>Arete</t>
        </is>
      </c>
      <c r="C544" s="43" t="inlineStr">
        <is>
          <t>Smartphones &amp; Tablets</t>
        </is>
      </c>
      <c r="D544" s="43" t="inlineStr">
        <is>
          <t>Smartphone</t>
        </is>
      </c>
      <c r="E544" s="44" t="inlineStr">
        <is>
          <t>Arete Orbit Air Budget Smartphone</t>
        </is>
      </c>
      <c r="F544" s="45" t="n">
        <v>317.99</v>
      </c>
      <c r="G544" s="43" t="inlineStr">
        <is>
          <t>the Orbit Air; Arete Orbit Air; Aretee Orbit Air; Orbit Air smartphone</t>
        </is>
      </c>
      <c r="H544" s="43" t="inlineStr">
        <is>
          <t>1 year limited</t>
        </is>
      </c>
      <c r="I544" s="43" t="inlineStr">
        <is>
          <t>FCC, CE, IP54</t>
        </is>
      </c>
      <c r="J544" s="43" t="inlineStr">
        <is>
          <t>Qualcomm Snapdragon 6 Gen 1</t>
        </is>
      </c>
      <c r="K544" s="43" t="inlineStr">
        <is>
          <t>Qualcomm Adreno 710</t>
        </is>
      </c>
      <c r="L544" s="43" t="inlineStr">
        <is>
          <t>AMOLED, 120Hz</t>
        </is>
      </c>
      <c r="M544" s="43" t="inlineStr">
        <is>
          <t>1080x2400</t>
        </is>
      </c>
      <c r="N544" s="43" t="inlineStr">
        <is>
          <t>USB-C (USB 2.0), nano-SIM + eSIM, 3.5mm headphone jack, microSD slot</t>
        </is>
      </c>
      <c r="O544" s="43" t="inlineStr">
        <is>
          <t>Android 14</t>
        </is>
      </c>
      <c r="P544" s="43" t="n">
        <v>27</v>
      </c>
      <c r="Q544" s="46" t="n">
        <v>199</v>
      </c>
      <c r="R544" s="43" t="inlineStr">
        <is>
          <t>Lighter than Coeus Sable Pro Budget Smartphone [COE-075-01] (199 g vs 209 g); Lower price than Alpheus Nimbus Budget Smartphone [ALP-082-03] ($317.99 vs $347.99)</t>
        </is>
      </c>
      <c r="S544" s="43" t="inlineStr">
        <is>
          <t>budget, first phone, everyday</t>
        </is>
      </c>
      <c r="T544" s="0" t="inlineStr">
        <is>
          <t>out_of_stock</t>
        </is>
      </c>
      <c r="U544" s="0" t="n">
        <v>60</v>
      </c>
      <c r="V544" s="52" t="n">
        <v>338.99</v>
      </c>
      <c r="W544" s="0" t="inlineStr">
        <is>
          <t>2026-09-14</t>
        </is>
      </c>
      <c r="X544" s="0" t="inlineStr">
        <is>
          <t>N/A</t>
        </is>
      </c>
      <c r="Y544" s="0" t="inlineStr">
        <is>
          <t>N/A</t>
        </is>
      </c>
      <c r="Z544" s="0" t="inlineStr">
        <is>
          <t>N/A</t>
        </is>
      </c>
      <c r="AA544" s="0" t="inlineStr">
        <is>
          <t>N/A</t>
        </is>
      </c>
    </row>
    <row r="545" ht="15.75" customHeight="1" s="51">
      <c r="A545" s="43" t="inlineStr">
        <is>
          <t>ARE-054-03</t>
        </is>
      </c>
      <c r="B545" s="43" t="inlineStr">
        <is>
          <t>Arete</t>
        </is>
      </c>
      <c r="C545" s="43" t="inlineStr">
        <is>
          <t>Smartphones &amp; Tablets</t>
        </is>
      </c>
      <c r="D545" s="43" t="inlineStr">
        <is>
          <t>Tablet</t>
        </is>
      </c>
      <c r="E545" s="44" t="inlineStr">
        <is>
          <t>Arete Aeon 8" Mini Tablet</t>
        </is>
      </c>
      <c r="F545" s="45" t="n">
        <v>350.99</v>
      </c>
      <c r="G545" s="43" t="inlineStr">
        <is>
          <t>the Aeon; Arete Aeon; Artee Aeon; Aeon tablet</t>
        </is>
      </c>
      <c r="H545" s="43" t="inlineStr">
        <is>
          <t>1 year limited</t>
        </is>
      </c>
      <c r="I545" s="43" t="inlineStr">
        <is>
          <t>FCC, CE, TUV Rheinland Low Blue Light</t>
        </is>
      </c>
      <c r="J545" s="43" t="inlineStr">
        <is>
          <t>MediaTek Dimensity 7300</t>
        </is>
      </c>
      <c r="K545" s="43" t="inlineStr">
        <is>
          <t>Arm Mali-G615 MC2</t>
        </is>
      </c>
      <c r="L545" s="43" t="inlineStr">
        <is>
          <t>IPS LCD, 60Hz</t>
        </is>
      </c>
      <c r="M545" s="43" t="inlineStr">
        <is>
          <t>1200x1920</t>
        </is>
      </c>
      <c r="N545" s="43" t="inlineStr">
        <is>
          <t>USB-C (USB 2.0), microSD slot</t>
        </is>
      </c>
      <c r="O545" s="43" t="inlineStr">
        <is>
          <t>Android 15</t>
        </is>
      </c>
      <c r="P545" s="43" t="n">
        <v>12</v>
      </c>
      <c r="Q545" s="46" t="n">
        <v>301</v>
      </c>
      <c r="R545" s="43" t="inlineStr">
        <is>
          <t>Lighter than Erato Halo SE 8" Mini Tablet [ERA-085-01] (301 g vs 302 g); Longer battery than Phobos Aria 8" Mini Tablet [PHO-053-02] (12 vs 11 hrs)</t>
        </is>
      </c>
      <c r="S545" s="43" t="inlineStr">
        <is>
          <t>reading, travel, gaming</t>
        </is>
      </c>
      <c r="T545" s="0" t="inlineStr">
        <is>
          <t>in_stock</t>
        </is>
      </c>
      <c r="U545" s="0" t="n">
        <v>60</v>
      </c>
      <c r="V545" s="52" t="n">
        <v>380.99</v>
      </c>
      <c r="W545" s="0" t="inlineStr">
        <is>
          <t>2026-09-03</t>
        </is>
      </c>
      <c r="X545" s="0" t="inlineStr">
        <is>
          <t>N/A</t>
        </is>
      </c>
      <c r="Y545" s="0" t="inlineStr">
        <is>
          <t>N/A</t>
        </is>
      </c>
      <c r="Z545" s="0" t="inlineStr">
        <is>
          <t>N/A</t>
        </is>
      </c>
      <c r="AA545" s="0" t="inlineStr">
        <is>
          <t>N/A</t>
        </is>
      </c>
    </row>
    <row r="546" ht="15.75" customHeight="1" s="51">
      <c r="A546" s="43" t="inlineStr">
        <is>
          <t>ARE-054-04</t>
        </is>
      </c>
      <c r="B546" s="43" t="inlineStr">
        <is>
          <t>Arete</t>
        </is>
      </c>
      <c r="C546" s="43" t="inlineStr">
        <is>
          <t>Smartphones &amp; Tablets</t>
        </is>
      </c>
      <c r="D546" s="43" t="inlineStr">
        <is>
          <t>Smartphone</t>
        </is>
      </c>
      <c r="E546" s="44" t="inlineStr">
        <is>
          <t>Arete Flux Max Rugged Smartphone</t>
        </is>
      </c>
      <c r="F546" s="45" t="n">
        <v>536.99</v>
      </c>
      <c r="G546" s="43" t="inlineStr">
        <is>
          <t>the Flux Max; Arete Flux Max; Aerte Flux Max; Flux Max smartphone</t>
        </is>
      </c>
      <c r="H546" s="43" t="inlineStr">
        <is>
          <t>2 year limited</t>
        </is>
      </c>
      <c r="I546" s="43" t="inlineStr">
        <is>
          <t>FCC, CE, IP69K, MIL-STD-810H</t>
        </is>
      </c>
      <c r="J546" s="43" t="inlineStr">
        <is>
          <t>Qualcomm Snapdragon 7+ Gen 3</t>
        </is>
      </c>
      <c r="K546" s="43" t="inlineStr">
        <is>
          <t>Qualcomm Adreno 732</t>
        </is>
      </c>
      <c r="L546" s="43" t="inlineStr">
        <is>
          <t>IPS LCD, Gorilla Glass Victus, 120Hz</t>
        </is>
      </c>
      <c r="M546" s="43" t="inlineStr">
        <is>
          <t>1080x2400</t>
        </is>
      </c>
      <c r="N546" s="43" t="inlineStr">
        <is>
          <t>USB-C (USB 2.0), nano-SIM + eSIM, 3.5mm headphone jack, microSD slot</t>
        </is>
      </c>
      <c r="O546" s="43" t="inlineStr">
        <is>
          <t>Android 15</t>
        </is>
      </c>
      <c r="P546" s="43" t="n">
        <v>38</v>
      </c>
      <c r="Q546" s="46" t="n">
        <v>301</v>
      </c>
      <c r="R546" s="43" t="inlineStr">
        <is>
          <t>Lower price than Pallas Spark X Rugged Smartphone [PAL-057-05] ($536.99 vs $570.99); Longer battery than Dike Wave X Rugged Smartphone [DIK-099-03] (38 vs 30 hrs)</t>
        </is>
      </c>
      <c r="S546" s="43" t="inlineStr">
        <is>
          <t>outdoor, construction, fieldwork</t>
        </is>
      </c>
      <c r="T546" s="0" t="inlineStr">
        <is>
          <t>out_of_stock</t>
        </is>
      </c>
      <c r="U546" s="0" t="n">
        <v>60</v>
      </c>
      <c r="V546" s="52" t="n">
        <v>583.99</v>
      </c>
      <c r="W546" s="0" t="inlineStr">
        <is>
          <t>2026-08-27</t>
        </is>
      </c>
      <c r="X546" s="0" t="inlineStr">
        <is>
          <t>N/A</t>
        </is>
      </c>
      <c r="Y546" s="0" t="inlineStr">
        <is>
          <t>N/A</t>
        </is>
      </c>
      <c r="Z546" s="0" t="inlineStr">
        <is>
          <t>N/A</t>
        </is>
      </c>
      <c r="AA546" s="0" t="inlineStr">
        <is>
          <t>N/A</t>
        </is>
      </c>
    </row>
    <row r="547" ht="15.75" customHeight="1" s="51">
      <c r="A547" s="43" t="inlineStr">
        <is>
          <t>ARE-054-05</t>
        </is>
      </c>
      <c r="B547" s="43" t="inlineStr">
        <is>
          <t>Arete</t>
        </is>
      </c>
      <c r="C547" s="43" t="inlineStr">
        <is>
          <t>Smartphones &amp; Tablets</t>
        </is>
      </c>
      <c r="D547" s="43" t="inlineStr">
        <is>
          <t>Tablet</t>
        </is>
      </c>
      <c r="E547" s="44" t="inlineStr">
        <is>
          <t>Arete Halo Plus 11" Tablet</t>
        </is>
      </c>
      <c r="F547" s="45" t="n">
        <v>565.99</v>
      </c>
      <c r="G547" s="43" t="inlineStr">
        <is>
          <t>the Halo Plus; Arete Halo Plus; Artee Halo Plus; Halo Plus tablet</t>
        </is>
      </c>
      <c r="H547" s="43" t="inlineStr">
        <is>
          <t>1 year limited</t>
        </is>
      </c>
      <c r="I547" s="43" t="inlineStr">
        <is>
          <t>FCC, CE, Energy Star</t>
        </is>
      </c>
      <c r="J547" s="43" t="inlineStr">
        <is>
          <t>Qualcomm Snapdragon 7+ Gen 3</t>
        </is>
      </c>
      <c r="K547" s="43" t="inlineStr">
        <is>
          <t>Qualcomm Adreno 732</t>
        </is>
      </c>
      <c r="L547" s="43" t="inlineStr">
        <is>
          <t>OLED, 120Hz</t>
        </is>
      </c>
      <c r="M547" s="43" t="inlineStr">
        <is>
          <t>1752x2800</t>
        </is>
      </c>
      <c r="N547" s="43" t="inlineStr">
        <is>
          <t>USB-C (USB 2.0), microSD slot</t>
        </is>
      </c>
      <c r="O547" s="43" t="inlineStr">
        <is>
          <t>Android 15</t>
        </is>
      </c>
      <c r="P547" s="43" t="n">
        <v>14</v>
      </c>
      <c r="Q547" s="46" t="n">
        <v>461</v>
      </c>
      <c r="R547" s="43" t="inlineStr">
        <is>
          <t>Lower price than Hypnos Onyx Max 11" Tablet [HYP-059-07] ($565.99 vs $674.99); Lighter than Eupheme Aria SE 11" Tablet [EUP-084-04] (461 g vs 494 g)</t>
        </is>
      </c>
      <c r="S547" s="43" t="inlineStr">
        <is>
          <t>school, streaming, reading</t>
        </is>
      </c>
      <c r="T547" s="0" t="inlineStr">
        <is>
          <t>in_stock</t>
        </is>
      </c>
      <c r="U547" s="0" t="n">
        <v>60</v>
      </c>
      <c r="V547" s="52" t="n">
        <v>587.99</v>
      </c>
      <c r="W547" s="0" t="inlineStr">
        <is>
          <t>2026-09-02</t>
        </is>
      </c>
      <c r="X547" s="0" t="inlineStr">
        <is>
          <t>N/A</t>
        </is>
      </c>
      <c r="Y547" s="0" t="inlineStr">
        <is>
          <t>N/A</t>
        </is>
      </c>
      <c r="Z547" s="0" t="inlineStr">
        <is>
          <t>N/A</t>
        </is>
      </c>
      <c r="AA547" s="0" t="inlineStr">
        <is>
          <t>N/A</t>
        </is>
      </c>
    </row>
    <row r="548" ht="15.75" customHeight="1" s="51">
      <c r="A548" s="43" t="inlineStr">
        <is>
          <t>ARE-054-06</t>
        </is>
      </c>
      <c r="B548" s="43" t="inlineStr">
        <is>
          <t>Arete</t>
        </is>
      </c>
      <c r="C548" s="43" t="inlineStr">
        <is>
          <t>Smartphones &amp; Tablets</t>
        </is>
      </c>
      <c r="D548" s="43" t="inlineStr">
        <is>
          <t>Tablet</t>
        </is>
      </c>
      <c r="E548" s="44" t="inlineStr">
        <is>
          <t>Arete Nimbus Lite 5G Tablet</t>
        </is>
      </c>
      <c r="F548" s="45" t="n">
        <v>851.99</v>
      </c>
      <c r="G548" s="43" t="inlineStr">
        <is>
          <t>the Nimbus Lite; Arete Nimbus Lite; Aret Nimbus Lite; Nimbus Lite tablet</t>
        </is>
      </c>
      <c r="H548" s="43" t="inlineStr">
        <is>
          <t>1 year limited</t>
        </is>
      </c>
      <c r="I548" s="43" t="inlineStr">
        <is>
          <t>FCC, CE, Energy Star</t>
        </is>
      </c>
      <c r="J548" s="43" t="inlineStr">
        <is>
          <t>Qualcomm Snapdragon 8 Gen 3</t>
        </is>
      </c>
      <c r="K548" s="43" t="inlineStr">
        <is>
          <t>Qualcomm Adreno 750</t>
        </is>
      </c>
      <c r="L548" s="43" t="inlineStr">
        <is>
          <t>OLED, 120Hz</t>
        </is>
      </c>
      <c r="M548" s="43" t="inlineStr">
        <is>
          <t>1752x2800</t>
        </is>
      </c>
      <c r="N548" s="43" t="inlineStr">
        <is>
          <t>USB-C (USB 3.2), microSD slot, nano-SIM + eSIM</t>
        </is>
      </c>
      <c r="O548" s="43" t="inlineStr">
        <is>
          <t>Android 15</t>
        </is>
      </c>
      <c r="P548" s="43" t="n">
        <v>11</v>
      </c>
      <c r="Q548" s="46" t="n">
        <v>505</v>
      </c>
      <c r="R548" s="43" t="inlineStr">
        <is>
          <t>Lighter than Styx Arc 5G Tablet [STY-058-06] (505 g vs 541 g); Lower price than Proteus Rift Pro 5G Tablet [PRO-070-05] ($851.99 vs $904.99)</t>
        </is>
      </c>
      <c r="S548" s="43" t="inlineStr">
        <is>
          <t>travel, streaming, work on the go</t>
        </is>
      </c>
      <c r="T548" s="0" t="inlineStr">
        <is>
          <t>in_stock</t>
        </is>
      </c>
      <c r="U548" s="0" t="n">
        <v>60</v>
      </c>
      <c r="V548" s="52" t="n">
        <v>944.99</v>
      </c>
      <c r="W548" s="0" t="inlineStr">
        <is>
          <t>2026-08-11</t>
        </is>
      </c>
      <c r="X548" s="0" t="inlineStr">
        <is>
          <t>N/A</t>
        </is>
      </c>
      <c r="Y548" s="0" t="inlineStr">
        <is>
          <t>N/A</t>
        </is>
      </c>
      <c r="Z548" s="0" t="inlineStr">
        <is>
          <t>N/A</t>
        </is>
      </c>
      <c r="AA548" s="0" t="inlineStr">
        <is>
          <t>N/A</t>
        </is>
      </c>
    </row>
    <row r="549" ht="15.75" customHeight="1" s="51">
      <c r="A549" s="43" t="inlineStr">
        <is>
          <t>ARE-054-07</t>
        </is>
      </c>
      <c r="B549" s="43" t="inlineStr">
        <is>
          <t>Arete</t>
        </is>
      </c>
      <c r="C549" s="43" t="inlineStr">
        <is>
          <t>Smartphones &amp; Tablets</t>
        </is>
      </c>
      <c r="D549" s="43" t="inlineStr">
        <is>
          <t>Smartphone</t>
        </is>
      </c>
      <c r="E549" s="44" t="inlineStr">
        <is>
          <t>Arete Vertex Ultra Flagship Smartphone</t>
        </is>
      </c>
      <c r="F549" s="45" t="n">
        <v>1023.99</v>
      </c>
      <c r="G549" s="43" t="inlineStr">
        <is>
          <t>the Vertex Ultra; Arete Vertex Ultra; Areete Vertex Ultra; Vertex Ultra smartphone</t>
        </is>
      </c>
      <c r="H549" s="43" t="inlineStr">
        <is>
          <t>1 year limited</t>
        </is>
      </c>
      <c r="I549" s="43" t="inlineStr">
        <is>
          <t>FCC, CE, IP68, Qi2</t>
        </is>
      </c>
      <c r="J549" s="43" t="inlineStr">
        <is>
          <t>MediaTek Dimensity 9400</t>
        </is>
      </c>
      <c r="K549" s="43" t="inlineStr">
        <is>
          <t>Arm Immortalis-G925</t>
        </is>
      </c>
      <c r="L549" s="43" t="inlineStr">
        <is>
          <t>AMOLED, 120Hz</t>
        </is>
      </c>
      <c r="M549" s="43" t="inlineStr">
        <is>
          <t>1080x2400</t>
        </is>
      </c>
      <c r="N549" s="43" t="inlineStr">
        <is>
          <t>USB-C (USB 3.2), nano-SIM + eSIM</t>
        </is>
      </c>
      <c r="O549" s="43" t="inlineStr">
        <is>
          <t>Android 15</t>
        </is>
      </c>
      <c r="P549" s="43" t="n">
        <v>27</v>
      </c>
      <c r="Q549" s="46" t="n">
        <v>170</v>
      </c>
      <c r="R549" s="43" t="inlineStr">
        <is>
          <t>Lower price than Eurus Axis Pro Flagship Smartphone [EUR-088-08] ($1,023.99 vs $1,169.99); Lighter than Paean Vibe SE Flagship Smartphone [PAE-066-09] (170 g vs 180 g)</t>
        </is>
      </c>
      <c r="S549" s="43" t="inlineStr">
        <is>
          <t>photography, everyday, business</t>
        </is>
      </c>
      <c r="T549" s="0" t="inlineStr">
        <is>
          <t>in_stock</t>
        </is>
      </c>
      <c r="U549" s="0" t="n">
        <v>60</v>
      </c>
      <c r="V549" s="52" t="n">
        <v>1085.99</v>
      </c>
      <c r="W549" s="0" t="inlineStr">
        <is>
          <t>2026-08-24</t>
        </is>
      </c>
      <c r="X549" s="0" t="inlineStr">
        <is>
          <t>N/A</t>
        </is>
      </c>
      <c r="Y549" s="0" t="inlineStr">
        <is>
          <t>N/A</t>
        </is>
      </c>
      <c r="Z549" s="0" t="inlineStr">
        <is>
          <t>N/A</t>
        </is>
      </c>
      <c r="AA549" s="0" t="inlineStr">
        <is>
          <t>N/A</t>
        </is>
      </c>
    </row>
    <row r="550" ht="15.75" customHeight="1" s="51">
      <c r="A550" s="43" t="inlineStr">
        <is>
          <t>ARE-054-08</t>
        </is>
      </c>
      <c r="B550" s="43" t="inlineStr">
        <is>
          <t>Arete</t>
        </is>
      </c>
      <c r="C550" s="43" t="inlineStr">
        <is>
          <t>Smartphones &amp; Tablets</t>
        </is>
      </c>
      <c r="D550" s="43" t="inlineStr">
        <is>
          <t>Smartphone</t>
        </is>
      </c>
      <c r="E550" s="44" t="inlineStr">
        <is>
          <t>Arete Zen Pro Pro Max Smartphone</t>
        </is>
      </c>
      <c r="F550" s="45" t="n">
        <v>1152.99</v>
      </c>
      <c r="G550" s="43" t="inlineStr">
        <is>
          <t>the Zen Pro; Arete Zen Pro; Areete Zen Pro; Zen Pro smartphone</t>
        </is>
      </c>
      <c r="H550" s="43" t="inlineStr">
        <is>
          <t>1 year limited</t>
        </is>
      </c>
      <c r="I550" s="43" t="inlineStr">
        <is>
          <t>FCC, CE, IP68, Qi2</t>
        </is>
      </c>
      <c r="J550" s="43" t="inlineStr">
        <is>
          <t>MediaTek Dimensity 9400</t>
        </is>
      </c>
      <c r="K550" s="43" t="inlineStr">
        <is>
          <t>Arm Immortalis-G925</t>
        </is>
      </c>
      <c r="L550" s="43" t="inlineStr">
        <is>
          <t>LTPO AMOLED, 1-120Hz</t>
        </is>
      </c>
      <c r="M550" s="43" t="inlineStr">
        <is>
          <t>1440x3120</t>
        </is>
      </c>
      <c r="N550" s="43" t="inlineStr">
        <is>
          <t>USB-C (USB 3.2), nano-SIM + eSIM</t>
        </is>
      </c>
      <c r="O550" s="43" t="inlineStr">
        <is>
          <t>Android 15</t>
        </is>
      </c>
      <c r="P550" s="43" t="n">
        <v>30</v>
      </c>
      <c r="Q550" s="46" t="n">
        <v>219</v>
      </c>
      <c r="R550" s="43" t="inlineStr">
        <is>
          <t>Lighter than Paean Vertex Lite Pro Max Smartphone [PAE-066-10] (219 g vs 225 g); Lower price than Leto Vertex Max Pro Max Smartphone [LET-077-08] ($1,152.99 vs $1,239.99)</t>
        </is>
      </c>
      <c r="S550" s="43" t="inlineStr">
        <is>
          <t>photography, video, mobile gaming</t>
        </is>
      </c>
      <c r="T550" s="0" t="inlineStr">
        <is>
          <t>in_stock</t>
        </is>
      </c>
      <c r="U550" s="0" t="n">
        <v>60</v>
      </c>
      <c r="V550" s="52" t="n">
        <v>1246.99</v>
      </c>
      <c r="W550" s="0" t="inlineStr">
        <is>
          <t>2026-08-13</t>
        </is>
      </c>
      <c r="X550" s="0" t="inlineStr">
        <is>
          <t>N/A</t>
        </is>
      </c>
      <c r="Y550" s="0" t="inlineStr">
        <is>
          <t>N/A</t>
        </is>
      </c>
      <c r="Z550" s="0" t="inlineStr">
        <is>
          <t>N/A</t>
        </is>
      </c>
      <c r="AA550" s="0" t="inlineStr">
        <is>
          <t>N/A</t>
        </is>
      </c>
    </row>
    <row r="551" ht="15.75" customHeight="1" s="51">
      <c r="A551" s="43" t="inlineStr">
        <is>
          <t>ARE-054-09</t>
        </is>
      </c>
      <c r="B551" s="43" t="inlineStr">
        <is>
          <t>Arete</t>
        </is>
      </c>
      <c r="C551" s="43" t="inlineStr">
        <is>
          <t>Smartphones &amp; Tablets</t>
        </is>
      </c>
      <c r="D551" s="43" t="inlineStr">
        <is>
          <t>Tablet</t>
        </is>
      </c>
      <c r="E551" s="44" t="inlineStr">
        <is>
          <t>Arete Vibe Plus 13" Pro Tablet</t>
        </is>
      </c>
      <c r="F551" s="45" t="n">
        <v>1619.99</v>
      </c>
      <c r="G551" s="43" t="inlineStr">
        <is>
          <t>the Vibe Plus; Arete Vibe Plus; Arrete Vibe Plus; Vibe Plus tablet</t>
        </is>
      </c>
      <c r="H551" s="43" t="inlineStr">
        <is>
          <t>1 year limited</t>
        </is>
      </c>
      <c r="I551" s="43" t="inlineStr">
        <is>
          <t>FCC, CE, Energy Star</t>
        </is>
      </c>
      <c r="J551" s="43" t="inlineStr">
        <is>
          <t>Qualcomm Snapdragon 8 Elite</t>
        </is>
      </c>
      <c r="K551" s="43" t="inlineStr">
        <is>
          <t>Qualcomm Adreno 830</t>
        </is>
      </c>
      <c r="L551" s="43" t="inlineStr">
        <is>
          <t>Mini-LED, 144Hz</t>
        </is>
      </c>
      <c r="M551" s="43" t="inlineStr">
        <is>
          <t>2960x1848</t>
        </is>
      </c>
      <c r="N551" s="43" t="inlineStr">
        <is>
          <t>USB-C (USB 3.2), magnetic keyboard connector</t>
        </is>
      </c>
      <c r="O551" s="43" t="inlineStr">
        <is>
          <t>Android 15</t>
        </is>
      </c>
      <c r="P551" s="43" t="n">
        <v>10</v>
      </c>
      <c r="Q551" s="46" t="n">
        <v>580</v>
      </c>
      <c r="R551" s="43" t="inlineStr">
        <is>
          <t>Lower price than Eurus Prism Lite 13" Pro Tablet [EUR-088-10] ($1,619.99 vs $1,663.99); Lighter than Phobos Drift Lite 13" Pro Tablet [PHO-053-09] (580 g vs 602 g)</t>
        </is>
      </c>
      <c r="S551" s="43" t="inlineStr">
        <is>
          <t>creative work, productivity, drawing</t>
        </is>
      </c>
      <c r="T551" s="0" t="inlineStr">
        <is>
          <t>in_stock</t>
        </is>
      </c>
      <c r="U551" s="0" t="n">
        <v>60</v>
      </c>
      <c r="V551" s="52" t="n">
        <v>1830.99</v>
      </c>
      <c r="W551" s="0" t="inlineStr">
        <is>
          <t>2026-09-23</t>
        </is>
      </c>
      <c r="X551" s="0" t="inlineStr">
        <is>
          <t>N/A</t>
        </is>
      </c>
      <c r="Y551" s="0" t="inlineStr">
        <is>
          <t>N/A</t>
        </is>
      </c>
      <c r="Z551" s="0" t="inlineStr">
        <is>
          <t>N/A</t>
        </is>
      </c>
      <c r="AA551" s="0" t="inlineStr">
        <is>
          <t>N/A</t>
        </is>
      </c>
    </row>
    <row r="552" ht="15.75" customHeight="1" s="51">
      <c r="A552" s="43" t="inlineStr">
        <is>
          <t>ARE-054-10</t>
        </is>
      </c>
      <c r="B552" s="43" t="inlineStr">
        <is>
          <t>Arete</t>
        </is>
      </c>
      <c r="C552" s="43" t="inlineStr">
        <is>
          <t>Smartphones &amp; Tablets</t>
        </is>
      </c>
      <c r="D552" s="43" t="inlineStr">
        <is>
          <t>Smartphone</t>
        </is>
      </c>
      <c r="E552" s="44" t="inlineStr">
        <is>
          <t>Arete Axis Plus Foldable Phone</t>
        </is>
      </c>
      <c r="F552" s="45" t="n">
        <v>2180.99</v>
      </c>
      <c r="G552" s="43" t="inlineStr">
        <is>
          <t>the Axis Plus; Arete Axis Plus; Areete Axis Plus; Axis Plus smartphone</t>
        </is>
      </c>
      <c r="H552" s="43" t="inlineStr">
        <is>
          <t>2 year limited</t>
        </is>
      </c>
      <c r="I552" s="43" t="inlineStr">
        <is>
          <t>FCC, CE, IPX8</t>
        </is>
      </c>
      <c r="J552" s="43" t="inlineStr">
        <is>
          <t>Qualcomm Snapdragon 8 Elite</t>
        </is>
      </c>
      <c r="K552" s="43" t="inlineStr">
        <is>
          <t>Qualcomm Adreno 830</t>
        </is>
      </c>
      <c r="L552" s="43" t="inlineStr">
        <is>
          <t>Foldable LTPO AMOLED inner + AMOLED cover, 120Hz</t>
        </is>
      </c>
      <c r="M552" s="43" t="inlineStr">
        <is>
          <t>2160x1856 inner / 1080x2376 cover</t>
        </is>
      </c>
      <c r="N552" s="43" t="inlineStr">
        <is>
          <t>USB-C (USB 3.2), nano-SIM + eSIM</t>
        </is>
      </c>
      <c r="O552" s="43" t="inlineStr">
        <is>
          <t>Android 15</t>
        </is>
      </c>
      <c r="P552" s="43" t="n">
        <v>20</v>
      </c>
      <c r="Q552" s="46" t="n">
        <v>267</v>
      </c>
      <c r="R552" s="43" t="inlineStr">
        <is>
          <t>Longer battery than Styx Aria Pro Foldable Phone [STY-058-10] (20 vs 19 hrs); Lighter than Hecate Vibe Air Foldable Phone [HEC-052-09] (267 g vs 269 g)</t>
        </is>
      </c>
      <c r="S552" s="43" t="inlineStr">
        <is>
          <t>multitasking, business, media</t>
        </is>
      </c>
      <c r="T552" s="0" t="inlineStr">
        <is>
          <t>in_stock</t>
        </is>
      </c>
      <c r="U552" s="0" t="n">
        <v>60</v>
      </c>
      <c r="V552" s="52" t="n">
        <v>2381.99</v>
      </c>
      <c r="W552" s="0" t="inlineStr">
        <is>
          <t>2026-08-21</t>
        </is>
      </c>
      <c r="X552" s="0" t="inlineStr">
        <is>
          <t>N/A</t>
        </is>
      </c>
      <c r="Y552" s="0" t="inlineStr">
        <is>
          <t>N/A</t>
        </is>
      </c>
      <c r="Z552" s="0" t="inlineStr">
        <is>
          <t>N/A</t>
        </is>
      </c>
      <c r="AA552" s="0" t="inlineStr">
        <is>
          <t>N/A</t>
        </is>
      </c>
    </row>
    <row r="553" ht="15.75" customHeight="1" s="51">
      <c r="A553" s="43" t="inlineStr">
        <is>
          <t>TYC-055-01</t>
        </is>
      </c>
      <c r="B553" s="43" t="inlineStr">
        <is>
          <t>Tyche</t>
        </is>
      </c>
      <c r="C553" s="43" t="inlineStr">
        <is>
          <t>Smartphones &amp; Tablets</t>
        </is>
      </c>
      <c r="D553" s="43" t="inlineStr">
        <is>
          <t>Tablet</t>
        </is>
      </c>
      <c r="E553" s="44" t="inlineStr">
        <is>
          <t>Tyche Echo Max E-Ink Note Tablet</t>
        </is>
      </c>
      <c r="F553" s="45" t="n">
        <v>272.99</v>
      </c>
      <c r="G553" s="43" t="inlineStr">
        <is>
          <t>the Echo Max; Tyche Echo Max; Tychhe Echo Max; Echo Max tablet</t>
        </is>
      </c>
      <c r="H553" s="43" t="inlineStr">
        <is>
          <t>1 year limited</t>
        </is>
      </c>
      <c r="I553" s="43" t="inlineStr">
        <is>
          <t>FCC, CE, TUV Rheinland Low Blue Light</t>
        </is>
      </c>
      <c r="J553" s="43" t="inlineStr">
        <is>
          <t>Rockchip RK3566</t>
        </is>
      </c>
      <c r="K553" s="43" t="inlineStr">
        <is>
          <t>Arm Mali-G52 2EE</t>
        </is>
      </c>
      <c r="L553" s="43" t="inlineStr">
        <is>
          <t>E Ink Carta 1300, front-lit</t>
        </is>
      </c>
      <c r="M553" s="43" t="inlineStr">
        <is>
          <t>1404x1872</t>
        </is>
      </c>
      <c r="N553" s="43" t="inlineStr">
        <is>
          <t>USB-C (USB 2.0), microSD slot</t>
        </is>
      </c>
      <c r="O553" s="43" t="inlineStr">
        <is>
          <t>Android 13 (E Ink optimized)</t>
        </is>
      </c>
      <c r="P553" s="43" t="n">
        <v>143</v>
      </c>
      <c r="Q553" s="46" t="n">
        <v>429</v>
      </c>
      <c r="R553" s="43" t="inlineStr">
        <is>
          <t>Longer battery than Hypnos Axis Ultra E-Ink Note Tablet [HYP-059-05] (143 vs 127 hrs); Lower price than Clotho Prism Ultra E-Ink Note Tablet [CLO-062-03] ($272.99 vs $419.99)</t>
        </is>
      </c>
      <c r="S553" s="43" t="inlineStr">
        <is>
          <t>reading, note-taking, school</t>
        </is>
      </c>
      <c r="T553" s="0" t="inlineStr">
        <is>
          <t>in_stock</t>
        </is>
      </c>
      <c r="U553" s="0" t="n">
        <v>30</v>
      </c>
      <c r="V553" s="52" t="n">
        <v>286.99</v>
      </c>
      <c r="W553" s="0" t="inlineStr">
        <is>
          <t>2026-08-13</t>
        </is>
      </c>
      <c r="X553" s="0" t="inlineStr">
        <is>
          <t>N/A</t>
        </is>
      </c>
      <c r="Y553" s="0" t="inlineStr">
        <is>
          <t>N/A</t>
        </is>
      </c>
      <c r="Z553" s="0" t="inlineStr">
        <is>
          <t>N/A</t>
        </is>
      </c>
      <c r="AA553" s="0" t="inlineStr">
        <is>
          <t>N/A</t>
        </is>
      </c>
    </row>
    <row r="554" ht="15.75" customHeight="1" s="51">
      <c r="A554" s="43" t="inlineStr">
        <is>
          <t>TYC-055-02</t>
        </is>
      </c>
      <c r="B554" s="43" t="inlineStr">
        <is>
          <t>Tyche</t>
        </is>
      </c>
      <c r="C554" s="43" t="inlineStr">
        <is>
          <t>Smartphones &amp; Tablets</t>
        </is>
      </c>
      <c r="D554" s="43" t="inlineStr">
        <is>
          <t>Smartphone</t>
        </is>
      </c>
      <c r="E554" s="44" t="inlineStr">
        <is>
          <t>Tyche Rift X Budget Smartphone</t>
        </is>
      </c>
      <c r="F554" s="45" t="n">
        <v>295.99</v>
      </c>
      <c r="G554" s="43" t="inlineStr">
        <is>
          <t>the Rift X; Tyche Rift X; Tych Rift X; Rift X smartphone</t>
        </is>
      </c>
      <c r="H554" s="43" t="inlineStr">
        <is>
          <t>1 year limited</t>
        </is>
      </c>
      <c r="I554" s="43" t="inlineStr">
        <is>
          <t>FCC, CE, IP54</t>
        </is>
      </c>
      <c r="J554" s="43" t="inlineStr">
        <is>
          <t>Qualcomm Snapdragon 6 Gen 1</t>
        </is>
      </c>
      <c r="K554" s="43" t="inlineStr">
        <is>
          <t>Qualcomm Adreno 710</t>
        </is>
      </c>
      <c r="L554" s="43" t="inlineStr">
        <is>
          <t>IPS LCD, 90Hz</t>
        </is>
      </c>
      <c r="M554" s="43" t="inlineStr">
        <is>
          <t>1080x2400</t>
        </is>
      </c>
      <c r="N554" s="43" t="inlineStr">
        <is>
          <t>USB-C (USB 2.0), nano-SIM + eSIM, 3.5mm headphone jack, microSD slot</t>
        </is>
      </c>
      <c r="O554" s="43" t="inlineStr">
        <is>
          <t>Android 14</t>
        </is>
      </c>
      <c r="P554" s="43" t="n">
        <v>25</v>
      </c>
      <c r="Q554" s="46" t="n">
        <v>186</v>
      </c>
      <c r="R554" s="43" t="inlineStr">
        <is>
          <t>Lighter than Pallas Lumen Plus Budget Smartphone [PAL-057-02] (186 g vs 201 g); Longer battery than Helios Nova SE Budget Smartphone [HEL-073-02] (25 vs 22 hrs)</t>
        </is>
      </c>
      <c r="S554" s="43" t="inlineStr">
        <is>
          <t>budget, first phone, everyday</t>
        </is>
      </c>
      <c r="T554" s="0" t="inlineStr">
        <is>
          <t>out_of_stock</t>
        </is>
      </c>
      <c r="U554" s="0" t="n">
        <v>30</v>
      </c>
      <c r="V554" s="52" t="n">
        <v>309.99</v>
      </c>
      <c r="W554" s="0" t="inlineStr">
        <is>
          <t>2026-09-15</t>
        </is>
      </c>
      <c r="X554" s="0" t="inlineStr">
        <is>
          <t>N/A</t>
        </is>
      </c>
      <c r="Y554" s="0" t="inlineStr">
        <is>
          <t>N/A</t>
        </is>
      </c>
      <c r="Z554" s="0" t="inlineStr">
        <is>
          <t>N/A</t>
        </is>
      </c>
      <c r="AA554" s="0" t="inlineStr">
        <is>
          <t>N/A</t>
        </is>
      </c>
    </row>
    <row r="555" ht="15.75" customHeight="1" s="51">
      <c r="A555" s="43" t="inlineStr">
        <is>
          <t>TYC-055-03</t>
        </is>
      </c>
      <c r="B555" s="43" t="inlineStr">
        <is>
          <t>Tyche</t>
        </is>
      </c>
      <c r="C555" s="43" t="inlineStr">
        <is>
          <t>Smartphones &amp; Tablets</t>
        </is>
      </c>
      <c r="D555" s="43" t="inlineStr">
        <is>
          <t>Smartphone</t>
        </is>
      </c>
      <c r="E555" s="44" t="inlineStr">
        <is>
          <t>Tyche Nova SE Rugged Smartphone</t>
        </is>
      </c>
      <c r="F555" s="45" t="n">
        <v>309.99</v>
      </c>
      <c r="G555" s="43" t="inlineStr">
        <is>
          <t>the Nova SE; Tyche Nova SE; Tychee Nova SE; Nova SE smartphone</t>
        </is>
      </c>
      <c r="H555" s="43" t="inlineStr">
        <is>
          <t>2 year limited</t>
        </is>
      </c>
      <c r="I555" s="43" t="inlineStr">
        <is>
          <t>FCC, CE, IP69K, MIL-STD-810H</t>
        </is>
      </c>
      <c r="J555" s="43" t="inlineStr">
        <is>
          <t>Qualcomm Snapdragon 6 Gen 1</t>
        </is>
      </c>
      <c r="K555" s="43" t="inlineStr">
        <is>
          <t>Qualcomm Adreno 710</t>
        </is>
      </c>
      <c r="L555" s="43" t="inlineStr">
        <is>
          <t>IPS LCD, Gorilla Glass Victus, 120Hz</t>
        </is>
      </c>
      <c r="M555" s="43" t="inlineStr">
        <is>
          <t>1080x2400</t>
        </is>
      </c>
      <c r="N555" s="43" t="inlineStr">
        <is>
          <t>USB-C (USB 2.0), nano-SIM + eSIM, 3.5mm headphone jack, microSD slot</t>
        </is>
      </c>
      <c r="O555" s="43" t="inlineStr">
        <is>
          <t>Android 14</t>
        </is>
      </c>
      <c r="P555" s="43" t="n">
        <v>44</v>
      </c>
      <c r="Q555" s="46" t="n">
        <v>288</v>
      </c>
      <c r="R555" s="43" t="inlineStr">
        <is>
          <t>Longer battery than Triton Orbit Pro Rugged Smartphone [TRI-092-02] (44 vs 41 hrs); Lighter than Lethe Lumen Max Rugged Smartphone [LET-086-03] (288 g vs 306 g)</t>
        </is>
      </c>
      <c r="S555" s="43" t="inlineStr">
        <is>
          <t>outdoor, construction, fieldwork</t>
        </is>
      </c>
      <c r="T555" s="0" t="inlineStr">
        <is>
          <t>low_stock</t>
        </is>
      </c>
      <c r="U555" s="0" t="n">
        <v>30</v>
      </c>
      <c r="V555" s="52" t="n">
        <v>340.99</v>
      </c>
      <c r="W555" s="0" t="inlineStr">
        <is>
          <t>2026-08-26</t>
        </is>
      </c>
      <c r="X555" s="0" t="inlineStr">
        <is>
          <t>N/A</t>
        </is>
      </c>
      <c r="Y555" s="0" t="inlineStr">
        <is>
          <t>N/A</t>
        </is>
      </c>
      <c r="Z555" s="0" t="inlineStr">
        <is>
          <t>N/A</t>
        </is>
      </c>
      <c r="AA555" s="0" t="inlineStr">
        <is>
          <t>N/A</t>
        </is>
      </c>
    </row>
    <row r="556" ht="15.75" customHeight="1" s="51">
      <c r="A556" s="43" t="inlineStr">
        <is>
          <t>TYC-055-04</t>
        </is>
      </c>
      <c r="B556" s="43" t="inlineStr">
        <is>
          <t>Tyche</t>
        </is>
      </c>
      <c r="C556" s="43" t="inlineStr">
        <is>
          <t>Smartphones &amp; Tablets</t>
        </is>
      </c>
      <c r="D556" s="43" t="inlineStr">
        <is>
          <t>Tablet</t>
        </is>
      </c>
      <c r="E556" s="44" t="inlineStr">
        <is>
          <t>Tyche Strata Lite 11" Tablet</t>
        </is>
      </c>
      <c r="F556" s="45" t="n">
        <v>455.99</v>
      </c>
      <c r="G556" s="43" t="inlineStr">
        <is>
          <t>the Strata Lite; Tyche Strata Lite; Tycche Strata Lite; Strata Lite tablet</t>
        </is>
      </c>
      <c r="H556" s="43" t="inlineStr">
        <is>
          <t>1 year limited</t>
        </is>
      </c>
      <c r="I556" s="43" t="inlineStr">
        <is>
          <t>FCC, CE</t>
        </is>
      </c>
      <c r="J556" s="43" t="inlineStr">
        <is>
          <t>MediaTek Dimensity 7300</t>
        </is>
      </c>
      <c r="K556" s="43" t="inlineStr">
        <is>
          <t>Arm Mali-G615 MC2</t>
        </is>
      </c>
      <c r="L556" s="43" t="inlineStr">
        <is>
          <t>IPS LCD, 90Hz</t>
        </is>
      </c>
      <c r="M556" s="43" t="inlineStr">
        <is>
          <t>1600x2560</t>
        </is>
      </c>
      <c r="N556" s="43" t="inlineStr">
        <is>
          <t>USB-C (USB 2.0), microSD slot</t>
        </is>
      </c>
      <c r="O556" s="43" t="inlineStr">
        <is>
          <t>Android 15</t>
        </is>
      </c>
      <c r="P556" s="43" t="n">
        <v>10</v>
      </c>
      <c r="Q556" s="46" t="n">
        <v>513</v>
      </c>
      <c r="R556" s="43" t="inlineStr">
        <is>
          <t>Lower price than Alpheus Halo Ultra 11" Tablet [ALP-082-07] ($455.99 vs $780.99)</t>
        </is>
      </c>
      <c r="S556" s="43" t="inlineStr">
        <is>
          <t>school, streaming, reading</t>
        </is>
      </c>
      <c r="T556" s="0" t="inlineStr">
        <is>
          <t>in_stock</t>
        </is>
      </c>
      <c r="U556" s="0" t="n">
        <v>30</v>
      </c>
      <c r="V556" s="52" t="n">
        <v>483.99</v>
      </c>
      <c r="W556" s="0" t="inlineStr">
        <is>
          <t>2026-08-18</t>
        </is>
      </c>
      <c r="X556" s="0" t="inlineStr">
        <is>
          <t>N/A</t>
        </is>
      </c>
      <c r="Y556" s="0" t="inlineStr">
        <is>
          <t>N/A</t>
        </is>
      </c>
      <c r="Z556" s="0" t="inlineStr">
        <is>
          <t>N/A</t>
        </is>
      </c>
      <c r="AA556" s="0" t="inlineStr">
        <is>
          <t>N/A</t>
        </is>
      </c>
    </row>
    <row r="557" ht="15.75" customHeight="1" s="51">
      <c r="A557" s="43" t="inlineStr">
        <is>
          <t>TYC-055-05</t>
        </is>
      </c>
      <c r="B557" s="43" t="inlineStr">
        <is>
          <t>Tyche</t>
        </is>
      </c>
      <c r="C557" s="43" t="inlineStr">
        <is>
          <t>Smartphones &amp; Tablets</t>
        </is>
      </c>
      <c r="D557" s="43" t="inlineStr">
        <is>
          <t>Smartphone</t>
        </is>
      </c>
      <c r="E557" s="44" t="inlineStr">
        <is>
          <t>Tyche Zen Pro Compact Smartphone</t>
        </is>
      </c>
      <c r="F557" s="45" t="n">
        <v>867.99</v>
      </c>
      <c r="G557" s="43" t="inlineStr">
        <is>
          <t>the Zen Pro; Tyche Zen Pro; Tykhe Zen Pro; Zen Pro smartphone</t>
        </is>
      </c>
      <c r="H557" s="43" t="inlineStr">
        <is>
          <t>2 year limited</t>
        </is>
      </c>
      <c r="I557" s="43" t="inlineStr">
        <is>
          <t>FCC, CE, IP68</t>
        </is>
      </c>
      <c r="J557" s="43" t="inlineStr">
        <is>
          <t>Qualcomm Snapdragon 8 Gen 3</t>
        </is>
      </c>
      <c r="K557" s="43" t="inlineStr">
        <is>
          <t>Qualcomm Adreno 750</t>
        </is>
      </c>
      <c r="L557" s="43" t="inlineStr">
        <is>
          <t>AMOLED, 120Hz</t>
        </is>
      </c>
      <c r="M557" s="43" t="inlineStr">
        <is>
          <t>1080x2340</t>
        </is>
      </c>
      <c r="N557" s="43" t="inlineStr">
        <is>
          <t>USB-C (USB 3.2), nano-SIM + eSIM</t>
        </is>
      </c>
      <c r="O557" s="43" t="inlineStr">
        <is>
          <t>Android 15</t>
        </is>
      </c>
      <c r="P557" s="43" t="n">
        <v>19</v>
      </c>
      <c r="Q557" s="46" t="n">
        <v>150</v>
      </c>
      <c r="R557" s="43" t="inlineStr">
        <is>
          <t>Lighter than Plutus Echo Compact Smartphone [PLU-100-05] (150 g vs 159 g); Longer battery than Panacea Nova Air Compact Smartphone [PAN-069-05] (19 vs 18 hrs)</t>
        </is>
      </c>
      <c r="S557" s="43" t="inlineStr">
        <is>
          <t>everyday, one-handed use</t>
        </is>
      </c>
      <c r="T557" s="0" t="inlineStr">
        <is>
          <t>in_stock</t>
        </is>
      </c>
      <c r="U557" s="0" t="n">
        <v>30</v>
      </c>
      <c r="V557" s="52" t="n">
        <v>914.99</v>
      </c>
      <c r="W557" s="0" t="inlineStr">
        <is>
          <t>2026-08-07</t>
        </is>
      </c>
      <c r="X557" s="0" t="inlineStr">
        <is>
          <t>N/A</t>
        </is>
      </c>
      <c r="Y557" s="0" t="inlineStr">
        <is>
          <t>N/A</t>
        </is>
      </c>
      <c r="Z557" s="0" t="inlineStr">
        <is>
          <t>N/A</t>
        </is>
      </c>
      <c r="AA557" s="0" t="inlineStr">
        <is>
          <t>N/A</t>
        </is>
      </c>
    </row>
    <row r="558" ht="15.75" customHeight="1" s="51">
      <c r="A558" s="43" t="inlineStr">
        <is>
          <t>TYC-055-06</t>
        </is>
      </c>
      <c r="B558" s="43" t="inlineStr">
        <is>
          <t>Tyche</t>
        </is>
      </c>
      <c r="C558" s="43" t="inlineStr">
        <is>
          <t>Smartphones &amp; Tablets</t>
        </is>
      </c>
      <c r="D558" s="43" t="inlineStr">
        <is>
          <t>Tablet</t>
        </is>
      </c>
      <c r="E558" s="44" t="inlineStr">
        <is>
          <t>Tyche Aeon Pro 5G Tablet</t>
        </is>
      </c>
      <c r="F558" s="45" t="n">
        <v>1015.99</v>
      </c>
      <c r="G558" s="43" t="inlineStr">
        <is>
          <t>the Aeon Pro; Tyche Aeon Pro; Tycche Aeon Pro; Aeon Pro tablet</t>
        </is>
      </c>
      <c r="H558" s="43" t="inlineStr">
        <is>
          <t>2 year limited</t>
        </is>
      </c>
      <c r="I558" s="43" t="inlineStr">
        <is>
          <t>FCC, CE, Energy Star</t>
        </is>
      </c>
      <c r="J558" s="43" t="inlineStr">
        <is>
          <t>MediaTek Dimensity 9400</t>
        </is>
      </c>
      <c r="K558" s="43" t="inlineStr">
        <is>
          <t>Arm Immortalis-G925</t>
        </is>
      </c>
      <c r="L558" s="43" t="inlineStr">
        <is>
          <t>OLED, 120Hz</t>
        </is>
      </c>
      <c r="M558" s="43" t="inlineStr">
        <is>
          <t>1752x2800</t>
        </is>
      </c>
      <c r="N558" s="43" t="inlineStr">
        <is>
          <t>USB-C (USB 3.2), magnetic keyboard connector, nano-SIM + eSIM</t>
        </is>
      </c>
      <c r="O558" s="43" t="inlineStr">
        <is>
          <t>Android 15</t>
        </is>
      </c>
      <c r="P558" s="43" t="n">
        <v>10</v>
      </c>
      <c r="Q558" s="46" t="n">
        <v>512</v>
      </c>
      <c r="R558" s="43" t="inlineStr">
        <is>
          <t>Lighter than Anteros Blaze X 5G Tablet [ANT-090-08] (512 g vs 534 g); Lower price than Lachesis Blaze Ultra 5G Tablet [LAC-071-09] ($1,015.99 vs $1,155.99)</t>
        </is>
      </c>
      <c r="S558" s="43" t="inlineStr">
        <is>
          <t>travel, streaming, work on the go</t>
        </is>
      </c>
      <c r="T558" s="0" t="inlineStr">
        <is>
          <t>in_stock</t>
        </is>
      </c>
      <c r="U558" s="0" t="n">
        <v>30</v>
      </c>
      <c r="V558" s="52" t="n">
        <v>1081.99</v>
      </c>
      <c r="W558" s="0" t="inlineStr">
        <is>
          <t>2026-09-23</t>
        </is>
      </c>
      <c r="X558" s="0" t="inlineStr">
        <is>
          <t>N/A</t>
        </is>
      </c>
      <c r="Y558" s="0" t="inlineStr">
        <is>
          <t>N/A</t>
        </is>
      </c>
      <c r="Z558" s="0" t="inlineStr">
        <is>
          <t>N/A</t>
        </is>
      </c>
      <c r="AA558" s="0" t="inlineStr">
        <is>
          <t>N/A</t>
        </is>
      </c>
    </row>
    <row r="559" ht="15.75" customHeight="1" s="51">
      <c r="A559" s="43" t="inlineStr">
        <is>
          <t>TYC-055-07</t>
        </is>
      </c>
      <c r="B559" s="43" t="inlineStr">
        <is>
          <t>Tyche</t>
        </is>
      </c>
      <c r="C559" s="43" t="inlineStr">
        <is>
          <t>Smartphones &amp; Tablets</t>
        </is>
      </c>
      <c r="D559" s="43" t="inlineStr">
        <is>
          <t>Smartphone</t>
        </is>
      </c>
      <c r="E559" s="44" t="inlineStr">
        <is>
          <t>Tyche Aeon Ultra Flagship Smartphone</t>
        </is>
      </c>
      <c r="F559" s="45" t="n">
        <v>1061.99</v>
      </c>
      <c r="G559" s="43" t="inlineStr">
        <is>
          <t>the Aeon Ultra; Tyche Aeon Ultra; Tcyhe Aeon Ultra; Aeon Ultra smartphone</t>
        </is>
      </c>
      <c r="H559" s="43" t="inlineStr">
        <is>
          <t>1 year limited</t>
        </is>
      </c>
      <c r="I559" s="43" t="inlineStr">
        <is>
          <t>FCC, CE, IP68, Qi2</t>
        </is>
      </c>
      <c r="J559" s="43" t="inlineStr">
        <is>
          <t>MediaTek Dimensity 9400</t>
        </is>
      </c>
      <c r="K559" s="43" t="inlineStr">
        <is>
          <t>Arm Immortalis-G925</t>
        </is>
      </c>
      <c r="L559" s="43" t="inlineStr">
        <is>
          <t>LTPO AMOLED, 1-120Hz</t>
        </is>
      </c>
      <c r="M559" s="43" t="inlineStr">
        <is>
          <t>1440x3120</t>
        </is>
      </c>
      <c r="N559" s="43" t="inlineStr">
        <is>
          <t>USB-C (USB 3.2), nano-SIM + eSIM</t>
        </is>
      </c>
      <c r="O559" s="43" t="inlineStr">
        <is>
          <t>Android 15</t>
        </is>
      </c>
      <c r="P559" s="43" t="n">
        <v>31</v>
      </c>
      <c r="Q559" s="46" t="n">
        <v>171</v>
      </c>
      <c r="R559" s="43" t="inlineStr">
        <is>
          <t>Longer battery than Epimetheus Orbit Flagship Smartphone [EPI-091-06] (31 vs 23 hrs); Lighter than Anteros Onyx Flagship Smartphone [ANT-090-05] (171 g vs 191 g)</t>
        </is>
      </c>
      <c r="S559" s="43" t="inlineStr">
        <is>
          <t>photography, everyday, business</t>
        </is>
      </c>
      <c r="T559" s="0" t="inlineStr">
        <is>
          <t>out_of_stock</t>
        </is>
      </c>
      <c r="U559" s="0" t="n">
        <v>30</v>
      </c>
      <c r="V559" s="52" t="n">
        <v>1175.99</v>
      </c>
      <c r="W559" s="0" t="inlineStr">
        <is>
          <t>2026-08-20</t>
        </is>
      </c>
      <c r="X559" s="0" t="inlineStr">
        <is>
          <t>N/A</t>
        </is>
      </c>
      <c r="Y559" s="0" t="inlineStr">
        <is>
          <t>N/A</t>
        </is>
      </c>
      <c r="Z559" s="0" t="inlineStr">
        <is>
          <t>N/A</t>
        </is>
      </c>
      <c r="AA559" s="0" t="inlineStr">
        <is>
          <t>N/A</t>
        </is>
      </c>
    </row>
    <row r="560" ht="15.75" customHeight="1" s="51">
      <c r="A560" s="43" t="inlineStr">
        <is>
          <t>TYC-055-08</t>
        </is>
      </c>
      <c r="B560" s="43" t="inlineStr">
        <is>
          <t>Tyche</t>
        </is>
      </c>
      <c r="C560" s="43" t="inlineStr">
        <is>
          <t>Smartphones &amp; Tablets</t>
        </is>
      </c>
      <c r="D560" s="43" t="inlineStr">
        <is>
          <t>Tablet</t>
        </is>
      </c>
      <c r="E560" s="44" t="inlineStr">
        <is>
          <t>Tyche Lumen Plus 13" Pro Tablet</t>
        </is>
      </c>
      <c r="F560" s="45" t="n">
        <v>1218.99</v>
      </c>
      <c r="G560" s="43" t="inlineStr">
        <is>
          <t>the Lumen Plus; Tyche Lumen Plus; Tcyhe Lumen Plus; Lumen Plus tablet</t>
        </is>
      </c>
      <c r="H560" s="43" t="inlineStr">
        <is>
          <t>1 year limited</t>
        </is>
      </c>
      <c r="I560" s="43" t="inlineStr">
        <is>
          <t>FCC, CE</t>
        </is>
      </c>
      <c r="J560" s="43" t="inlineStr">
        <is>
          <t>MediaTek Dimensity 9400</t>
        </is>
      </c>
      <c r="K560" s="43" t="inlineStr">
        <is>
          <t>Arm Immortalis-G925</t>
        </is>
      </c>
      <c r="L560" s="43" t="inlineStr">
        <is>
          <t>OLED, 120Hz</t>
        </is>
      </c>
      <c r="M560" s="43" t="inlineStr">
        <is>
          <t>2800x1752</t>
        </is>
      </c>
      <c r="N560" s="43" t="inlineStr">
        <is>
          <t>USB-C (USB 3.2), magnetic keyboard connector</t>
        </is>
      </c>
      <c r="O560" s="43" t="inlineStr">
        <is>
          <t>Android 15</t>
        </is>
      </c>
      <c r="P560" s="43" t="n">
        <v>11</v>
      </c>
      <c r="Q560" s="46" t="n">
        <v>667</v>
      </c>
      <c r="R560" s="43" t="inlineStr">
        <is>
          <t>Lower price than Phobos Drift Lite 13" Pro Tablet [PHO-053-09] ($1,218.99 vs $1,512.99); Longer battery than Leto Sable 13" Pro Tablet [LET-077-10] (11 vs 10 hrs)</t>
        </is>
      </c>
      <c r="S560" s="43" t="inlineStr">
        <is>
          <t>creative work, productivity, drawing</t>
        </is>
      </c>
      <c r="T560" s="0" t="inlineStr">
        <is>
          <t>in_stock</t>
        </is>
      </c>
      <c r="U560" s="0" t="n">
        <v>30</v>
      </c>
      <c r="V560" s="52" t="n">
        <v>1271.99</v>
      </c>
      <c r="W560" s="0" t="inlineStr">
        <is>
          <t>2026-09-17</t>
        </is>
      </c>
      <c r="X560" s="0" t="inlineStr">
        <is>
          <t>N/A</t>
        </is>
      </c>
      <c r="Y560" s="0" t="inlineStr">
        <is>
          <t>N/A</t>
        </is>
      </c>
      <c r="Z560" s="0" t="inlineStr">
        <is>
          <t>N/A</t>
        </is>
      </c>
      <c r="AA560" s="0" t="inlineStr">
        <is>
          <t>N/A</t>
        </is>
      </c>
    </row>
    <row r="561" ht="15.75" customHeight="1" s="51">
      <c r="A561" s="43" t="inlineStr">
        <is>
          <t>TYC-055-09</t>
        </is>
      </c>
      <c r="B561" s="43" t="inlineStr">
        <is>
          <t>Tyche</t>
        </is>
      </c>
      <c r="C561" s="43" t="inlineStr">
        <is>
          <t>Smartphones &amp; Tablets</t>
        </is>
      </c>
      <c r="D561" s="43" t="inlineStr">
        <is>
          <t>Smartphone</t>
        </is>
      </c>
      <c r="E561" s="44" t="inlineStr">
        <is>
          <t>Tyche Wave Ultra Pro Max Smartphone</t>
        </is>
      </c>
      <c r="F561" s="45" t="n">
        <v>1488.99</v>
      </c>
      <c r="G561" s="43" t="inlineStr">
        <is>
          <t>the Wave Ultra; Tyche Wave Ultra; Tyyche Wave Ultra; Wave Ultra smartphone</t>
        </is>
      </c>
      <c r="H561" s="43" t="inlineStr">
        <is>
          <t>2 year limited</t>
        </is>
      </c>
      <c r="I561" s="43" t="inlineStr">
        <is>
          <t>FCC, CE, IP68, Qi2</t>
        </is>
      </c>
      <c r="J561" s="43" t="inlineStr">
        <is>
          <t>Qualcomm Snapdragon 8 Elite</t>
        </is>
      </c>
      <c r="K561" s="43" t="inlineStr">
        <is>
          <t>Qualcomm Adreno 830</t>
        </is>
      </c>
      <c r="L561" s="43" t="inlineStr">
        <is>
          <t>LTPO AMOLED, 1-120Hz</t>
        </is>
      </c>
      <c r="M561" s="43" t="inlineStr">
        <is>
          <t>1440x3120</t>
        </is>
      </c>
      <c r="N561" s="43" t="inlineStr">
        <is>
          <t>USB-C (USB 3.2), nano-SIM + eSIM</t>
        </is>
      </c>
      <c r="O561" s="43" t="inlineStr">
        <is>
          <t>Android 15</t>
        </is>
      </c>
      <c r="P561" s="43" t="n">
        <v>31</v>
      </c>
      <c r="Q561" s="46" t="n">
        <v>218</v>
      </c>
      <c r="R561" s="43" t="inlineStr">
        <is>
          <t>Lighter than Styx Drift X Pro Max Smartphone [STY-058-09] (218 g vs 235 g); Lower price than Theia Halo Air Pro Max Smartphone [THE-081-08] ($1,488.99 vs $1,499.99)</t>
        </is>
      </c>
      <c r="S561" s="43" t="inlineStr">
        <is>
          <t>photography, video, mobile gaming</t>
        </is>
      </c>
      <c r="T561" s="0" t="inlineStr">
        <is>
          <t>out_of_stock</t>
        </is>
      </c>
      <c r="U561" s="0" t="n">
        <v>30</v>
      </c>
      <c r="V561" s="52" t="n">
        <v>1641.99</v>
      </c>
      <c r="W561" s="0" t="inlineStr">
        <is>
          <t>2026-09-14</t>
        </is>
      </c>
      <c r="X561" s="0" t="inlineStr">
        <is>
          <t>N/A</t>
        </is>
      </c>
      <c r="Y561" s="0" t="inlineStr">
        <is>
          <t>N/A</t>
        </is>
      </c>
      <c r="Z561" s="0" t="inlineStr">
        <is>
          <t>N/A</t>
        </is>
      </c>
      <c r="AA561" s="0" t="inlineStr">
        <is>
          <t>N/A</t>
        </is>
      </c>
    </row>
    <row r="562" ht="15.75" customHeight="1" s="51">
      <c r="A562" s="43" t="inlineStr">
        <is>
          <t>TYC-055-10</t>
        </is>
      </c>
      <c r="B562" s="43" t="inlineStr">
        <is>
          <t>Tyche</t>
        </is>
      </c>
      <c r="C562" s="43" t="inlineStr">
        <is>
          <t>Smartphones &amp; Tablets</t>
        </is>
      </c>
      <c r="D562" s="43" t="inlineStr">
        <is>
          <t>Smartphone</t>
        </is>
      </c>
      <c r="E562" s="44" t="inlineStr">
        <is>
          <t>Tyche Prism Ultra Foldable Phone</t>
        </is>
      </c>
      <c r="F562" s="45" t="n">
        <v>2198.99</v>
      </c>
      <c r="G562" s="43" t="inlineStr">
        <is>
          <t>the Prism Ultra; Tyche Prism Ultra; Tyhce Prism Ultra; Prism Ultra smartphone</t>
        </is>
      </c>
      <c r="H562" s="43" t="inlineStr">
        <is>
          <t>2 year limited</t>
        </is>
      </c>
      <c r="I562" s="43" t="inlineStr">
        <is>
          <t>FCC, CE, IPX8</t>
        </is>
      </c>
      <c r="J562" s="43" t="inlineStr">
        <is>
          <t>Qualcomm Snapdragon 8 Elite</t>
        </is>
      </c>
      <c r="K562" s="43" t="inlineStr">
        <is>
          <t>Qualcomm Adreno 830</t>
        </is>
      </c>
      <c r="L562" s="43" t="inlineStr">
        <is>
          <t>Foldable LTPO AMOLED inner + AMOLED cover, 120Hz</t>
        </is>
      </c>
      <c r="M562" s="43" t="inlineStr">
        <is>
          <t>2160x1856 inner / 1080x2376 cover</t>
        </is>
      </c>
      <c r="N562" s="43" t="inlineStr">
        <is>
          <t>USB-C (USB 3.2), nano-SIM + eSIM</t>
        </is>
      </c>
      <c r="O562" s="43" t="inlineStr">
        <is>
          <t>Android 15</t>
        </is>
      </c>
      <c r="P562" s="43" t="n">
        <v>18</v>
      </c>
      <c r="Q562" s="46" t="n">
        <v>262</v>
      </c>
      <c r="R562" s="43" t="inlineStr">
        <is>
          <t>Lighter than Hypnos Prism Pro Foldable Phone [HYP-059-10] (262 g vs 264 g)</t>
        </is>
      </c>
      <c r="S562" s="43" t="inlineStr">
        <is>
          <t>multitasking, business, media</t>
        </is>
      </c>
      <c r="T562" s="0" t="inlineStr">
        <is>
          <t>in_stock</t>
        </is>
      </c>
      <c r="U562" s="0" t="n">
        <v>30</v>
      </c>
      <c r="V562" s="52" t="n">
        <v>2389.99</v>
      </c>
      <c r="W562" s="0" t="inlineStr">
        <is>
          <t>2026-08-21</t>
        </is>
      </c>
      <c r="X562" s="0" t="inlineStr">
        <is>
          <t>N/A</t>
        </is>
      </c>
      <c r="Y562" s="0" t="inlineStr">
        <is>
          <t>N/A</t>
        </is>
      </c>
      <c r="Z562" s="0" t="inlineStr">
        <is>
          <t>N/A</t>
        </is>
      </c>
      <c r="AA562" s="0" t="inlineStr">
        <is>
          <t>N/A</t>
        </is>
      </c>
    </row>
    <row r="563" ht="15.75" customHeight="1" s="51">
      <c r="A563" s="43" t="inlineStr">
        <is>
          <t>EUN-056-01</t>
        </is>
      </c>
      <c r="B563" s="43" t="inlineStr">
        <is>
          <t>Eunomia</t>
        </is>
      </c>
      <c r="C563" s="43" t="inlineStr">
        <is>
          <t>Smartphones &amp; Tablets</t>
        </is>
      </c>
      <c r="D563" s="43" t="inlineStr">
        <is>
          <t>Tablet</t>
        </is>
      </c>
      <c r="E563" s="44" t="inlineStr">
        <is>
          <t>Eunomia Echo SE Kids Tablet</t>
        </is>
      </c>
      <c r="F563" s="45" t="n">
        <v>124.99</v>
      </c>
      <c r="G563" s="43" t="inlineStr">
        <is>
          <t>the Echo SE; Eunomia Echo SE; Enuomia Echo SE; Echo SE tablet</t>
        </is>
      </c>
      <c r="H563" s="43" t="inlineStr">
        <is>
          <t>1 year limited</t>
        </is>
      </c>
      <c r="I563" s="43" t="inlineStr">
        <is>
          <t>FCC, CE, TUV Rheinland Low Blue Light, EN 71 Toy Safety</t>
        </is>
      </c>
      <c r="J563" s="43" t="inlineStr">
        <is>
          <t>MediaTek Helio G88</t>
        </is>
      </c>
      <c r="K563" s="43" t="inlineStr">
        <is>
          <t>Arm Mali-G52 MC2</t>
        </is>
      </c>
      <c r="L563" s="43" t="inlineStr">
        <is>
          <t>IPS LCD, 60Hz</t>
        </is>
      </c>
      <c r="M563" s="43" t="inlineStr">
        <is>
          <t>800x1280</t>
        </is>
      </c>
      <c r="N563" s="43" t="inlineStr">
        <is>
          <t>USB-C (USB 2.0), microSD slot</t>
        </is>
      </c>
      <c r="O563" s="43" t="inlineStr">
        <is>
          <t>Android 14 with parental controls</t>
        </is>
      </c>
      <c r="P563" s="43" t="n">
        <v>10</v>
      </c>
      <c r="Q563" s="46" t="n">
        <v>389</v>
      </c>
      <c r="R563" s="43" t="inlineStr">
        <is>
          <t>Lower price than Leto Crest Pro Kids Tablet [LET-077-01] ($124.99 vs $154.99); Lighter than Lethe Echo Max Kids Tablet [LET-086-01] (389 g vs 426 g)</t>
        </is>
      </c>
      <c r="S563" s="43" t="inlineStr">
        <is>
          <t>kids, learning, games</t>
        </is>
      </c>
      <c r="T563" s="0" t="inlineStr">
        <is>
          <t>in_stock</t>
        </is>
      </c>
      <c r="U563" s="0" t="n">
        <v>30</v>
      </c>
      <c r="V563" s="52" t="n">
        <v>138.99</v>
      </c>
      <c r="W563" s="0" t="inlineStr">
        <is>
          <t>2026-09-13</t>
        </is>
      </c>
      <c r="X563" s="0" t="inlineStr">
        <is>
          <t>N/A</t>
        </is>
      </c>
      <c r="Y563" s="0" t="inlineStr">
        <is>
          <t>N/A</t>
        </is>
      </c>
      <c r="Z563" s="0" t="inlineStr">
        <is>
          <t>N/A</t>
        </is>
      </c>
      <c r="AA563" s="0" t="inlineStr">
        <is>
          <t>N/A</t>
        </is>
      </c>
    </row>
    <row r="564" ht="15.75" customHeight="1" s="51">
      <c r="A564" s="43" t="inlineStr">
        <is>
          <t>EUN-056-02</t>
        </is>
      </c>
      <c r="B564" s="43" t="inlineStr">
        <is>
          <t>Eunomia</t>
        </is>
      </c>
      <c r="C564" s="43" t="inlineStr">
        <is>
          <t>Smartphones &amp; Tablets</t>
        </is>
      </c>
      <c r="D564" s="43" t="inlineStr">
        <is>
          <t>Smartphone</t>
        </is>
      </c>
      <c r="E564" s="44" t="inlineStr">
        <is>
          <t>Eunomia Flux SE Budget Smartphone</t>
        </is>
      </c>
      <c r="F564" s="45" t="n">
        <v>193.99</v>
      </c>
      <c r="G564" s="43" t="inlineStr">
        <is>
          <t>the Flux SE; Eunomia Flux SE; Eunomi Flux SE; Flux SE smartphone</t>
        </is>
      </c>
      <c r="H564" s="43" t="inlineStr">
        <is>
          <t>1 year limited</t>
        </is>
      </c>
      <c r="I564" s="43" t="inlineStr">
        <is>
          <t>FCC, CE, IP54</t>
        </is>
      </c>
      <c r="J564" s="43" t="inlineStr">
        <is>
          <t>MediaTek Helio G99</t>
        </is>
      </c>
      <c r="K564" s="43" t="inlineStr">
        <is>
          <t>Arm Mali-G57 MC2</t>
        </is>
      </c>
      <c r="L564" s="43" t="inlineStr">
        <is>
          <t>IPS LCD, 90Hz</t>
        </is>
      </c>
      <c r="M564" s="43" t="inlineStr">
        <is>
          <t>720x1600</t>
        </is>
      </c>
      <c r="N564" s="43" t="inlineStr">
        <is>
          <t>USB-C (USB 2.0), nano-SIM + eSIM, 3.5mm headphone jack, microSD slot</t>
        </is>
      </c>
      <c r="O564" s="43" t="inlineStr">
        <is>
          <t>Android 14</t>
        </is>
      </c>
      <c r="P564" s="43" t="n">
        <v>26</v>
      </c>
      <c r="Q564" s="46" t="n">
        <v>191</v>
      </c>
      <c r="R564" s="43" t="inlineStr">
        <is>
          <t>Longer battery than Styx Vertex Lite Budget Smartphone [STY-058-02] (26 vs 24 hrs); Lower price than Pan Aeon Ultra Budget Smartphone [PAN-097-01] ($193.99 vs $212.99)</t>
        </is>
      </c>
      <c r="S564" s="43" t="inlineStr">
        <is>
          <t>budget, first phone, everyday</t>
        </is>
      </c>
      <c r="T564" s="0" t="inlineStr">
        <is>
          <t>in_stock</t>
        </is>
      </c>
      <c r="U564" s="0" t="n">
        <v>30</v>
      </c>
      <c r="V564" s="52" t="n">
        <v>201.99</v>
      </c>
      <c r="W564" s="0" t="inlineStr">
        <is>
          <t>2026-08-19</t>
        </is>
      </c>
      <c r="X564" s="0" t="inlineStr">
        <is>
          <t>N/A</t>
        </is>
      </c>
      <c r="Y564" s="0" t="inlineStr">
        <is>
          <t>N/A</t>
        </is>
      </c>
      <c r="Z564" s="0" t="inlineStr">
        <is>
          <t>N/A</t>
        </is>
      </c>
      <c r="AA564" s="0" t="inlineStr">
        <is>
          <t>N/A</t>
        </is>
      </c>
    </row>
    <row r="565" ht="15.75" customHeight="1" s="51">
      <c r="A565" s="43" t="inlineStr">
        <is>
          <t>EUN-056-03</t>
        </is>
      </c>
      <c r="B565" s="43" t="inlineStr">
        <is>
          <t>Eunomia</t>
        </is>
      </c>
      <c r="C565" s="43" t="inlineStr">
        <is>
          <t>Smartphones &amp; Tablets</t>
        </is>
      </c>
      <c r="D565" s="43" t="inlineStr">
        <is>
          <t>Tablet</t>
        </is>
      </c>
      <c r="E565" s="44" t="inlineStr">
        <is>
          <t>Eunomia Quanta Max 11" Tablet</t>
        </is>
      </c>
      <c r="F565" s="45" t="n">
        <v>396.99</v>
      </c>
      <c r="G565" s="43" t="inlineStr">
        <is>
          <t>the Quanta Max; Eunomia Quanta Max; Eunommia Quanta Max; Quanta Max tablet</t>
        </is>
      </c>
      <c r="H565" s="43" t="inlineStr">
        <is>
          <t>1 year limited</t>
        </is>
      </c>
      <c r="I565" s="43" t="inlineStr">
        <is>
          <t>FCC, CE</t>
        </is>
      </c>
      <c r="J565" s="43" t="inlineStr">
        <is>
          <t>MediaTek Dimensity 7300</t>
        </is>
      </c>
      <c r="K565" s="43" t="inlineStr">
        <is>
          <t>Arm Mali-G615 MC2</t>
        </is>
      </c>
      <c r="L565" s="43" t="inlineStr">
        <is>
          <t>IPS LCD, 90Hz</t>
        </is>
      </c>
      <c r="M565" s="43" t="inlineStr">
        <is>
          <t>1600x2560</t>
        </is>
      </c>
      <c r="N565" s="43" t="inlineStr">
        <is>
          <t>USB-C (USB 2.0), microSD slot</t>
        </is>
      </c>
      <c r="O565" s="43" t="inlineStr">
        <is>
          <t>Android 15</t>
        </is>
      </c>
      <c r="P565" s="43" t="n">
        <v>10</v>
      </c>
      <c r="Q565" s="46" t="n">
        <v>478</v>
      </c>
      <c r="R565" s="43" t="inlineStr">
        <is>
          <t>Lower price than Pallas Spark 11" Tablet [PAL-057-03] ($396.99 vs $481.99); Lighter than Aglaea Aeon X 11" Tablet [AGL-079-02] (478 g vs 496 g)</t>
        </is>
      </c>
      <c r="S565" s="43" t="inlineStr">
        <is>
          <t>school, streaming, reading</t>
        </is>
      </c>
      <c r="T565" s="0" t="inlineStr">
        <is>
          <t>in_stock</t>
        </is>
      </c>
      <c r="U565" s="0" t="n">
        <v>30</v>
      </c>
      <c r="V565" s="52" t="n">
        <v>448.99</v>
      </c>
      <c r="W565" s="0" t="inlineStr">
        <is>
          <t>2026-08-21</t>
        </is>
      </c>
      <c r="X565" s="0" t="inlineStr">
        <is>
          <t>N/A</t>
        </is>
      </c>
      <c r="Y565" s="0" t="inlineStr">
        <is>
          <t>N/A</t>
        </is>
      </c>
      <c r="Z565" s="0" t="inlineStr">
        <is>
          <t>N/A</t>
        </is>
      </c>
      <c r="AA565" s="0" t="inlineStr">
        <is>
          <t>N/A</t>
        </is>
      </c>
    </row>
    <row r="566" ht="15.75" customHeight="1" s="51">
      <c r="A566" s="43" t="inlineStr">
        <is>
          <t>EUN-056-04</t>
        </is>
      </c>
      <c r="B566" s="43" t="inlineStr">
        <is>
          <t>Eunomia</t>
        </is>
      </c>
      <c r="C566" s="43" t="inlineStr">
        <is>
          <t>Smartphones &amp; Tablets</t>
        </is>
      </c>
      <c r="D566" s="43" t="inlineStr">
        <is>
          <t>Smartphone</t>
        </is>
      </c>
      <c r="E566" s="44" t="inlineStr">
        <is>
          <t>Eunomia Aria X Rugged Smartphone</t>
        </is>
      </c>
      <c r="F566" s="45" t="n">
        <v>441.99</v>
      </c>
      <c r="G566" s="43" t="inlineStr">
        <is>
          <t>the Aria X; Eunomia Aria X; Euonmia Aria X; Aria X smartphone</t>
        </is>
      </c>
      <c r="H566" s="43" t="inlineStr">
        <is>
          <t>2 year limited</t>
        </is>
      </c>
      <c r="I566" s="43" t="inlineStr">
        <is>
          <t>FCC, CE, IP69K, MIL-STD-810H</t>
        </is>
      </c>
      <c r="J566" s="43" t="inlineStr">
        <is>
          <t>MediaTek Dimensity 7300</t>
        </is>
      </c>
      <c r="K566" s="43" t="inlineStr">
        <is>
          <t>Arm Mali-G615 MC2</t>
        </is>
      </c>
      <c r="L566" s="43" t="inlineStr">
        <is>
          <t>IPS LCD, Gorilla Glass Victus, 120Hz</t>
        </is>
      </c>
      <c r="M566" s="43" t="inlineStr">
        <is>
          <t>1080x2400</t>
        </is>
      </c>
      <c r="N566" s="43" t="inlineStr">
        <is>
          <t>USB-C (USB 2.0), nano-SIM + eSIM, 3.5mm headphone jack, microSD slot</t>
        </is>
      </c>
      <c r="O566" s="43" t="inlineStr">
        <is>
          <t>Android 15</t>
        </is>
      </c>
      <c r="P566" s="43" t="n">
        <v>36</v>
      </c>
      <c r="Q566" s="46" t="n">
        <v>264</v>
      </c>
      <c r="R566" s="43" t="inlineStr">
        <is>
          <t>Longer battery than Pothos Pulse Air Rugged Smartphone [POT-072-02] (36 vs 33 hrs); Lighter than Elpis Nova Max Rugged Smartphone [ELP-074-05] (264 g vs 275 g)</t>
        </is>
      </c>
      <c r="S566" s="43" t="inlineStr">
        <is>
          <t>outdoor, construction, fieldwork</t>
        </is>
      </c>
      <c r="T566" s="0" t="inlineStr">
        <is>
          <t>in_stock</t>
        </is>
      </c>
      <c r="U566" s="0" t="n">
        <v>30</v>
      </c>
      <c r="V566" s="52" t="n">
        <v>455.99</v>
      </c>
      <c r="W566" s="0" t="inlineStr">
        <is>
          <t>2026-09-13</t>
        </is>
      </c>
      <c r="X566" s="0" t="inlineStr">
        <is>
          <t>N/A</t>
        </is>
      </c>
      <c r="Y566" s="0" t="inlineStr">
        <is>
          <t>N/A</t>
        </is>
      </c>
      <c r="Z566" s="0" t="inlineStr">
        <is>
          <t>N/A</t>
        </is>
      </c>
      <c r="AA566" s="0" t="inlineStr">
        <is>
          <t>N/A</t>
        </is>
      </c>
    </row>
    <row r="567" ht="15.75" customHeight="1" s="51">
      <c r="A567" s="43" t="inlineStr">
        <is>
          <t>EUN-056-05</t>
        </is>
      </c>
      <c r="B567" s="43" t="inlineStr">
        <is>
          <t>Eunomia</t>
        </is>
      </c>
      <c r="C567" s="43" t="inlineStr">
        <is>
          <t>Smartphones &amp; Tablets</t>
        </is>
      </c>
      <c r="D567" s="43" t="inlineStr">
        <is>
          <t>Tablet</t>
        </is>
      </c>
      <c r="E567" s="44" t="inlineStr">
        <is>
          <t>Eunomia Lumen Air Drawing Tablet with Stylus</t>
        </is>
      </c>
      <c r="F567" s="45" t="n">
        <v>450.99</v>
      </c>
      <c r="G567" s="43" t="inlineStr">
        <is>
          <t>the Lumen Air; Eunomia Lumen Air; Eunomi Lumen Air; Lumen Air tablet</t>
        </is>
      </c>
      <c r="H567" s="43" t="inlineStr">
        <is>
          <t>1 year limited</t>
        </is>
      </c>
      <c r="I567" s="43" t="inlineStr">
        <is>
          <t>FCC, CE, TUV Rheinland Low Blue Light</t>
        </is>
      </c>
      <c r="J567" s="43" t="inlineStr">
        <is>
          <t>MediaTek Dimensity 7300</t>
        </is>
      </c>
      <c r="K567" s="43" t="inlineStr">
        <is>
          <t>Arm Mali-G615 MC2</t>
        </is>
      </c>
      <c r="L567" s="43" t="inlineStr">
        <is>
          <t>IPS LCD anti-glare, pen digitizer</t>
        </is>
      </c>
      <c r="M567" s="43" t="inlineStr">
        <is>
          <t>2000x1200</t>
        </is>
      </c>
      <c r="N567" s="43" t="inlineStr">
        <is>
          <t>USB-C (USB 2.0), microSD slot</t>
        </is>
      </c>
      <c r="O567" s="43" t="inlineStr">
        <is>
          <t>Android 15</t>
        </is>
      </c>
      <c r="P567" s="43" t="n">
        <v>11</v>
      </c>
      <c r="Q567" s="46" t="n">
        <v>526</v>
      </c>
      <c r="R567" s="43" t="inlineStr">
        <is>
          <t>Lighter than Dike Vertex Lite Drawing Tablet with Stylus [DIK-099-08] (526 g vs 635 g); Lower price than Phobos Quanta X Drawing Tablet with Stylus [PHO-053-07] ($450.99 vs $1,135.99)</t>
        </is>
      </c>
      <c r="S567" s="43" t="inlineStr">
        <is>
          <t>drawing, design, note-taking</t>
        </is>
      </c>
      <c r="T567" s="0" t="inlineStr">
        <is>
          <t>in_stock</t>
        </is>
      </c>
      <c r="U567" s="0" t="n">
        <v>30</v>
      </c>
      <c r="V567" s="52" t="n">
        <v>469.99</v>
      </c>
      <c r="W567" s="0" t="inlineStr">
        <is>
          <t>2026-08-05</t>
        </is>
      </c>
      <c r="X567" s="0" t="inlineStr">
        <is>
          <t>N/A</t>
        </is>
      </c>
      <c r="Y567" s="0" t="inlineStr">
        <is>
          <t>N/A</t>
        </is>
      </c>
      <c r="Z567" s="0" t="inlineStr">
        <is>
          <t>N/A</t>
        </is>
      </c>
      <c r="AA567" s="0" t="inlineStr">
        <is>
          <t>N/A</t>
        </is>
      </c>
    </row>
    <row r="568" ht="15.75" customHeight="1" s="51">
      <c r="A568" s="43" t="inlineStr">
        <is>
          <t>EUN-056-06</t>
        </is>
      </c>
      <c r="B568" s="43" t="inlineStr">
        <is>
          <t>Eunomia</t>
        </is>
      </c>
      <c r="C568" s="43" t="inlineStr">
        <is>
          <t>Smartphones &amp; Tablets</t>
        </is>
      </c>
      <c r="D568" s="43" t="inlineStr">
        <is>
          <t>Tablet</t>
        </is>
      </c>
      <c r="E568" s="44" t="inlineStr">
        <is>
          <t>Eunomia Volt SE 8" Mini Tablet</t>
        </is>
      </c>
      <c r="F568" s="45" t="n">
        <v>570.99</v>
      </c>
      <c r="G568" s="43" t="inlineStr">
        <is>
          <t>the Volt SE; Eunomia Volt SE; Eunoima Volt SE; Volt SE tablet</t>
        </is>
      </c>
      <c r="H568" s="43" t="inlineStr">
        <is>
          <t>2 year limited</t>
        </is>
      </c>
      <c r="I568" s="43" t="inlineStr">
        <is>
          <t>FCC, CE, TUV Rheinland Low Blue Light, Energy Star</t>
        </is>
      </c>
      <c r="J568" s="43" t="inlineStr">
        <is>
          <t>Qualcomm Snapdragon 7+ Gen 3</t>
        </is>
      </c>
      <c r="K568" s="43" t="inlineStr">
        <is>
          <t>Qualcomm Adreno 732</t>
        </is>
      </c>
      <c r="L568" s="43" t="inlineStr">
        <is>
          <t>OLED, 120Hz</t>
        </is>
      </c>
      <c r="M568" s="43" t="inlineStr">
        <is>
          <t>1600x2560</t>
        </is>
      </c>
      <c r="N568" s="43" t="inlineStr">
        <is>
          <t>USB-C (USB 2.0), microSD slot</t>
        </is>
      </c>
      <c r="O568" s="43" t="inlineStr">
        <is>
          <t>Android 15</t>
        </is>
      </c>
      <c r="P568" s="43" t="n">
        <v>12</v>
      </c>
      <c r="Q568" s="46" t="n">
        <v>322</v>
      </c>
      <c r="R568" s="43" t="inlineStr">
        <is>
          <t>Longer battery than Eupheme Axis Ultra 8" Mini Tablet [EUP-084-03] (12 vs 11 hrs); Lighter than Elpis Pulse Pro 8" Mini Tablet [ELP-074-02] (322 g vs 332 g)</t>
        </is>
      </c>
      <c r="S568" s="43" t="inlineStr">
        <is>
          <t>reading, travel, gaming</t>
        </is>
      </c>
      <c r="T568" s="0" t="inlineStr">
        <is>
          <t>in_stock</t>
        </is>
      </c>
      <c r="U568" s="0" t="n">
        <v>30</v>
      </c>
      <c r="V568" s="52" t="n">
        <v>624.99</v>
      </c>
      <c r="W568" s="0" t="inlineStr">
        <is>
          <t>2026-08-02</t>
        </is>
      </c>
      <c r="X568" s="0" t="inlineStr">
        <is>
          <t>N/A</t>
        </is>
      </c>
      <c r="Y568" s="0" t="inlineStr">
        <is>
          <t>N/A</t>
        </is>
      </c>
      <c r="Z568" s="0" t="inlineStr">
        <is>
          <t>N/A</t>
        </is>
      </c>
      <c r="AA568" s="0" t="inlineStr">
        <is>
          <t>N/A</t>
        </is>
      </c>
    </row>
    <row r="569" ht="15.75" customHeight="1" s="51">
      <c r="A569" s="43" t="inlineStr">
        <is>
          <t>EUN-056-07</t>
        </is>
      </c>
      <c r="B569" s="43" t="inlineStr">
        <is>
          <t>Eunomia</t>
        </is>
      </c>
      <c r="C569" s="43" t="inlineStr">
        <is>
          <t>Smartphones &amp; Tablets</t>
        </is>
      </c>
      <c r="D569" s="43" t="inlineStr">
        <is>
          <t>Tablet</t>
        </is>
      </c>
      <c r="E569" s="44" t="inlineStr">
        <is>
          <t>Eunomia Crest E-Ink Note Tablet</t>
        </is>
      </c>
      <c r="F569" s="45" t="n">
        <v>596.99</v>
      </c>
      <c r="G569" s="43" t="inlineStr">
        <is>
          <t>the Crest; Eunomia Crest; Eunommia Crest; Crest tablet</t>
        </is>
      </c>
      <c r="H569" s="43" t="inlineStr">
        <is>
          <t>2 year limited</t>
        </is>
      </c>
      <c r="I569" s="43" t="inlineStr">
        <is>
          <t>FCC, CE, TUV Rheinland Low Blue Light, Energy Star</t>
        </is>
      </c>
      <c r="J569" s="43" t="inlineStr">
        <is>
          <t>Rockchip RK3566</t>
        </is>
      </c>
      <c r="K569" s="43" t="inlineStr">
        <is>
          <t>Arm Mali-G52 2EE</t>
        </is>
      </c>
      <c r="L569" s="43" t="inlineStr">
        <is>
          <t>E Ink Carta 1300, front-lit</t>
        </is>
      </c>
      <c r="M569" s="43" t="inlineStr">
        <is>
          <t>1404x1872</t>
        </is>
      </c>
      <c r="N569" s="43" t="inlineStr">
        <is>
          <t>USB-C (USB 2.0), microSD slot</t>
        </is>
      </c>
      <c r="O569" s="43" t="inlineStr">
        <is>
          <t>Android 13 (E Ink optimized)</t>
        </is>
      </c>
      <c r="P569" s="43" t="n">
        <v>181</v>
      </c>
      <c r="Q569" s="46" t="n">
        <v>386</v>
      </c>
      <c r="R569" s="43" t="inlineStr">
        <is>
          <t>Longer battery than Erato Aria E-Ink Note Tablet [ERA-085-03] (181 vs 167 hrs); Lighter than Mnemosyne Aria SE E-Ink Note Tablet [MNE-061-03] (386 g vs 388 g)</t>
        </is>
      </c>
      <c r="S569" s="43" t="inlineStr">
        <is>
          <t>reading, note-taking, school</t>
        </is>
      </c>
      <c r="T569" s="0" t="inlineStr">
        <is>
          <t>in_stock</t>
        </is>
      </c>
      <c r="U569" s="0" t="n">
        <v>30</v>
      </c>
      <c r="V569" s="52" t="n">
        <v>661.99</v>
      </c>
      <c r="W569" s="0" t="inlineStr">
        <is>
          <t>2026-08-20</t>
        </is>
      </c>
      <c r="X569" s="0" t="inlineStr">
        <is>
          <t>N/A</t>
        </is>
      </c>
      <c r="Y569" s="0" t="inlineStr">
        <is>
          <t>N/A</t>
        </is>
      </c>
      <c r="Z569" s="0" t="inlineStr">
        <is>
          <t>N/A</t>
        </is>
      </c>
      <c r="AA569" s="0" t="inlineStr">
        <is>
          <t>N/A</t>
        </is>
      </c>
    </row>
    <row r="570" ht="15.75" customHeight="1" s="51">
      <c r="A570" s="43" t="inlineStr">
        <is>
          <t>EUN-056-08</t>
        </is>
      </c>
      <c r="B570" s="43" t="inlineStr">
        <is>
          <t>Eunomia</t>
        </is>
      </c>
      <c r="C570" s="43" t="inlineStr">
        <is>
          <t>Smartphones &amp; Tablets</t>
        </is>
      </c>
      <c r="D570" s="43" t="inlineStr">
        <is>
          <t>Tablet</t>
        </is>
      </c>
      <c r="E570" s="44" t="inlineStr">
        <is>
          <t>Eunomia Volt Air 5G Tablet</t>
        </is>
      </c>
      <c r="F570" s="45" t="n">
        <v>697.99</v>
      </c>
      <c r="G570" s="43" t="inlineStr">
        <is>
          <t>the Volt Air; Eunomia Volt Air; Enuomia Volt Air; Volt Air tablet</t>
        </is>
      </c>
      <c r="H570" s="43" t="inlineStr">
        <is>
          <t>1 year limited</t>
        </is>
      </c>
      <c r="I570" s="43" t="inlineStr">
        <is>
          <t>FCC, CE</t>
        </is>
      </c>
      <c r="J570" s="43" t="inlineStr">
        <is>
          <t>MediaTek Dimensity 8300</t>
        </is>
      </c>
      <c r="K570" s="43" t="inlineStr">
        <is>
          <t>Arm Mali-G615 MC6</t>
        </is>
      </c>
      <c r="L570" s="43" t="inlineStr">
        <is>
          <t>IPS LCD, 90Hz</t>
        </is>
      </c>
      <c r="M570" s="43" t="inlineStr">
        <is>
          <t>1600x2560</t>
        </is>
      </c>
      <c r="N570" s="43" t="inlineStr">
        <is>
          <t>USB-C (USB 2.0), microSD slot, nano-SIM + eSIM</t>
        </is>
      </c>
      <c r="O570" s="43" t="inlineStr">
        <is>
          <t>Android 15</t>
        </is>
      </c>
      <c r="P570" s="43" t="n">
        <v>14</v>
      </c>
      <c r="Q570" s="46" t="n">
        <v>495</v>
      </c>
      <c r="R570" s="43" t="inlineStr">
        <is>
          <t>Lower price than Anteros Blaze X 5G Tablet [ANT-090-08] ($697.99 vs $1,112.99); Longer battery than Athena Apex X 5G Tablet [ATH-064-06] (14 vs 13 hrs)</t>
        </is>
      </c>
      <c r="S570" s="43" t="inlineStr">
        <is>
          <t>travel, streaming, work on the go</t>
        </is>
      </c>
      <c r="T570" s="0" t="inlineStr">
        <is>
          <t>in_stock</t>
        </is>
      </c>
      <c r="U570" s="0" t="n">
        <v>30</v>
      </c>
      <c r="V570" s="52" t="n">
        <v>775.99</v>
      </c>
      <c r="W570" s="0" t="inlineStr">
        <is>
          <t>2026-08-02</t>
        </is>
      </c>
      <c r="X570" s="0" t="inlineStr">
        <is>
          <t>N/A</t>
        </is>
      </c>
      <c r="Y570" s="0" t="inlineStr">
        <is>
          <t>N/A</t>
        </is>
      </c>
      <c r="Z570" s="0" t="inlineStr">
        <is>
          <t>N/A</t>
        </is>
      </c>
      <c r="AA570" s="0" t="inlineStr">
        <is>
          <t>N/A</t>
        </is>
      </c>
    </row>
    <row r="571" ht="15.75" customHeight="1" s="51">
      <c r="A571" s="43" t="inlineStr">
        <is>
          <t>EUN-056-09</t>
        </is>
      </c>
      <c r="B571" s="43" t="inlineStr">
        <is>
          <t>Eunomia</t>
        </is>
      </c>
      <c r="C571" s="43" t="inlineStr">
        <is>
          <t>Smartphones &amp; Tablets</t>
        </is>
      </c>
      <c r="D571" s="43" t="inlineStr">
        <is>
          <t>Smartphone</t>
        </is>
      </c>
      <c r="E571" s="44" t="inlineStr">
        <is>
          <t>Eunomia Aeon Air Flagship Smartphone</t>
        </is>
      </c>
      <c r="F571" s="45" t="n">
        <v>1056.99</v>
      </c>
      <c r="G571" s="43" t="inlineStr">
        <is>
          <t>the Aeon Air; Eunomia Aeon Air; Eunoima Aeon Air; Aeon Air smartphone</t>
        </is>
      </c>
      <c r="H571" s="43" t="inlineStr">
        <is>
          <t>1 year limited</t>
        </is>
      </c>
      <c r="I571" s="43" t="inlineStr">
        <is>
          <t>FCC, CE, IP68, Qi2</t>
        </is>
      </c>
      <c r="J571" s="43" t="inlineStr">
        <is>
          <t>MediaTek Dimensity 9400</t>
        </is>
      </c>
      <c r="K571" s="43" t="inlineStr">
        <is>
          <t>Arm Immortalis-G925</t>
        </is>
      </c>
      <c r="L571" s="43" t="inlineStr">
        <is>
          <t>LTPO AMOLED, 1-120Hz</t>
        </is>
      </c>
      <c r="M571" s="43" t="inlineStr">
        <is>
          <t>1440x3120</t>
        </is>
      </c>
      <c r="N571" s="43" t="inlineStr">
        <is>
          <t>USB-C (USB 3.2), nano-SIM + eSIM</t>
        </is>
      </c>
      <c r="O571" s="43" t="inlineStr">
        <is>
          <t>Android 15</t>
        </is>
      </c>
      <c r="P571" s="43" t="n">
        <v>28</v>
      </c>
      <c r="Q571" s="46" t="n">
        <v>170</v>
      </c>
      <c r="R571" s="43" t="inlineStr">
        <is>
          <t>Longer battery than Adrastea Nimbus Lite Flagship Smartphone [ADR-094-07] (28 vs 23 hrs); Lighter than Nemesis Volt Air Flagship Smartphone [NEM-051-07] (170 g vs 186 g)</t>
        </is>
      </c>
      <c r="S571" s="43" t="inlineStr">
        <is>
          <t>photography, everyday, business</t>
        </is>
      </c>
      <c r="T571" s="0" t="inlineStr">
        <is>
          <t>in_stock</t>
        </is>
      </c>
      <c r="U571" s="0" t="n">
        <v>30</v>
      </c>
      <c r="V571" s="52" t="n">
        <v>1113.99</v>
      </c>
      <c r="W571" s="0" t="inlineStr">
        <is>
          <t>2026-08-14</t>
        </is>
      </c>
      <c r="X571" s="0" t="inlineStr">
        <is>
          <t>N/A</t>
        </is>
      </c>
      <c r="Y571" s="0" t="inlineStr">
        <is>
          <t>N/A</t>
        </is>
      </c>
      <c r="Z571" s="0" t="inlineStr">
        <is>
          <t>N/A</t>
        </is>
      </c>
      <c r="AA571" s="0" t="inlineStr">
        <is>
          <t>N/A</t>
        </is>
      </c>
    </row>
    <row r="572" ht="15.75" customHeight="1" s="51">
      <c r="A572" s="43" t="inlineStr">
        <is>
          <t>EUN-056-10</t>
        </is>
      </c>
      <c r="B572" s="43" t="inlineStr">
        <is>
          <t>Eunomia</t>
        </is>
      </c>
      <c r="C572" s="43" t="inlineStr">
        <is>
          <t>Smartphones &amp; Tablets</t>
        </is>
      </c>
      <c r="D572" s="43" t="inlineStr">
        <is>
          <t>Smartphone</t>
        </is>
      </c>
      <c r="E572" s="44" t="inlineStr">
        <is>
          <t>Eunomia Nova SE Foldable Phone</t>
        </is>
      </c>
      <c r="F572" s="45" t="n">
        <v>1593.99</v>
      </c>
      <c r="G572" s="43" t="inlineStr">
        <is>
          <t>the Nova SE; Eunomia Nova SE; Eunomiaa Nova SE; Nova SE smartphone</t>
        </is>
      </c>
      <c r="H572" s="43" t="inlineStr">
        <is>
          <t>1 year limited</t>
        </is>
      </c>
      <c r="I572" s="43" t="inlineStr">
        <is>
          <t>FCC, CE, IPX8</t>
        </is>
      </c>
      <c r="J572" s="43" t="inlineStr">
        <is>
          <t>Qualcomm Snapdragon 8 Elite</t>
        </is>
      </c>
      <c r="K572" s="43" t="inlineStr">
        <is>
          <t>Qualcomm Adreno 830</t>
        </is>
      </c>
      <c r="L572" s="43" t="inlineStr">
        <is>
          <t>Foldable LTPO AMOLED inner + AMOLED cover, 120Hz</t>
        </is>
      </c>
      <c r="M572" s="43" t="inlineStr">
        <is>
          <t>2160x1856 inner / 1080x2376 cover</t>
        </is>
      </c>
      <c r="N572" s="43" t="inlineStr">
        <is>
          <t>USB-C (USB 3.2), nano-SIM + eSIM</t>
        </is>
      </c>
      <c r="O572" s="43" t="inlineStr">
        <is>
          <t>Android 15</t>
        </is>
      </c>
      <c r="P572" s="43" t="n">
        <v>19</v>
      </c>
      <c r="Q572" s="46" t="n">
        <v>234</v>
      </c>
      <c r="R572" s="43" t="inlineStr">
        <is>
          <t>Lower price than Adrastea Sable SE Foldable Phone [ADR-094-10] ($1,593.99 vs $1,864.99); Lighter than Alpheus Nimbus X Foldable Phone [ALP-082-10] (234 g vs 260 g)</t>
        </is>
      </c>
      <c r="S572" s="43" t="inlineStr">
        <is>
          <t>multitasking, business, media</t>
        </is>
      </c>
      <c r="T572" s="0" t="inlineStr">
        <is>
          <t>low_stock</t>
        </is>
      </c>
      <c r="U572" s="0" t="n">
        <v>30</v>
      </c>
      <c r="V572" s="52" t="n">
        <v>1719.99</v>
      </c>
      <c r="W572" s="0" t="inlineStr">
        <is>
          <t>2026-08-21</t>
        </is>
      </c>
      <c r="X572" s="0" t="inlineStr">
        <is>
          <t>N/A</t>
        </is>
      </c>
      <c r="Y572" s="0" t="inlineStr">
        <is>
          <t>N/A</t>
        </is>
      </c>
      <c r="Z572" s="0" t="inlineStr">
        <is>
          <t>N/A</t>
        </is>
      </c>
      <c r="AA572" s="0" t="inlineStr">
        <is>
          <t>N/A</t>
        </is>
      </c>
    </row>
    <row r="573" ht="15.75" customHeight="1" s="51">
      <c r="A573" s="43" t="inlineStr">
        <is>
          <t>PAL-057-01</t>
        </is>
      </c>
      <c r="B573" s="43" t="inlineStr">
        <is>
          <t>Pallas</t>
        </is>
      </c>
      <c r="C573" s="43" t="inlineStr">
        <is>
          <t>Smartphones &amp; Tablets</t>
        </is>
      </c>
      <c r="D573" s="43" t="inlineStr">
        <is>
          <t>Tablet</t>
        </is>
      </c>
      <c r="E573" s="44" t="inlineStr">
        <is>
          <t>Pallas Vibe Plus E-Ink Note Tablet</t>
        </is>
      </c>
      <c r="F573" s="45" t="n">
        <v>267.99</v>
      </c>
      <c r="G573" s="43" t="inlineStr">
        <is>
          <t>the Vibe Plus; Pallas Vibe Plus; Palllas Vibe Plus; Vibe Plus tablet</t>
        </is>
      </c>
      <c r="H573" s="43" t="inlineStr">
        <is>
          <t>1 year limited</t>
        </is>
      </c>
      <c r="I573" s="43" t="inlineStr">
        <is>
          <t>FCC, CE, TUV Rheinland Low Blue Light</t>
        </is>
      </c>
      <c r="J573" s="43" t="inlineStr">
        <is>
          <t>Rockchip RK3566</t>
        </is>
      </c>
      <c r="K573" s="43" t="inlineStr">
        <is>
          <t>Arm Mali-G52 2EE</t>
        </is>
      </c>
      <c r="L573" s="43" t="inlineStr">
        <is>
          <t>E Ink Carta 1300, front-lit</t>
        </is>
      </c>
      <c r="M573" s="43" t="inlineStr">
        <is>
          <t>1404x1872</t>
        </is>
      </c>
      <c r="N573" s="43" t="inlineStr">
        <is>
          <t>USB-C (USB 2.0), microSD slot</t>
        </is>
      </c>
      <c r="O573" s="43" t="inlineStr">
        <is>
          <t>Android 13 (E Ink optimized)</t>
        </is>
      </c>
      <c r="P573" s="43" t="n">
        <v>279</v>
      </c>
      <c r="Q573" s="46" t="n">
        <v>433</v>
      </c>
      <c r="R573" s="43" t="inlineStr">
        <is>
          <t>Longer battery than Peitho Drift Air E-Ink Note Tablet [PEI-083-03] (279 vs 131 hrs); Lower price than Oceanus Nova Plus E-Ink Note Tablet [OCE-060-03] ($267.99 vs $613.99)</t>
        </is>
      </c>
      <c r="S573" s="43" t="inlineStr">
        <is>
          <t>reading, note-taking, school</t>
        </is>
      </c>
      <c r="T573" s="0" t="inlineStr">
        <is>
          <t>out_of_stock</t>
        </is>
      </c>
      <c r="U573" s="0" t="n">
        <v>14</v>
      </c>
      <c r="V573" s="52" t="n">
        <v>286.99</v>
      </c>
      <c r="W573" s="0" t="inlineStr">
        <is>
          <t>2026-08-09</t>
        </is>
      </c>
      <c r="X573" s="0" t="inlineStr">
        <is>
          <t>N/A</t>
        </is>
      </c>
      <c r="Y573" s="0" t="inlineStr">
        <is>
          <t>N/A</t>
        </is>
      </c>
      <c r="Z573" s="0" t="inlineStr">
        <is>
          <t>N/A</t>
        </is>
      </c>
      <c r="AA573" s="0" t="inlineStr">
        <is>
          <t>N/A</t>
        </is>
      </c>
    </row>
    <row r="574" ht="15.75" customHeight="1" s="51">
      <c r="A574" s="43" t="inlineStr">
        <is>
          <t>PAL-057-02</t>
        </is>
      </c>
      <c r="B574" s="43" t="inlineStr">
        <is>
          <t>Pallas</t>
        </is>
      </c>
      <c r="C574" s="43" t="inlineStr">
        <is>
          <t>Smartphones &amp; Tablets</t>
        </is>
      </c>
      <c r="D574" s="43" t="inlineStr">
        <is>
          <t>Smartphone</t>
        </is>
      </c>
      <c r="E574" s="44" t="inlineStr">
        <is>
          <t>Pallas Lumen Plus Budget Smartphone</t>
        </is>
      </c>
      <c r="F574" s="45" t="n">
        <v>281.99</v>
      </c>
      <c r="G574" s="43" t="inlineStr">
        <is>
          <t>the Lumen Plus; Pallas Lumen Plus; Pallass Lumen Plus; Lumen Plus smartphone</t>
        </is>
      </c>
      <c r="H574" s="43" t="inlineStr">
        <is>
          <t>1 year limited</t>
        </is>
      </c>
      <c r="I574" s="43" t="inlineStr">
        <is>
          <t>FCC, CE, IP54</t>
        </is>
      </c>
      <c r="J574" s="43" t="inlineStr">
        <is>
          <t>Qualcomm Snapdragon 6 Gen 1</t>
        </is>
      </c>
      <c r="K574" s="43" t="inlineStr">
        <is>
          <t>Qualcomm Adreno 710</t>
        </is>
      </c>
      <c r="L574" s="43" t="inlineStr">
        <is>
          <t>IPS LCD, 90Hz</t>
        </is>
      </c>
      <c r="M574" s="43" t="inlineStr">
        <is>
          <t>1080x2400</t>
        </is>
      </c>
      <c r="N574" s="43" t="inlineStr">
        <is>
          <t>USB-C (USB 2.0), nano-SIM + eSIM, 3.5mm headphone jack, microSD slot</t>
        </is>
      </c>
      <c r="O574" s="43" t="inlineStr">
        <is>
          <t>Android 14</t>
        </is>
      </c>
      <c r="P574" s="43" t="n">
        <v>29</v>
      </c>
      <c r="Q574" s="46" t="n">
        <v>201</v>
      </c>
      <c r="R574" s="43" t="inlineStr">
        <is>
          <t>Lower price than Aether Titan X Budget Smartphone [AET-080-02] ($281.99 vs $393.99); Longer battery than Aglaea Lumen SE Budget Smartphone [AGL-079-03] (29 vs 25 hrs)</t>
        </is>
      </c>
      <c r="S574" s="43" t="inlineStr">
        <is>
          <t>budget, first phone, everyday</t>
        </is>
      </c>
      <c r="T574" s="0" t="inlineStr">
        <is>
          <t>in_stock</t>
        </is>
      </c>
      <c r="U574" s="0" t="n">
        <v>14</v>
      </c>
      <c r="V574" s="52" t="n">
        <v>300.99</v>
      </c>
      <c r="W574" s="0" t="inlineStr">
        <is>
          <t>2026-08-29</t>
        </is>
      </c>
      <c r="X574" s="0" t="inlineStr">
        <is>
          <t>N/A</t>
        </is>
      </c>
      <c r="Y574" s="0" t="inlineStr">
        <is>
          <t>N/A</t>
        </is>
      </c>
      <c r="Z574" s="0" t="inlineStr">
        <is>
          <t>N/A</t>
        </is>
      </c>
      <c r="AA574" s="0" t="inlineStr">
        <is>
          <t>N/A</t>
        </is>
      </c>
    </row>
    <row r="575" ht="15.75" customHeight="1" s="51">
      <c r="A575" s="43" t="inlineStr">
        <is>
          <t>PAL-057-03</t>
        </is>
      </c>
      <c r="B575" s="43" t="inlineStr">
        <is>
          <t>Pallas</t>
        </is>
      </c>
      <c r="C575" s="43" t="inlineStr">
        <is>
          <t>Smartphones &amp; Tablets</t>
        </is>
      </c>
      <c r="D575" s="43" t="inlineStr">
        <is>
          <t>Tablet</t>
        </is>
      </c>
      <c r="E575" s="44" t="inlineStr">
        <is>
          <t>Pallas Spark 11" Tablet</t>
        </is>
      </c>
      <c r="F575" s="45" t="n">
        <v>481.99</v>
      </c>
      <c r="G575" s="43" t="inlineStr">
        <is>
          <t>the Spark; Pallas Spark; Palals Spark; Spark tablet</t>
        </is>
      </c>
      <c r="H575" s="43" t="inlineStr">
        <is>
          <t>1 year limited</t>
        </is>
      </c>
      <c r="I575" s="43" t="inlineStr">
        <is>
          <t>FCC, CE</t>
        </is>
      </c>
      <c r="J575" s="43" t="inlineStr">
        <is>
          <t>MediaTek Dimensity 7300</t>
        </is>
      </c>
      <c r="K575" s="43" t="inlineStr">
        <is>
          <t>Arm Mali-G615 MC2</t>
        </is>
      </c>
      <c r="L575" s="43" t="inlineStr">
        <is>
          <t>IPS LCD, 90Hz</t>
        </is>
      </c>
      <c r="M575" s="43" t="inlineStr">
        <is>
          <t>1600x2560</t>
        </is>
      </c>
      <c r="N575" s="43" t="inlineStr">
        <is>
          <t>USB-C (USB 2.0), microSD slot</t>
        </is>
      </c>
      <c r="O575" s="43" t="inlineStr">
        <is>
          <t>Android 15</t>
        </is>
      </c>
      <c r="P575" s="43" t="n">
        <v>13</v>
      </c>
      <c r="Q575" s="46" t="n">
        <v>478</v>
      </c>
      <c r="R575" s="43" t="inlineStr">
        <is>
          <t>Lighter than Peitho Nimbus SE 11" Tablet [PEI-083-04] (478 g vs 510 g); Longer battery than Thetis Onyx Max 11" Tablet [THE-093-07] (13 vs 11 hrs)</t>
        </is>
      </c>
      <c r="S575" s="43" t="inlineStr">
        <is>
          <t>school, streaming, reading</t>
        </is>
      </c>
      <c r="T575" s="0" t="inlineStr">
        <is>
          <t>low_stock</t>
        </is>
      </c>
      <c r="U575" s="0" t="n">
        <v>14</v>
      </c>
      <c r="V575" s="52" t="n">
        <v>498.99</v>
      </c>
      <c r="W575" s="0" t="inlineStr">
        <is>
          <t>2026-08-04</t>
        </is>
      </c>
      <c r="X575" s="0" t="inlineStr">
        <is>
          <t>N/A</t>
        </is>
      </c>
      <c r="Y575" s="0" t="inlineStr">
        <is>
          <t>N/A</t>
        </is>
      </c>
      <c r="Z575" s="0" t="inlineStr">
        <is>
          <t>N/A</t>
        </is>
      </c>
      <c r="AA575" s="0" t="inlineStr">
        <is>
          <t>N/A</t>
        </is>
      </c>
    </row>
    <row r="576" ht="15.75" customHeight="1" s="51">
      <c r="A576" s="43" t="inlineStr">
        <is>
          <t>PAL-057-04</t>
        </is>
      </c>
      <c r="B576" s="43" t="inlineStr">
        <is>
          <t>Pallas</t>
        </is>
      </c>
      <c r="C576" s="43" t="inlineStr">
        <is>
          <t>Smartphones &amp; Tablets</t>
        </is>
      </c>
      <c r="D576" s="43" t="inlineStr">
        <is>
          <t>Tablet</t>
        </is>
      </c>
      <c r="E576" s="44" t="inlineStr">
        <is>
          <t>Pallas Zen X Drawing Tablet with Stylus</t>
        </is>
      </c>
      <c r="F576" s="45" t="n">
        <v>541.99</v>
      </c>
      <c r="G576" s="43" t="inlineStr">
        <is>
          <t>the Zen X; Pallas Zen X; Palals Zen X; Zen X tablet</t>
        </is>
      </c>
      <c r="H576" s="43" t="inlineStr">
        <is>
          <t>1 year limited</t>
        </is>
      </c>
      <c r="I576" s="43" t="inlineStr">
        <is>
          <t>FCC, CE, TUV Rheinland Low Blue Light</t>
        </is>
      </c>
      <c r="J576" s="43" t="inlineStr">
        <is>
          <t>Qualcomm Snapdragon 7+ Gen 3</t>
        </is>
      </c>
      <c r="K576" s="43" t="inlineStr">
        <is>
          <t>Qualcomm Adreno 732</t>
        </is>
      </c>
      <c r="L576" s="43" t="inlineStr">
        <is>
          <t>IPS LCD anti-glare, pen digitizer</t>
        </is>
      </c>
      <c r="M576" s="43" t="inlineStr">
        <is>
          <t>2000x1200</t>
        </is>
      </c>
      <c r="N576" s="43" t="inlineStr">
        <is>
          <t>USB-C (USB 2.0), microSD slot</t>
        </is>
      </c>
      <c r="O576" s="43" t="inlineStr">
        <is>
          <t>Android 15</t>
        </is>
      </c>
      <c r="P576" s="43" t="n">
        <v>12</v>
      </c>
      <c r="Q576" s="46" t="n">
        <v>570</v>
      </c>
      <c r="R576" s="43" t="inlineStr">
        <is>
          <t>Lower price than Epimetheus Spark X Drawing Tablet with Stylus [EPI-091-03] ($541.99 vs $644.99); Longer battery than Erebus Sable Lite Drawing Tablet with Stylus [ERE-098-03] (12 vs 9 hrs)</t>
        </is>
      </c>
      <c r="S576" s="43" t="inlineStr">
        <is>
          <t>drawing, design, note-taking</t>
        </is>
      </c>
      <c r="T576" s="0" t="inlineStr">
        <is>
          <t>in_stock</t>
        </is>
      </c>
      <c r="U576" s="0" t="n">
        <v>14</v>
      </c>
      <c r="V576" s="52" t="n">
        <v>614.99</v>
      </c>
      <c r="W576" s="0" t="inlineStr">
        <is>
          <t>2026-08-26</t>
        </is>
      </c>
      <c r="X576" s="0" t="inlineStr">
        <is>
          <t>N/A</t>
        </is>
      </c>
      <c r="Y576" s="0" t="inlineStr">
        <is>
          <t>N/A</t>
        </is>
      </c>
      <c r="Z576" s="0" t="inlineStr">
        <is>
          <t>N/A</t>
        </is>
      </c>
      <c r="AA576" s="0" t="inlineStr">
        <is>
          <t>N/A</t>
        </is>
      </c>
    </row>
    <row r="577" ht="15.75" customHeight="1" s="51">
      <c r="A577" s="43" t="inlineStr">
        <is>
          <t>PAL-057-05</t>
        </is>
      </c>
      <c r="B577" s="43" t="inlineStr">
        <is>
          <t>Pallas</t>
        </is>
      </c>
      <c r="C577" s="43" t="inlineStr">
        <is>
          <t>Smartphones &amp; Tablets</t>
        </is>
      </c>
      <c r="D577" s="43" t="inlineStr">
        <is>
          <t>Smartphone</t>
        </is>
      </c>
      <c r="E577" s="44" t="inlineStr">
        <is>
          <t>Pallas Spark X Rugged Smartphone</t>
        </is>
      </c>
      <c r="F577" s="45" t="n">
        <v>570.99</v>
      </c>
      <c r="G577" s="43" t="inlineStr">
        <is>
          <t>the Spark X; Pallas Spark X; Pallaas Spark X; Spark X smartphone</t>
        </is>
      </c>
      <c r="H577" s="43" t="inlineStr">
        <is>
          <t>2 year limited</t>
        </is>
      </c>
      <c r="I577" s="43" t="inlineStr">
        <is>
          <t>FCC, CE, IP69K, MIL-STD-810H</t>
        </is>
      </c>
      <c r="J577" s="43" t="inlineStr">
        <is>
          <t>Qualcomm Snapdragon 7+ Gen 3</t>
        </is>
      </c>
      <c r="K577" s="43" t="inlineStr">
        <is>
          <t>Qualcomm Adreno 732</t>
        </is>
      </c>
      <c r="L577" s="43" t="inlineStr">
        <is>
          <t>IPS LCD, Gorilla Glass Victus, 120Hz</t>
        </is>
      </c>
      <c r="M577" s="43" t="inlineStr">
        <is>
          <t>1080x2400</t>
        </is>
      </c>
      <c r="N577" s="43" t="inlineStr">
        <is>
          <t>USB-C (USB 2.0), nano-SIM + eSIM, 3.5mm headphone jack, microSD slot</t>
        </is>
      </c>
      <c r="O577" s="43" t="inlineStr">
        <is>
          <t>Android 15</t>
        </is>
      </c>
      <c r="P577" s="43" t="n">
        <v>44</v>
      </c>
      <c r="Q577" s="46" t="n">
        <v>297</v>
      </c>
      <c r="R577" s="43" t="inlineStr">
        <is>
          <t>Lower price than Hephaestus Titan Air Rugged Smartphone [HEP-076-04] ($570.99 vs $583.99); Longer battery than Phorcys Pulse Rugged Smartphone [PHO-087-03] (44 vs 35 hrs)</t>
        </is>
      </c>
      <c r="S577" s="43" t="inlineStr">
        <is>
          <t>outdoor, construction, fieldwork</t>
        </is>
      </c>
      <c r="T577" s="0" t="inlineStr">
        <is>
          <t>low_stock</t>
        </is>
      </c>
      <c r="U577" s="0" t="n">
        <v>14</v>
      </c>
      <c r="V577" s="52" t="n">
        <v>626.99</v>
      </c>
      <c r="W577" s="0" t="inlineStr">
        <is>
          <t>2026-09-13</t>
        </is>
      </c>
      <c r="X577" s="0" t="inlineStr">
        <is>
          <t>N/A</t>
        </is>
      </c>
      <c r="Y577" s="0" t="inlineStr">
        <is>
          <t>N/A</t>
        </is>
      </c>
      <c r="Z577" s="0" t="inlineStr">
        <is>
          <t>N/A</t>
        </is>
      </c>
      <c r="AA577" s="0" t="inlineStr">
        <is>
          <t>N/A</t>
        </is>
      </c>
    </row>
    <row r="578" ht="15.75" customHeight="1" s="51">
      <c r="A578" s="43" t="inlineStr">
        <is>
          <t>PAL-057-06</t>
        </is>
      </c>
      <c r="B578" s="43" t="inlineStr">
        <is>
          <t>Pallas</t>
        </is>
      </c>
      <c r="C578" s="43" t="inlineStr">
        <is>
          <t>Smartphones &amp; Tablets</t>
        </is>
      </c>
      <c r="D578" s="43" t="inlineStr">
        <is>
          <t>Smartphone</t>
        </is>
      </c>
      <c r="E578" s="44" t="inlineStr">
        <is>
          <t>Pallas Wave SE Compact Smartphone</t>
        </is>
      </c>
      <c r="F578" s="45" t="n">
        <v>661.99</v>
      </c>
      <c r="G578" s="43" t="inlineStr">
        <is>
          <t>the Wave SE; Pallas Wave SE; Palla Wave SE; Wave SE smartphone</t>
        </is>
      </c>
      <c r="H578" s="43" t="inlineStr">
        <is>
          <t>1 year limited</t>
        </is>
      </c>
      <c r="I578" s="43" t="inlineStr">
        <is>
          <t>FCC, CE, IP68</t>
        </is>
      </c>
      <c r="J578" s="43" t="inlineStr">
        <is>
          <t>MediaTek Dimensity 8300</t>
        </is>
      </c>
      <c r="K578" s="43" t="inlineStr">
        <is>
          <t>Arm Mali-G615 MC6</t>
        </is>
      </c>
      <c r="L578" s="43" t="inlineStr">
        <is>
          <t>AMOLED, 120Hz</t>
        </is>
      </c>
      <c r="M578" s="43" t="inlineStr">
        <is>
          <t>1080x2340</t>
        </is>
      </c>
      <c r="N578" s="43" t="inlineStr">
        <is>
          <t>USB-C (USB 2.0), nano-SIM + eSIM</t>
        </is>
      </c>
      <c r="O578" s="43" t="inlineStr">
        <is>
          <t>Android 15</t>
        </is>
      </c>
      <c r="P578" s="43" t="n">
        <v>23</v>
      </c>
      <c r="Q578" s="46" t="n">
        <v>152</v>
      </c>
      <c r="R578" s="43" t="inlineStr">
        <is>
          <t>Lower price than Aglaea Spark Lite Compact Smartphone [AGL-079-07] ($661.99 vs $842.99); Lighter than Dike Quanta Plus Compact Smartphone [DIK-099-06] (152 g vs 163 g)</t>
        </is>
      </c>
      <c r="S578" s="43" t="inlineStr">
        <is>
          <t>everyday, one-handed use</t>
        </is>
      </c>
      <c r="T578" s="0" t="inlineStr">
        <is>
          <t>in_stock</t>
        </is>
      </c>
      <c r="U578" s="0" t="n">
        <v>14</v>
      </c>
      <c r="V578" s="52" t="n">
        <v>714.99</v>
      </c>
      <c r="W578" s="0" t="inlineStr">
        <is>
          <t>2026-09-05</t>
        </is>
      </c>
      <c r="X578" s="0" t="inlineStr">
        <is>
          <t>N/A</t>
        </is>
      </c>
      <c r="Y578" s="0" t="inlineStr">
        <is>
          <t>N/A</t>
        </is>
      </c>
      <c r="Z578" s="0" t="inlineStr">
        <is>
          <t>N/A</t>
        </is>
      </c>
      <c r="AA578" s="0" t="inlineStr">
        <is>
          <t>N/A</t>
        </is>
      </c>
    </row>
    <row r="579" ht="15.75" customHeight="1" s="51">
      <c r="A579" s="43" t="inlineStr">
        <is>
          <t>PAL-057-07</t>
        </is>
      </c>
      <c r="B579" s="43" t="inlineStr">
        <is>
          <t>Pallas</t>
        </is>
      </c>
      <c r="C579" s="43" t="inlineStr">
        <is>
          <t>Smartphones &amp; Tablets</t>
        </is>
      </c>
      <c r="D579" s="43" t="inlineStr">
        <is>
          <t>Tablet</t>
        </is>
      </c>
      <c r="E579" s="44" t="inlineStr">
        <is>
          <t>Pallas Orbit Ultra 5G Tablet</t>
        </is>
      </c>
      <c r="F579" s="45" t="n">
        <v>983.99</v>
      </c>
      <c r="G579" s="43" t="inlineStr">
        <is>
          <t>the Orbit Ultra; Pallas Orbit Ultra; Paallas Orbit Ultra; Orbit Ultra tablet</t>
        </is>
      </c>
      <c r="H579" s="43" t="inlineStr">
        <is>
          <t>1 year limited</t>
        </is>
      </c>
      <c r="I579" s="43" t="inlineStr">
        <is>
          <t>FCC, CE, Energy Star</t>
        </is>
      </c>
      <c r="J579" s="43" t="inlineStr">
        <is>
          <t>Qualcomm Snapdragon 8 Gen 3</t>
        </is>
      </c>
      <c r="K579" s="43" t="inlineStr">
        <is>
          <t>Qualcomm Adreno 750</t>
        </is>
      </c>
      <c r="L579" s="43" t="inlineStr">
        <is>
          <t>OLED, 120Hz</t>
        </is>
      </c>
      <c r="M579" s="43" t="inlineStr">
        <is>
          <t>1752x2800</t>
        </is>
      </c>
      <c r="N579" s="43" t="inlineStr">
        <is>
          <t>USB-C (USB 3.2), magnetic keyboard connector, nano-SIM + eSIM</t>
        </is>
      </c>
      <c r="O579" s="43" t="inlineStr">
        <is>
          <t>Android 15</t>
        </is>
      </c>
      <c r="P579" s="43" t="n">
        <v>10</v>
      </c>
      <c r="Q579" s="46" t="n">
        <v>528</v>
      </c>
      <c r="R579" s="43" t="inlineStr">
        <is>
          <t>Lighter than Theia Nova Max 5G Tablet [THE-081-06] (528 g vs 541 g); Lower price than Hecate Rift 5G Tablet [HEC-052-07] ($983.99 vs $1,012.99)</t>
        </is>
      </c>
      <c r="S579" s="43" t="inlineStr">
        <is>
          <t>travel, streaming, work on the go</t>
        </is>
      </c>
      <c r="T579" s="0" t="inlineStr">
        <is>
          <t>in_stock</t>
        </is>
      </c>
      <c r="U579" s="0" t="n">
        <v>14</v>
      </c>
      <c r="V579" s="52" t="n">
        <v>1020.99</v>
      </c>
      <c r="W579" s="0" t="inlineStr">
        <is>
          <t>2026-09-02</t>
        </is>
      </c>
      <c r="X579" s="0" t="inlineStr">
        <is>
          <t>N/A</t>
        </is>
      </c>
      <c r="Y579" s="0" t="inlineStr">
        <is>
          <t>N/A</t>
        </is>
      </c>
      <c r="Z579" s="0" t="inlineStr">
        <is>
          <t>N/A</t>
        </is>
      </c>
      <c r="AA579" s="0" t="inlineStr">
        <is>
          <t>N/A</t>
        </is>
      </c>
    </row>
    <row r="580" ht="15.75" customHeight="1" s="51">
      <c r="A580" s="43" t="inlineStr">
        <is>
          <t>PAL-057-08</t>
        </is>
      </c>
      <c r="B580" s="43" t="inlineStr">
        <is>
          <t>Pallas</t>
        </is>
      </c>
      <c r="C580" s="43" t="inlineStr">
        <is>
          <t>Smartphones &amp; Tablets</t>
        </is>
      </c>
      <c r="D580" s="43" t="inlineStr">
        <is>
          <t>Smartphone</t>
        </is>
      </c>
      <c r="E580" s="44" t="inlineStr">
        <is>
          <t>Pallas Echo Flip Foldable Phone</t>
        </is>
      </c>
      <c r="F580" s="45" t="n">
        <v>1054.99</v>
      </c>
      <c r="G580" s="43" t="inlineStr">
        <is>
          <t>the Echo; Pallas Echo; Palals Echo; Echo smartphone</t>
        </is>
      </c>
      <c r="H580" s="43" t="inlineStr">
        <is>
          <t>1 year limited</t>
        </is>
      </c>
      <c r="I580" s="43" t="inlineStr">
        <is>
          <t>FCC, CE, IPX8</t>
        </is>
      </c>
      <c r="J580" s="43" t="inlineStr">
        <is>
          <t>MediaTek Dimensity 9400</t>
        </is>
      </c>
      <c r="K580" s="43" t="inlineStr">
        <is>
          <t>Arm Immortalis-G925</t>
        </is>
      </c>
      <c r="L580" s="43" t="inlineStr">
        <is>
          <t>Foldable AMOLED inner + AMOLED cover screen</t>
        </is>
      </c>
      <c r="M580" s="43" t="inlineStr">
        <is>
          <t>1080x2640 inner / 720x748 cover</t>
        </is>
      </c>
      <c r="N580" s="43" t="inlineStr">
        <is>
          <t>USB-C (USB 3.2), nano-SIM + eSIM</t>
        </is>
      </c>
      <c r="O580" s="43" t="inlineStr">
        <is>
          <t>Android 15</t>
        </is>
      </c>
      <c r="P580" s="43" t="n">
        <v>20</v>
      </c>
      <c r="Q580" s="46" t="n">
        <v>183</v>
      </c>
      <c r="R580" s="43" t="inlineStr">
        <is>
          <t>Lighter than Coeus Aria Flip Foldable Phone [COE-075-06] (183 g vs 186 g); Lower price than Styx Sable X Flip Foldable Phone [STY-058-07] ($1,054.99 vs $1,133.99)</t>
        </is>
      </c>
      <c r="S580" s="43" t="inlineStr">
        <is>
          <t>style, everyday, compact</t>
        </is>
      </c>
      <c r="T580" s="0" t="inlineStr">
        <is>
          <t>in_stock</t>
        </is>
      </c>
      <c r="U580" s="0" t="n">
        <v>14</v>
      </c>
      <c r="V580" s="52" t="n">
        <v>1098.99</v>
      </c>
      <c r="W580" s="0" t="inlineStr">
        <is>
          <t>2026-09-11</t>
        </is>
      </c>
      <c r="X580" s="0" t="inlineStr">
        <is>
          <t>N/A</t>
        </is>
      </c>
      <c r="Y580" s="0" t="inlineStr">
        <is>
          <t>N/A</t>
        </is>
      </c>
      <c r="Z580" s="0" t="inlineStr">
        <is>
          <t>N/A</t>
        </is>
      </c>
      <c r="AA580" s="0" t="inlineStr">
        <is>
          <t>N/A</t>
        </is>
      </c>
    </row>
    <row r="581" ht="15.75" customHeight="1" s="51">
      <c r="A581" s="43" t="inlineStr">
        <is>
          <t>PAL-057-09</t>
        </is>
      </c>
      <c r="B581" s="43" t="inlineStr">
        <is>
          <t>Pallas</t>
        </is>
      </c>
      <c r="C581" s="43" t="inlineStr">
        <is>
          <t>Smartphones &amp; Tablets</t>
        </is>
      </c>
      <c r="D581" s="43" t="inlineStr">
        <is>
          <t>Tablet</t>
        </is>
      </c>
      <c r="E581" s="44" t="inlineStr">
        <is>
          <t>Pallas Crest Air 13" Pro Tablet</t>
        </is>
      </c>
      <c r="F581" s="45" t="n">
        <v>1150.99</v>
      </c>
      <c r="G581" s="43" t="inlineStr">
        <is>
          <t>the Crest Air; Pallas Crest Air; Paallas Crest Air; Crest Air tablet</t>
        </is>
      </c>
      <c r="H581" s="43" t="inlineStr">
        <is>
          <t>1 year limited</t>
        </is>
      </c>
      <c r="I581" s="43" t="inlineStr">
        <is>
          <t>FCC, CE</t>
        </is>
      </c>
      <c r="J581" s="43" t="inlineStr">
        <is>
          <t>MediaTek Dimensity 9400</t>
        </is>
      </c>
      <c r="K581" s="43" t="inlineStr">
        <is>
          <t>Arm Immortalis-G925</t>
        </is>
      </c>
      <c r="L581" s="43" t="inlineStr">
        <is>
          <t>OLED, 120Hz</t>
        </is>
      </c>
      <c r="M581" s="43" t="inlineStr">
        <is>
          <t>2800x1752</t>
        </is>
      </c>
      <c r="N581" s="43" t="inlineStr">
        <is>
          <t>USB-C (USB 3.2), magnetic keyboard connector</t>
        </is>
      </c>
      <c r="O581" s="43" t="inlineStr">
        <is>
          <t>Android 15</t>
        </is>
      </c>
      <c r="P581" s="43" t="n">
        <v>10</v>
      </c>
      <c r="Q581" s="46" t="n">
        <v>661</v>
      </c>
      <c r="R581" s="43" t="inlineStr">
        <is>
          <t>Lower price than Oceanus Echo Max 13" Pro Tablet [OCE-060-09] ($1,150.99 vs $1,295.99); Longer battery than Leucothea Aeon Plus 13" Pro Tablet [LEU-095-08] (10 vs 9 hrs)</t>
        </is>
      </c>
      <c r="S581" s="43" t="inlineStr">
        <is>
          <t>creative work, productivity, drawing</t>
        </is>
      </c>
      <c r="T581" s="0" t="inlineStr">
        <is>
          <t>in_stock</t>
        </is>
      </c>
      <c r="U581" s="0" t="n">
        <v>14</v>
      </c>
      <c r="V581" s="52" t="n">
        <v>1315.99</v>
      </c>
      <c r="W581" s="0" t="inlineStr">
        <is>
          <t>2026-09-22</t>
        </is>
      </c>
      <c r="X581" s="0" t="inlineStr">
        <is>
          <t>N/A</t>
        </is>
      </c>
      <c r="Y581" s="0" t="inlineStr">
        <is>
          <t>N/A</t>
        </is>
      </c>
      <c r="Z581" s="0" t="inlineStr">
        <is>
          <t>N/A</t>
        </is>
      </c>
      <c r="AA581" s="0" t="inlineStr">
        <is>
          <t>N/A</t>
        </is>
      </c>
    </row>
    <row r="582" ht="15.75" customHeight="1" s="51">
      <c r="A582" s="43" t="inlineStr">
        <is>
          <t>PAL-057-10</t>
        </is>
      </c>
      <c r="B582" s="43" t="inlineStr">
        <is>
          <t>Pallas</t>
        </is>
      </c>
      <c r="C582" s="43" t="inlineStr">
        <is>
          <t>Smartphones &amp; Tablets</t>
        </is>
      </c>
      <c r="D582" s="43" t="inlineStr">
        <is>
          <t>Smartphone</t>
        </is>
      </c>
      <c r="E582" s="44" t="inlineStr">
        <is>
          <t>Pallas Aria Air Foldable Phone</t>
        </is>
      </c>
      <c r="F582" s="45" t="n">
        <v>1817.99</v>
      </c>
      <c r="G582" s="43" t="inlineStr">
        <is>
          <t>the Aria Air; Pallas Aria Air; Pallaas Aria Air; Aria Air smartphone</t>
        </is>
      </c>
      <c r="H582" s="43" t="inlineStr">
        <is>
          <t>1 year limited</t>
        </is>
      </c>
      <c r="I582" s="43" t="inlineStr">
        <is>
          <t>FCC, CE, IPX8</t>
        </is>
      </c>
      <c r="J582" s="43" t="inlineStr">
        <is>
          <t>Qualcomm Snapdragon 8 Elite</t>
        </is>
      </c>
      <c r="K582" s="43" t="inlineStr">
        <is>
          <t>Qualcomm Adreno 830</t>
        </is>
      </c>
      <c r="L582" s="43" t="inlineStr">
        <is>
          <t>Foldable LTPO AMOLED inner + AMOLED cover, 120Hz</t>
        </is>
      </c>
      <c r="M582" s="43" t="inlineStr">
        <is>
          <t>2160x1856 inner / 1080x2376 cover</t>
        </is>
      </c>
      <c r="N582" s="43" t="inlineStr">
        <is>
          <t>USB-C (USB 3.2), nano-SIM + eSIM</t>
        </is>
      </c>
      <c r="O582" s="43" t="inlineStr">
        <is>
          <t>Android 15</t>
        </is>
      </c>
      <c r="P582" s="43" t="n">
        <v>25</v>
      </c>
      <c r="Q582" s="46" t="n">
        <v>263</v>
      </c>
      <c r="R582" s="43" t="inlineStr">
        <is>
          <t>Lower price than Triton Vertex SE Foldable Phone [TRI-092-10] ($1,817.99 vs $2,083.99); Longer battery than Iapetus Axis Plus Foldable Phone [IAP-096-10] (25 vs 22 hrs)</t>
        </is>
      </c>
      <c r="S582" s="43" t="inlineStr">
        <is>
          <t>multitasking, business, media</t>
        </is>
      </c>
      <c r="T582" s="0" t="inlineStr">
        <is>
          <t>in_stock</t>
        </is>
      </c>
      <c r="U582" s="0" t="n">
        <v>14</v>
      </c>
      <c r="V582" s="52" t="n">
        <v>2060.99</v>
      </c>
      <c r="W582" s="0" t="inlineStr">
        <is>
          <t>2026-08-20</t>
        </is>
      </c>
      <c r="X582" s="0" t="inlineStr">
        <is>
          <t>N/A</t>
        </is>
      </c>
      <c r="Y582" s="0" t="inlineStr">
        <is>
          <t>N/A</t>
        </is>
      </c>
      <c r="Z582" s="0" t="inlineStr">
        <is>
          <t>N/A</t>
        </is>
      </c>
      <c r="AA582" s="0" t="inlineStr">
        <is>
          <t>N/A</t>
        </is>
      </c>
    </row>
    <row r="583" ht="15.75" customHeight="1" s="51">
      <c r="A583" s="43" t="inlineStr">
        <is>
          <t>STY-058-01</t>
        </is>
      </c>
      <c r="B583" s="43" t="inlineStr">
        <is>
          <t>Styx</t>
        </is>
      </c>
      <c r="C583" s="43" t="inlineStr">
        <is>
          <t>Smartphones &amp; Tablets</t>
        </is>
      </c>
      <c r="D583" s="43" t="inlineStr">
        <is>
          <t>Tablet</t>
        </is>
      </c>
      <c r="E583" s="44" t="inlineStr">
        <is>
          <t>Styx Spark Lite Kids Tablet</t>
        </is>
      </c>
      <c r="F583" s="45" t="n">
        <v>152.99</v>
      </c>
      <c r="G583" s="43" t="inlineStr">
        <is>
          <t>the Spark Lite; Styx Spark Lite; Styyx Spark Lite; Spark Lite tablet</t>
        </is>
      </c>
      <c r="H583" s="43" t="inlineStr">
        <is>
          <t>1 year limited</t>
        </is>
      </c>
      <c r="I583" s="43" t="inlineStr">
        <is>
          <t>FCC, CE, TUV Rheinland Low Blue Light, EN 71 Toy Safety, Energy Star</t>
        </is>
      </c>
      <c r="J583" s="43" t="inlineStr">
        <is>
          <t>MediaTek Helio G88</t>
        </is>
      </c>
      <c r="K583" s="43" t="inlineStr">
        <is>
          <t>Arm Mali-G52 MC2</t>
        </is>
      </c>
      <c r="L583" s="43" t="inlineStr">
        <is>
          <t>IPS LCD, 60Hz</t>
        </is>
      </c>
      <c r="M583" s="43" t="inlineStr">
        <is>
          <t>800x1280</t>
        </is>
      </c>
      <c r="N583" s="43" t="inlineStr">
        <is>
          <t>USB-C (USB 2.0), microSD slot</t>
        </is>
      </c>
      <c r="O583" s="43" t="inlineStr">
        <is>
          <t>Android 14 with parental controls</t>
        </is>
      </c>
      <c r="P583" s="43" t="n">
        <v>9</v>
      </c>
      <c r="Q583" s="46" t="n">
        <v>404</v>
      </c>
      <c r="R583" s="43" t="inlineStr">
        <is>
          <t>Lighter than Plutus Halo Air Kids Tablet [PLU-100-01] (404 g vs 411 g); Longer battery than Mnemosyne Wave SE Kids Tablet [MNE-061-01] (9 vs 8 hrs)</t>
        </is>
      </c>
      <c r="S583" s="43" t="inlineStr">
        <is>
          <t>kids, learning, games</t>
        </is>
      </c>
      <c r="T583" s="0" t="inlineStr">
        <is>
          <t>in_stock</t>
        </is>
      </c>
      <c r="U583" s="0" t="n">
        <v>30</v>
      </c>
      <c r="V583" s="52" t="n">
        <v>171.99</v>
      </c>
      <c r="W583" s="0" t="inlineStr">
        <is>
          <t>2026-08-15</t>
        </is>
      </c>
      <c r="X583" s="0" t="inlineStr">
        <is>
          <t>N/A</t>
        </is>
      </c>
      <c r="Y583" s="0" t="inlineStr">
        <is>
          <t>N/A</t>
        </is>
      </c>
      <c r="Z583" s="0" t="inlineStr">
        <is>
          <t>N/A</t>
        </is>
      </c>
      <c r="AA583" s="0" t="inlineStr">
        <is>
          <t>N/A</t>
        </is>
      </c>
    </row>
    <row r="584" ht="15.75" customHeight="1" s="51">
      <c r="A584" s="43" t="inlineStr">
        <is>
          <t>STY-058-02</t>
        </is>
      </c>
      <c r="B584" s="43" t="inlineStr">
        <is>
          <t>Styx</t>
        </is>
      </c>
      <c r="C584" s="43" t="inlineStr">
        <is>
          <t>Smartphones &amp; Tablets</t>
        </is>
      </c>
      <c r="D584" s="43" t="inlineStr">
        <is>
          <t>Smartphone</t>
        </is>
      </c>
      <c r="E584" s="44" t="inlineStr">
        <is>
          <t>Styx Vertex Lite Budget Smartphone</t>
        </is>
      </c>
      <c r="F584" s="45" t="n">
        <v>288.99</v>
      </c>
      <c r="G584" s="43" t="inlineStr">
        <is>
          <t>the Vertex Lite; Styx Vertex Lite; Sytx Vertex Lite; Vertex Lite smartphone</t>
        </is>
      </c>
      <c r="H584" s="43" t="inlineStr">
        <is>
          <t>1 year limited</t>
        </is>
      </c>
      <c r="I584" s="43" t="inlineStr">
        <is>
          <t>FCC, CE, IP54</t>
        </is>
      </c>
      <c r="J584" s="43" t="inlineStr">
        <is>
          <t>Qualcomm Snapdragon 6 Gen 1</t>
        </is>
      </c>
      <c r="K584" s="43" t="inlineStr">
        <is>
          <t>Qualcomm Adreno 710</t>
        </is>
      </c>
      <c r="L584" s="43" t="inlineStr">
        <is>
          <t>IPS LCD, 90Hz</t>
        </is>
      </c>
      <c r="M584" s="43" t="inlineStr">
        <is>
          <t>1080x2400</t>
        </is>
      </c>
      <c r="N584" s="43" t="inlineStr">
        <is>
          <t>USB-C (USB 2.0), nano-SIM + eSIM, 3.5mm headphone jack, microSD slot</t>
        </is>
      </c>
      <c r="O584" s="43" t="inlineStr">
        <is>
          <t>Android 14</t>
        </is>
      </c>
      <c r="P584" s="43" t="n">
        <v>24</v>
      </c>
      <c r="Q584" s="46" t="n">
        <v>207</v>
      </c>
      <c r="R584" s="43" t="inlineStr">
        <is>
          <t>Longer battery than Athena Axis Plus Budget Smartphone [ATH-064-03] (24 vs 22 hrs); Lower price than Phobos Aria X Budget Smartphone [PHO-053-03] ($288.99 vs $300.99)</t>
        </is>
      </c>
      <c r="S584" s="43" t="inlineStr">
        <is>
          <t>budget, first phone, everyday</t>
        </is>
      </c>
      <c r="T584" s="0" t="inlineStr">
        <is>
          <t>in_stock</t>
        </is>
      </c>
      <c r="U584" s="0" t="n">
        <v>30</v>
      </c>
      <c r="V584" s="52" t="n">
        <v>317.99</v>
      </c>
      <c r="W584" s="0" t="inlineStr">
        <is>
          <t>2026-09-01</t>
        </is>
      </c>
      <c r="X584" s="0" t="inlineStr">
        <is>
          <t>N/A</t>
        </is>
      </c>
      <c r="Y584" s="0" t="inlineStr">
        <is>
          <t>N/A</t>
        </is>
      </c>
      <c r="Z584" s="0" t="inlineStr">
        <is>
          <t>N/A</t>
        </is>
      </c>
      <c r="AA584" s="0" t="inlineStr">
        <is>
          <t>N/A</t>
        </is>
      </c>
    </row>
    <row r="585" ht="15.75" customHeight="1" s="51">
      <c r="A585" s="43" t="inlineStr">
        <is>
          <t>STY-058-03</t>
        </is>
      </c>
      <c r="B585" s="43" t="inlineStr">
        <is>
          <t>Styx</t>
        </is>
      </c>
      <c r="C585" s="43" t="inlineStr">
        <is>
          <t>Smartphones &amp; Tablets</t>
        </is>
      </c>
      <c r="D585" s="43" t="inlineStr">
        <is>
          <t>Smartphone</t>
        </is>
      </c>
      <c r="E585" s="44" t="inlineStr">
        <is>
          <t>Styx Aria SE Rugged Smartphone</t>
        </is>
      </c>
      <c r="F585" s="45" t="n">
        <v>694.99</v>
      </c>
      <c r="G585" s="43" t="inlineStr">
        <is>
          <t>the Aria SE; Styx Aria SE; Stix Aria SE; Aria SE smartphone</t>
        </is>
      </c>
      <c r="H585" s="43" t="inlineStr">
        <is>
          <t>2 year limited</t>
        </is>
      </c>
      <c r="I585" s="43" t="inlineStr">
        <is>
          <t>FCC, CE, IP69K, MIL-STD-810H</t>
        </is>
      </c>
      <c r="J585" s="43" t="inlineStr">
        <is>
          <t>MediaTek Dimensity 8300</t>
        </is>
      </c>
      <c r="K585" s="43" t="inlineStr">
        <is>
          <t>Arm Mali-G615 MC6</t>
        </is>
      </c>
      <c r="L585" s="43" t="inlineStr">
        <is>
          <t>IPS LCD, Gorilla Glass Victus, 120Hz</t>
        </is>
      </c>
      <c r="M585" s="43" t="inlineStr">
        <is>
          <t>1080x2400</t>
        </is>
      </c>
      <c r="N585" s="43" t="inlineStr">
        <is>
          <t>USB-C (USB 2.0), nano-SIM + eSIM, 3.5mm headphone jack, microSD slot</t>
        </is>
      </c>
      <c r="O585" s="43" t="inlineStr">
        <is>
          <t>Android 15</t>
        </is>
      </c>
      <c r="P585" s="43" t="n">
        <v>30</v>
      </c>
      <c r="Q585" s="46" t="n">
        <v>291</v>
      </c>
      <c r="R585" s="43" t="inlineStr">
        <is>
          <t>Lighter than Mnemosyne Drift Rugged Smartphone [MNE-061-04] (291 g vs 336 g); Lower price than Peitho Crest X Rugged Smartphone [PEI-083-05] ($694.99 vs $768.99)</t>
        </is>
      </c>
      <c r="S585" s="43" t="inlineStr">
        <is>
          <t>outdoor, construction, fieldwork</t>
        </is>
      </c>
      <c r="T585" s="0" t="inlineStr">
        <is>
          <t>in_stock</t>
        </is>
      </c>
      <c r="U585" s="0" t="n">
        <v>30</v>
      </c>
      <c r="V585" s="52" t="n">
        <v>747.99</v>
      </c>
      <c r="W585" s="0" t="inlineStr">
        <is>
          <t>2026-08-13</t>
        </is>
      </c>
      <c r="X585" s="0" t="inlineStr">
        <is>
          <t>N/A</t>
        </is>
      </c>
      <c r="Y585" s="0" t="inlineStr">
        <is>
          <t>N/A</t>
        </is>
      </c>
      <c r="Z585" s="0" t="inlineStr">
        <is>
          <t>N/A</t>
        </is>
      </c>
      <c r="AA585" s="0" t="inlineStr">
        <is>
          <t>N/A</t>
        </is>
      </c>
    </row>
    <row r="586" ht="15.75" customHeight="1" s="51">
      <c r="A586" s="43" t="inlineStr">
        <is>
          <t>STY-058-04</t>
        </is>
      </c>
      <c r="B586" s="43" t="inlineStr">
        <is>
          <t>Styx</t>
        </is>
      </c>
      <c r="C586" s="43" t="inlineStr">
        <is>
          <t>Smartphones &amp; Tablets</t>
        </is>
      </c>
      <c r="D586" s="43" t="inlineStr">
        <is>
          <t>Smartphone</t>
        </is>
      </c>
      <c r="E586" s="44" t="inlineStr">
        <is>
          <t>Styx Axis Pro Compact Smartphone</t>
        </is>
      </c>
      <c r="F586" s="45" t="n">
        <v>709.99</v>
      </c>
      <c r="G586" s="43" t="inlineStr">
        <is>
          <t>the Axis Pro; Styx Axis Pro; Styyx Axis Pro; Axis Pro smartphone</t>
        </is>
      </c>
      <c r="H586" s="43" t="inlineStr">
        <is>
          <t>1 year limited</t>
        </is>
      </c>
      <c r="I586" s="43" t="inlineStr">
        <is>
          <t>FCC, CE, IP68</t>
        </is>
      </c>
      <c r="J586" s="43" t="inlineStr">
        <is>
          <t>MediaTek Dimensity 8300</t>
        </is>
      </c>
      <c r="K586" s="43" t="inlineStr">
        <is>
          <t>Arm Mali-G615 MC6</t>
        </is>
      </c>
      <c r="L586" s="43" t="inlineStr">
        <is>
          <t>AMOLED, 120Hz</t>
        </is>
      </c>
      <c r="M586" s="43" t="inlineStr">
        <is>
          <t>1080x2340</t>
        </is>
      </c>
      <c r="N586" s="43" t="inlineStr">
        <is>
          <t>USB-C (USB 3.2), nano-SIM + eSIM</t>
        </is>
      </c>
      <c r="O586" s="43" t="inlineStr">
        <is>
          <t>Android 15</t>
        </is>
      </c>
      <c r="P586" s="43" t="n">
        <v>24</v>
      </c>
      <c r="Q586" s="46" t="n">
        <v>159</v>
      </c>
      <c r="R586" s="43" t="inlineStr">
        <is>
          <t>Lighter than Panacea Nova Air Compact Smartphone [PAN-069-05] (159 g vs 165 g); Lower price than Iapetus Arc SE Compact Smartphone [IAP-096-05] ($709.99 vs $769.99)</t>
        </is>
      </c>
      <c r="S586" s="43" t="inlineStr">
        <is>
          <t>everyday, one-handed use</t>
        </is>
      </c>
      <c r="T586" s="0" t="inlineStr">
        <is>
          <t>in_stock</t>
        </is>
      </c>
      <c r="U586" s="0" t="n">
        <v>30</v>
      </c>
      <c r="V586" s="52" t="n">
        <v>746.99</v>
      </c>
      <c r="W586" s="0" t="inlineStr">
        <is>
          <t>2026-08-16</t>
        </is>
      </c>
      <c r="X586" s="0" t="inlineStr">
        <is>
          <t>N/A</t>
        </is>
      </c>
      <c r="Y586" s="0" t="inlineStr">
        <is>
          <t>N/A</t>
        </is>
      </c>
      <c r="Z586" s="0" t="inlineStr">
        <is>
          <t>N/A</t>
        </is>
      </c>
      <c r="AA586" s="0" t="inlineStr">
        <is>
          <t>N/A</t>
        </is>
      </c>
    </row>
    <row r="587" ht="15.75" customHeight="1" s="51">
      <c r="A587" s="43" t="inlineStr">
        <is>
          <t>STY-058-05</t>
        </is>
      </c>
      <c r="B587" s="43" t="inlineStr">
        <is>
          <t>Styx</t>
        </is>
      </c>
      <c r="C587" s="43" t="inlineStr">
        <is>
          <t>Smartphones &amp; Tablets</t>
        </is>
      </c>
      <c r="D587" s="43" t="inlineStr">
        <is>
          <t>Smartphone</t>
        </is>
      </c>
      <c r="E587" s="44" t="inlineStr">
        <is>
          <t>Styx Lumen Flagship Smartphone</t>
        </is>
      </c>
      <c r="F587" s="45" t="n">
        <v>814.99</v>
      </c>
      <c r="G587" s="43" t="inlineStr">
        <is>
          <t>the Lumen; Styx Lumen; Styxx Lumen; Lumen smartphone</t>
        </is>
      </c>
      <c r="H587" s="43" t="inlineStr">
        <is>
          <t>1 year limited</t>
        </is>
      </c>
      <c r="I587" s="43" t="inlineStr">
        <is>
          <t>FCC, CE, IP68, Qi2</t>
        </is>
      </c>
      <c r="J587" s="43" t="inlineStr">
        <is>
          <t>Qualcomm Snapdragon 8 Gen 3</t>
        </is>
      </c>
      <c r="K587" s="43" t="inlineStr">
        <is>
          <t>Qualcomm Adreno 750</t>
        </is>
      </c>
      <c r="L587" s="43" t="inlineStr">
        <is>
          <t>AMOLED, 120Hz</t>
        </is>
      </c>
      <c r="M587" s="43" t="inlineStr">
        <is>
          <t>1080x2400</t>
        </is>
      </c>
      <c r="N587" s="43" t="inlineStr">
        <is>
          <t>USB-C (USB 3.2), nano-SIM + eSIM</t>
        </is>
      </c>
      <c r="O587" s="43" t="inlineStr">
        <is>
          <t>Android 15</t>
        </is>
      </c>
      <c r="P587" s="43" t="n">
        <v>27</v>
      </c>
      <c r="Q587" s="46" t="n">
        <v>180</v>
      </c>
      <c r="R587" s="43" t="inlineStr">
        <is>
          <t>Lower price than Aether Pulse Ultra Flagship Smartphone [AET-080-06] ($814.99 vs $974.99); Lighter than Anteros Onyx Flagship Smartphone [ANT-090-05] (180 g vs 191 g)</t>
        </is>
      </c>
      <c r="S587" s="43" t="inlineStr">
        <is>
          <t>photography, everyday, business</t>
        </is>
      </c>
      <c r="T587" s="0" t="inlineStr">
        <is>
          <t>in_stock</t>
        </is>
      </c>
      <c r="U587" s="0" t="n">
        <v>30</v>
      </c>
      <c r="V587" s="52" t="n">
        <v>889.99</v>
      </c>
      <c r="W587" s="0" t="inlineStr">
        <is>
          <t>2026-09-25</t>
        </is>
      </c>
      <c r="X587" s="0" t="inlineStr">
        <is>
          <t>N/A</t>
        </is>
      </c>
      <c r="Y587" s="0" t="inlineStr">
        <is>
          <t>N/A</t>
        </is>
      </c>
      <c r="Z587" s="0" t="inlineStr">
        <is>
          <t>N/A</t>
        </is>
      </c>
      <c r="AA587" s="0" t="inlineStr">
        <is>
          <t>N/A</t>
        </is>
      </c>
    </row>
    <row r="588" ht="15.75" customHeight="1" s="51">
      <c r="A588" s="43" t="inlineStr">
        <is>
          <t>STY-058-06</t>
        </is>
      </c>
      <c r="B588" s="43" t="inlineStr">
        <is>
          <t>Styx</t>
        </is>
      </c>
      <c r="C588" s="43" t="inlineStr">
        <is>
          <t>Smartphones &amp; Tablets</t>
        </is>
      </c>
      <c r="D588" s="43" t="inlineStr">
        <is>
          <t>Tablet</t>
        </is>
      </c>
      <c r="E588" s="44" t="inlineStr">
        <is>
          <t>Styx Arc 5G Tablet</t>
        </is>
      </c>
      <c r="F588" s="45" t="n">
        <v>1089.99</v>
      </c>
      <c r="G588" s="43" t="inlineStr">
        <is>
          <t>the Arc; Styx Arc; Styyx Arc; Arc tablet</t>
        </is>
      </c>
      <c r="H588" s="43" t="inlineStr">
        <is>
          <t>2 year limited</t>
        </is>
      </c>
      <c r="I588" s="43" t="inlineStr">
        <is>
          <t>FCC, CE, Energy Star</t>
        </is>
      </c>
      <c r="J588" s="43" t="inlineStr">
        <is>
          <t>MediaTek Dimensity 9400</t>
        </is>
      </c>
      <c r="K588" s="43" t="inlineStr">
        <is>
          <t>Arm Immortalis-G925</t>
        </is>
      </c>
      <c r="L588" s="43" t="inlineStr">
        <is>
          <t>OLED, 120Hz</t>
        </is>
      </c>
      <c r="M588" s="43" t="inlineStr">
        <is>
          <t>1752x2800</t>
        </is>
      </c>
      <c r="N588" s="43" t="inlineStr">
        <is>
          <t>USB-C (USB 3.2), magnetic keyboard connector, nano-SIM + eSIM</t>
        </is>
      </c>
      <c r="O588" s="43" t="inlineStr">
        <is>
          <t>Android 15</t>
        </is>
      </c>
      <c r="P588" s="43" t="n">
        <v>12</v>
      </c>
      <c r="Q588" s="46" t="n">
        <v>541</v>
      </c>
      <c r="R588" s="43" t="inlineStr">
        <is>
          <t>Longer battery than Peitho Vertex Lite 5G Tablet [PEI-083-07] (12 vs 11 hrs); Lighter than Coeus Vertex Lite 5G Tablet [COE-075-05] (541 g vs 553 g)</t>
        </is>
      </c>
      <c r="S588" s="43" t="inlineStr">
        <is>
          <t>travel, streaming, work on the go</t>
        </is>
      </c>
      <c r="T588" s="0" t="inlineStr">
        <is>
          <t>in_stock</t>
        </is>
      </c>
      <c r="U588" s="0" t="n">
        <v>30</v>
      </c>
      <c r="V588" s="52" t="n">
        <v>1224.99</v>
      </c>
      <c r="W588" s="0" t="inlineStr">
        <is>
          <t>2026-08-20</t>
        </is>
      </c>
      <c r="X588" s="0" t="inlineStr">
        <is>
          <t>N/A</t>
        </is>
      </c>
      <c r="Y588" s="0" t="inlineStr">
        <is>
          <t>N/A</t>
        </is>
      </c>
      <c r="Z588" s="0" t="inlineStr">
        <is>
          <t>N/A</t>
        </is>
      </c>
      <c r="AA588" s="0" t="inlineStr">
        <is>
          <t>N/A</t>
        </is>
      </c>
    </row>
    <row r="589" ht="15.75" customHeight="1" s="51">
      <c r="A589" s="43" t="inlineStr">
        <is>
          <t>STY-058-07</t>
        </is>
      </c>
      <c r="B589" s="43" t="inlineStr">
        <is>
          <t>Styx</t>
        </is>
      </c>
      <c r="C589" s="43" t="inlineStr">
        <is>
          <t>Smartphones &amp; Tablets</t>
        </is>
      </c>
      <c r="D589" s="43" t="inlineStr">
        <is>
          <t>Smartphone</t>
        </is>
      </c>
      <c r="E589" s="44" t="inlineStr">
        <is>
          <t>Styx Sable X Flip Foldable Phone</t>
        </is>
      </c>
      <c r="F589" s="45" t="n">
        <v>1133.99</v>
      </c>
      <c r="G589" s="43" t="inlineStr">
        <is>
          <t>the Sable X; Styx Sable X; Sty Sable X; Sable X smartphone</t>
        </is>
      </c>
      <c r="H589" s="43" t="inlineStr">
        <is>
          <t>2 year limited</t>
        </is>
      </c>
      <c r="I589" s="43" t="inlineStr">
        <is>
          <t>FCC, CE, IPX8</t>
        </is>
      </c>
      <c r="J589" s="43" t="inlineStr">
        <is>
          <t>MediaTek Dimensity 9400</t>
        </is>
      </c>
      <c r="K589" s="43" t="inlineStr">
        <is>
          <t>Arm Immortalis-G925</t>
        </is>
      </c>
      <c r="L589" s="43" t="inlineStr">
        <is>
          <t>Foldable AMOLED inner + AMOLED cover screen</t>
        </is>
      </c>
      <c r="M589" s="43" t="inlineStr">
        <is>
          <t>1080x2640 inner / 720x748 cover</t>
        </is>
      </c>
      <c r="N589" s="43" t="inlineStr">
        <is>
          <t>USB-C (USB 3.2), nano-SIM + eSIM</t>
        </is>
      </c>
      <c r="O589" s="43" t="inlineStr">
        <is>
          <t>Android 15</t>
        </is>
      </c>
      <c r="P589" s="43" t="n">
        <v>19</v>
      </c>
      <c r="Q589" s="46" t="n">
        <v>192</v>
      </c>
      <c r="R589" s="43" t="inlineStr">
        <is>
          <t>Longer battery than Peitho Flux Lite Flip Foldable Phone [PEI-083-08] (19 vs 18 hrs); Lighter than Paean Strata SE Flip Foldable Phone [PAE-066-06] (192 g vs 196 g)</t>
        </is>
      </c>
      <c r="S589" s="43" t="inlineStr">
        <is>
          <t>style, everyday, compact</t>
        </is>
      </c>
      <c r="T589" s="0" t="inlineStr">
        <is>
          <t>in_stock</t>
        </is>
      </c>
      <c r="U589" s="0" t="n">
        <v>30</v>
      </c>
      <c r="V589" s="52" t="n">
        <v>1171.99</v>
      </c>
      <c r="W589" s="0" t="inlineStr">
        <is>
          <t>2026-08-13</t>
        </is>
      </c>
      <c r="X589" s="0" t="inlineStr">
        <is>
          <t>N/A</t>
        </is>
      </c>
      <c r="Y589" s="0" t="inlineStr">
        <is>
          <t>N/A</t>
        </is>
      </c>
      <c r="Z589" s="0" t="inlineStr">
        <is>
          <t>N/A</t>
        </is>
      </c>
      <c r="AA589" s="0" t="inlineStr">
        <is>
          <t>N/A</t>
        </is>
      </c>
    </row>
    <row r="590" ht="15.75" customHeight="1" s="51">
      <c r="A590" s="43" t="inlineStr">
        <is>
          <t>STY-058-08</t>
        </is>
      </c>
      <c r="B590" s="43" t="inlineStr">
        <is>
          <t>Styx</t>
        </is>
      </c>
      <c r="C590" s="43" t="inlineStr">
        <is>
          <t>Smartphones &amp; Tablets</t>
        </is>
      </c>
      <c r="D590" s="43" t="inlineStr">
        <is>
          <t>Tablet</t>
        </is>
      </c>
      <c r="E590" s="44" t="inlineStr">
        <is>
          <t>Styx Pulse Ultra 13" Pro Tablet</t>
        </is>
      </c>
      <c r="F590" s="45" t="n">
        <v>1193.99</v>
      </c>
      <c r="G590" s="43" t="inlineStr">
        <is>
          <t>the Pulse Ultra; Styx Pulse Ultra; Styyx Pulse Ultra; Pulse Ultra tablet</t>
        </is>
      </c>
      <c r="H590" s="43" t="inlineStr">
        <is>
          <t>1 year limited</t>
        </is>
      </c>
      <c r="I590" s="43" t="inlineStr">
        <is>
          <t>FCC, CE</t>
        </is>
      </c>
      <c r="J590" s="43" t="inlineStr">
        <is>
          <t>MediaTek Dimensity 9400</t>
        </is>
      </c>
      <c r="K590" s="43" t="inlineStr">
        <is>
          <t>Arm Immortalis-G925</t>
        </is>
      </c>
      <c r="L590" s="43" t="inlineStr">
        <is>
          <t>OLED, 120Hz</t>
        </is>
      </c>
      <c r="M590" s="43" t="inlineStr">
        <is>
          <t>2800x1752</t>
        </is>
      </c>
      <c r="N590" s="43" t="inlineStr">
        <is>
          <t>USB-C (USB 3.2), magnetic keyboard connector</t>
        </is>
      </c>
      <c r="O590" s="43" t="inlineStr">
        <is>
          <t>Android 15</t>
        </is>
      </c>
      <c r="P590" s="43" t="n">
        <v>13</v>
      </c>
      <c r="Q590" s="46" t="n">
        <v>595</v>
      </c>
      <c r="R590" s="43" t="inlineStr">
        <is>
          <t>Lighter than Hypnos Aeon Air 13" Pro Tablet [HYP-059-09] (595 g vs 655 g); Lower price than Pan Aria Plus 13" Pro Tablet [PAN-097-10] ($1,193.99 vs $1,715.99)</t>
        </is>
      </c>
      <c r="S590" s="43" t="inlineStr">
        <is>
          <t>creative work, productivity, drawing</t>
        </is>
      </c>
      <c r="T590" s="0" t="inlineStr">
        <is>
          <t>in_stock</t>
        </is>
      </c>
      <c r="U590" s="0" t="n">
        <v>30</v>
      </c>
      <c r="V590" s="52" t="n">
        <v>1360.99</v>
      </c>
      <c r="W590" s="0" t="inlineStr">
        <is>
          <t>2026-08-20</t>
        </is>
      </c>
      <c r="X590" s="0" t="inlineStr">
        <is>
          <t>N/A</t>
        </is>
      </c>
      <c r="Y590" s="0" t="inlineStr">
        <is>
          <t>N/A</t>
        </is>
      </c>
      <c r="Z590" s="0" t="inlineStr">
        <is>
          <t>N/A</t>
        </is>
      </c>
      <c r="AA590" s="0" t="inlineStr">
        <is>
          <t>N/A</t>
        </is>
      </c>
    </row>
    <row r="591" ht="15.75" customHeight="1" s="51">
      <c r="A591" s="43" t="inlineStr">
        <is>
          <t>STY-058-09</t>
        </is>
      </c>
      <c r="B591" s="43" t="inlineStr">
        <is>
          <t>Styx</t>
        </is>
      </c>
      <c r="C591" s="43" t="inlineStr">
        <is>
          <t>Smartphones &amp; Tablets</t>
        </is>
      </c>
      <c r="D591" s="43" t="inlineStr">
        <is>
          <t>Smartphone</t>
        </is>
      </c>
      <c r="E591" s="44" t="inlineStr">
        <is>
          <t>Styx Drift X Pro Max Smartphone</t>
        </is>
      </c>
      <c r="F591" s="45" t="n">
        <v>1366.99</v>
      </c>
      <c r="G591" s="43" t="inlineStr">
        <is>
          <t>the Drift X; Styx Drift X; Sytx Drift X; Drift X smartphone</t>
        </is>
      </c>
      <c r="H591" s="43" t="inlineStr">
        <is>
          <t>1 year limited</t>
        </is>
      </c>
      <c r="I591" s="43" t="inlineStr">
        <is>
          <t>FCC, CE, IP68, Qi2</t>
        </is>
      </c>
      <c r="J591" s="43" t="inlineStr">
        <is>
          <t>Qualcomm Snapdragon 8 Elite</t>
        </is>
      </c>
      <c r="K591" s="43" t="inlineStr">
        <is>
          <t>Qualcomm Adreno 830</t>
        </is>
      </c>
      <c r="L591" s="43" t="inlineStr">
        <is>
          <t>LTPO AMOLED, 1-120Hz</t>
        </is>
      </c>
      <c r="M591" s="43" t="inlineStr">
        <is>
          <t>1440x3120</t>
        </is>
      </c>
      <c r="N591" s="43" t="inlineStr">
        <is>
          <t>USB-C (USB 3.2), nano-SIM + eSIM</t>
        </is>
      </c>
      <c r="O591" s="43" t="inlineStr">
        <is>
          <t>Android 15</t>
        </is>
      </c>
      <c r="P591" s="43" t="n">
        <v>35</v>
      </c>
      <c r="Q591" s="46" t="n">
        <v>235</v>
      </c>
      <c r="R591" s="43" t="inlineStr">
        <is>
          <t>Longer battery than Peitho Flux Pro Pro Max Smartphone [PEI-083-09] (35 vs 29 hrs); Lower price than Pan Zen SE Pro Max Smartphone [PAN-097-09] ($1,366.99 vs $1,533.99)</t>
        </is>
      </c>
      <c r="S591" s="43" t="inlineStr">
        <is>
          <t>photography, video, mobile gaming</t>
        </is>
      </c>
      <c r="T591" s="0" t="inlineStr">
        <is>
          <t>in_stock</t>
        </is>
      </c>
      <c r="U591" s="0" t="n">
        <v>30</v>
      </c>
      <c r="V591" s="52" t="n">
        <v>1539.99</v>
      </c>
      <c r="W591" s="0" t="inlineStr">
        <is>
          <t>2026-09-03</t>
        </is>
      </c>
      <c r="X591" s="0" t="inlineStr">
        <is>
          <t>N/A</t>
        </is>
      </c>
      <c r="Y591" s="0" t="inlineStr">
        <is>
          <t>N/A</t>
        </is>
      </c>
      <c r="Z591" s="0" t="inlineStr">
        <is>
          <t>N/A</t>
        </is>
      </c>
      <c r="AA591" s="0" t="inlineStr">
        <is>
          <t>N/A</t>
        </is>
      </c>
    </row>
    <row r="592" ht="15.75" customHeight="1" s="51">
      <c r="A592" s="43" t="inlineStr">
        <is>
          <t>STY-058-10</t>
        </is>
      </c>
      <c r="B592" s="43" t="inlineStr">
        <is>
          <t>Styx</t>
        </is>
      </c>
      <c r="C592" s="43" t="inlineStr">
        <is>
          <t>Smartphones &amp; Tablets</t>
        </is>
      </c>
      <c r="D592" s="43" t="inlineStr">
        <is>
          <t>Smartphone</t>
        </is>
      </c>
      <c r="E592" s="44" t="inlineStr">
        <is>
          <t>Styx Aria Pro Foldable Phone</t>
        </is>
      </c>
      <c r="F592" s="45" t="n">
        <v>1449.99</v>
      </c>
      <c r="G592" s="43" t="inlineStr">
        <is>
          <t>the Aria Pro; Styx Aria Pro; Sytx Aria Pro; Aria Pro smartphone</t>
        </is>
      </c>
      <c r="H592" s="43" t="inlineStr">
        <is>
          <t>1 year limited</t>
        </is>
      </c>
      <c r="I592" s="43" t="inlineStr">
        <is>
          <t>FCC, CE, IPX8</t>
        </is>
      </c>
      <c r="J592" s="43" t="inlineStr">
        <is>
          <t>Qualcomm Snapdragon 8 Elite</t>
        </is>
      </c>
      <c r="K592" s="43" t="inlineStr">
        <is>
          <t>Qualcomm Adreno 830</t>
        </is>
      </c>
      <c r="L592" s="43" t="inlineStr">
        <is>
          <t>Foldable LTPO AMOLED inner + AMOLED cover, 120Hz</t>
        </is>
      </c>
      <c r="M592" s="43" t="inlineStr">
        <is>
          <t>2160x1856 inner / 1080x2376 cover</t>
        </is>
      </c>
      <c r="N592" s="43" t="inlineStr">
        <is>
          <t>USB-C (USB 3.2), nano-SIM + eSIM</t>
        </is>
      </c>
      <c r="O592" s="43" t="inlineStr">
        <is>
          <t>Android 15</t>
        </is>
      </c>
      <c r="P592" s="43" t="n">
        <v>19</v>
      </c>
      <c r="Q592" s="46" t="n">
        <v>264</v>
      </c>
      <c r="R592" s="43" t="inlineStr">
        <is>
          <t>Longer battery than Eupheme Orbit Ultra Foldable Phone [EUP-084-10] (19 vs 18 hrs); Lower price than Elpis Quanta Air Foldable Phone [ELP-074-10] ($1,449.99 vs $1,991.99)</t>
        </is>
      </c>
      <c r="S592" s="43" t="inlineStr">
        <is>
          <t>multitasking, business, media</t>
        </is>
      </c>
      <c r="T592" s="0" t="inlineStr">
        <is>
          <t>in_stock</t>
        </is>
      </c>
      <c r="U592" s="0" t="n">
        <v>30</v>
      </c>
      <c r="V592" s="52" t="n">
        <v>1581.99</v>
      </c>
      <c r="W592" s="0" t="inlineStr">
        <is>
          <t>2026-09-04</t>
        </is>
      </c>
      <c r="X592" s="0" t="inlineStr">
        <is>
          <t>N/A</t>
        </is>
      </c>
      <c r="Y592" s="0" t="inlineStr">
        <is>
          <t>N/A</t>
        </is>
      </c>
      <c r="Z592" s="0" t="inlineStr">
        <is>
          <t>N/A</t>
        </is>
      </c>
      <c r="AA592" s="0" t="inlineStr">
        <is>
          <t>N/A</t>
        </is>
      </c>
    </row>
    <row r="593" ht="15.75" customHeight="1" s="51">
      <c r="A593" s="43" t="inlineStr">
        <is>
          <t>HYP-059-01</t>
        </is>
      </c>
      <c r="B593" s="43" t="inlineStr">
        <is>
          <t>Hypnos</t>
        </is>
      </c>
      <c r="C593" s="43" t="inlineStr">
        <is>
          <t>Smartphones &amp; Tablets</t>
        </is>
      </c>
      <c r="D593" s="43" t="inlineStr">
        <is>
          <t>Tablet</t>
        </is>
      </c>
      <c r="E593" s="44" t="inlineStr">
        <is>
          <t>Hypnos Spark Plus Kids Tablet</t>
        </is>
      </c>
      <c r="F593" s="45" t="n">
        <v>118.99</v>
      </c>
      <c r="G593" s="43" t="inlineStr">
        <is>
          <t>the Spark Plus; Hypnos Spark Plus; Hypno Spark Plus; Spark Plus tablet</t>
        </is>
      </c>
      <c r="H593" s="43" t="inlineStr">
        <is>
          <t>1 year limited</t>
        </is>
      </c>
      <c r="I593" s="43" t="inlineStr">
        <is>
          <t>FCC, CE, TUV Rheinland Low Blue Light, EN 71 Toy Safety</t>
        </is>
      </c>
      <c r="J593" s="43" t="inlineStr">
        <is>
          <t>MediaTek Helio G88</t>
        </is>
      </c>
      <c r="K593" s="43" t="inlineStr">
        <is>
          <t>Arm Mali-G52 MC2</t>
        </is>
      </c>
      <c r="L593" s="43" t="inlineStr">
        <is>
          <t>IPS LCD, 60Hz</t>
        </is>
      </c>
      <c r="M593" s="43" t="inlineStr">
        <is>
          <t>800x1280</t>
        </is>
      </c>
      <c r="N593" s="43" t="inlineStr">
        <is>
          <t>USB-C (USB 2.0), microSD slot</t>
        </is>
      </c>
      <c r="O593" s="43" t="inlineStr">
        <is>
          <t>Android 14 with parental controls</t>
        </is>
      </c>
      <c r="P593" s="43" t="n">
        <v>10</v>
      </c>
      <c r="Q593" s="46" t="n">
        <v>416</v>
      </c>
      <c r="R593" s="43" t="inlineStr">
        <is>
          <t>Lighter than Adrastea Wave Max Kids Tablet [ADR-094-01] (416 g vs 428 g); Lower price than Clotho Core Lite Kids Tablet [CLO-062-01] ($118.99 vs $160.99)</t>
        </is>
      </c>
      <c r="S593" s="43" t="inlineStr">
        <is>
          <t>kids, learning, games</t>
        </is>
      </c>
      <c r="T593" s="0" t="inlineStr">
        <is>
          <t>in_stock</t>
        </is>
      </c>
      <c r="U593" s="0" t="n">
        <v>30</v>
      </c>
      <c r="V593" s="52" t="n">
        <v>133.99</v>
      </c>
      <c r="W593" s="0" t="inlineStr">
        <is>
          <t>2026-09-19</t>
        </is>
      </c>
      <c r="X593" s="0" t="inlineStr">
        <is>
          <t>N/A</t>
        </is>
      </c>
      <c r="Y593" s="0" t="inlineStr">
        <is>
          <t>N/A</t>
        </is>
      </c>
      <c r="Z593" s="0" t="inlineStr">
        <is>
          <t>N/A</t>
        </is>
      </c>
      <c r="AA593" s="0" t="inlineStr">
        <is>
          <t>N/A</t>
        </is>
      </c>
    </row>
    <row r="594" ht="15.75" customHeight="1" s="51">
      <c r="A594" s="43" t="inlineStr">
        <is>
          <t>HYP-059-02</t>
        </is>
      </c>
      <c r="B594" s="43" t="inlineStr">
        <is>
          <t>Hypnos</t>
        </is>
      </c>
      <c r="C594" s="43" t="inlineStr">
        <is>
          <t>Smartphones &amp; Tablets</t>
        </is>
      </c>
      <c r="D594" s="43" t="inlineStr">
        <is>
          <t>Smartphone</t>
        </is>
      </c>
      <c r="E594" s="44" t="inlineStr">
        <is>
          <t>Hypnos Arc Max Budget Smartphone</t>
        </is>
      </c>
      <c r="F594" s="45" t="n">
        <v>280.99</v>
      </c>
      <c r="G594" s="43" t="inlineStr">
        <is>
          <t>the Arc Max; Hypnos Arc Max; Hipnos Arc Max; Arc Max smartphone</t>
        </is>
      </c>
      <c r="H594" s="43" t="inlineStr">
        <is>
          <t>1 year limited</t>
        </is>
      </c>
      <c r="I594" s="43" t="inlineStr">
        <is>
          <t>FCC, CE, IP54</t>
        </is>
      </c>
      <c r="J594" s="43" t="inlineStr">
        <is>
          <t>Qualcomm Snapdragon 6 Gen 1</t>
        </is>
      </c>
      <c r="K594" s="43" t="inlineStr">
        <is>
          <t>Qualcomm Adreno 710</t>
        </is>
      </c>
      <c r="L594" s="43" t="inlineStr">
        <is>
          <t>IPS LCD, 90Hz</t>
        </is>
      </c>
      <c r="M594" s="43" t="inlineStr">
        <is>
          <t>1080x2400</t>
        </is>
      </c>
      <c r="N594" s="43" t="inlineStr">
        <is>
          <t>USB-C (USB 2.0), nano-SIM + eSIM, 3.5mm headphone jack, microSD slot</t>
        </is>
      </c>
      <c r="O594" s="43" t="inlineStr">
        <is>
          <t>Android 14</t>
        </is>
      </c>
      <c r="P594" s="43" t="n">
        <v>23</v>
      </c>
      <c r="Q594" s="46" t="n">
        <v>185</v>
      </c>
      <c r="R594" s="43" t="inlineStr">
        <is>
          <t>Lower price than Lachesis Prism Lite Budget Smartphone [LAC-071-02] ($280.99 vs $341.99); Lighter than Dike Sable Lite Budget Smartphone [DIK-099-04] (185 g vs 210 g)</t>
        </is>
      </c>
      <c r="S594" s="43" t="inlineStr">
        <is>
          <t>budget, first phone, everyday</t>
        </is>
      </c>
      <c r="T594" s="0" t="inlineStr">
        <is>
          <t>low_stock</t>
        </is>
      </c>
      <c r="U594" s="0" t="n">
        <v>30</v>
      </c>
      <c r="V594" s="52" t="n">
        <v>301.99</v>
      </c>
      <c r="W594" s="0" t="inlineStr">
        <is>
          <t>2026-08-29</t>
        </is>
      </c>
      <c r="X594" s="0" t="inlineStr">
        <is>
          <t>N/A</t>
        </is>
      </c>
      <c r="Y594" s="0" t="inlineStr">
        <is>
          <t>N/A</t>
        </is>
      </c>
      <c r="Z594" s="0" t="inlineStr">
        <is>
          <t>N/A</t>
        </is>
      </c>
      <c r="AA594" s="0" t="inlineStr">
        <is>
          <t>N/A</t>
        </is>
      </c>
    </row>
    <row r="595" ht="15.75" customHeight="1" s="51">
      <c r="A595" s="43" t="inlineStr">
        <is>
          <t>HYP-059-03</t>
        </is>
      </c>
      <c r="B595" s="43" t="inlineStr">
        <is>
          <t>Hypnos</t>
        </is>
      </c>
      <c r="C595" s="43" t="inlineStr">
        <is>
          <t>Smartphones &amp; Tablets</t>
        </is>
      </c>
      <c r="D595" s="43" t="inlineStr">
        <is>
          <t>Tablet</t>
        </is>
      </c>
      <c r="E595" s="44" t="inlineStr">
        <is>
          <t>Hypnos Titan Plus 8" Mini Tablet</t>
        </is>
      </c>
      <c r="F595" s="45" t="n">
        <v>373.99</v>
      </c>
      <c r="G595" s="43" t="inlineStr">
        <is>
          <t>the Titan Plus; Hypnos Titan Plus; Hypons Titan Plus; Titan Plus tablet</t>
        </is>
      </c>
      <c r="H595" s="43" t="inlineStr">
        <is>
          <t>1 year limited</t>
        </is>
      </c>
      <c r="I595" s="43" t="inlineStr">
        <is>
          <t>FCC, CE, TUV Rheinland Low Blue Light</t>
        </is>
      </c>
      <c r="J595" s="43" t="inlineStr">
        <is>
          <t>MediaTek Dimensity 7300</t>
        </is>
      </c>
      <c r="K595" s="43" t="inlineStr">
        <is>
          <t>Arm Mali-G615 MC2</t>
        </is>
      </c>
      <c r="L595" s="43" t="inlineStr">
        <is>
          <t>IPS LCD, 60Hz</t>
        </is>
      </c>
      <c r="M595" s="43" t="inlineStr">
        <is>
          <t>1200x1920</t>
        </is>
      </c>
      <c r="N595" s="43" t="inlineStr">
        <is>
          <t>USB-C (USB 2.0), microSD slot</t>
        </is>
      </c>
      <c r="O595" s="43" t="inlineStr">
        <is>
          <t>Android 15</t>
        </is>
      </c>
      <c r="P595" s="43" t="n">
        <v>9</v>
      </c>
      <c r="Q595" s="46" t="n">
        <v>306</v>
      </c>
      <c r="R595" s="43" t="inlineStr">
        <is>
          <t>Lighter than Eunomia Volt SE 8" Mini Tablet [EUN-056-06] (306 g vs 322 g); Lower price than Circe Spark 8" Mini Tablet [CIR-068-02] ($373.99 vs $482.99)</t>
        </is>
      </c>
      <c r="S595" s="43" t="inlineStr">
        <is>
          <t>reading, travel, gaming</t>
        </is>
      </c>
      <c r="T595" s="0" t="inlineStr">
        <is>
          <t>out_of_stock</t>
        </is>
      </c>
      <c r="U595" s="0" t="n">
        <v>30</v>
      </c>
      <c r="V595" s="52" t="n">
        <v>401.99</v>
      </c>
      <c r="W595" s="0" t="inlineStr">
        <is>
          <t>2026-08-01</t>
        </is>
      </c>
      <c r="X595" s="0" t="inlineStr">
        <is>
          <t>N/A</t>
        </is>
      </c>
      <c r="Y595" s="0" t="inlineStr">
        <is>
          <t>N/A</t>
        </is>
      </c>
      <c r="Z595" s="0" t="inlineStr">
        <is>
          <t>N/A</t>
        </is>
      </c>
      <c r="AA595" s="0" t="inlineStr">
        <is>
          <t>N/A</t>
        </is>
      </c>
    </row>
    <row r="596" ht="15.75" customHeight="1" s="51">
      <c r="A596" s="43" t="inlineStr">
        <is>
          <t>HYP-059-04</t>
        </is>
      </c>
      <c r="B596" s="43" t="inlineStr">
        <is>
          <t>Hypnos</t>
        </is>
      </c>
      <c r="C596" s="43" t="inlineStr">
        <is>
          <t>Smartphones &amp; Tablets</t>
        </is>
      </c>
      <c r="D596" s="43" t="inlineStr">
        <is>
          <t>Smartphone</t>
        </is>
      </c>
      <c r="E596" s="44" t="inlineStr">
        <is>
          <t>Hypnos Nimbus Plus Rugged Smartphone</t>
        </is>
      </c>
      <c r="F596" s="45" t="n">
        <v>567.99</v>
      </c>
      <c r="G596" s="43" t="inlineStr">
        <is>
          <t>the Nimbus Plus; Hypnos Nimbus Plus; Hypons Nimbus Plus; Nimbus Plus smartphone</t>
        </is>
      </c>
      <c r="H596" s="43" t="inlineStr">
        <is>
          <t>2 year limited</t>
        </is>
      </c>
      <c r="I596" s="43" t="inlineStr">
        <is>
          <t>FCC, CE, IP69K, MIL-STD-810H</t>
        </is>
      </c>
      <c r="J596" s="43" t="inlineStr">
        <is>
          <t>Qualcomm Snapdragon 7+ Gen 3</t>
        </is>
      </c>
      <c r="K596" s="43" t="inlineStr">
        <is>
          <t>Qualcomm Adreno 732</t>
        </is>
      </c>
      <c r="L596" s="43" t="inlineStr">
        <is>
          <t>IPS LCD, Gorilla Glass Victus, 120Hz</t>
        </is>
      </c>
      <c r="M596" s="43" t="inlineStr">
        <is>
          <t>1080x2400</t>
        </is>
      </c>
      <c r="N596" s="43" t="inlineStr">
        <is>
          <t>USB-C (USB 2.0), nano-SIM + eSIM, 3.5mm headphone jack, microSD slot</t>
        </is>
      </c>
      <c r="O596" s="43" t="inlineStr">
        <is>
          <t>Android 15</t>
        </is>
      </c>
      <c r="P596" s="43" t="n">
        <v>39</v>
      </c>
      <c r="Q596" s="46" t="n">
        <v>322</v>
      </c>
      <c r="R596" s="43" t="inlineStr">
        <is>
          <t>Lower price than Peitho Crest X Rugged Smartphone [PEI-083-05] ($567.99 vs $768.99); Longer battery than Alpheus Halo Pro Rugged Smartphone [ALP-082-06] (39 vs 31 hrs)</t>
        </is>
      </c>
      <c r="S596" s="43" t="inlineStr">
        <is>
          <t>outdoor, construction, fieldwork</t>
        </is>
      </c>
      <c r="T596" s="0" t="inlineStr">
        <is>
          <t>low_stock</t>
        </is>
      </c>
      <c r="U596" s="0" t="n">
        <v>30</v>
      </c>
      <c r="V596" s="52" t="n">
        <v>589.99</v>
      </c>
      <c r="W596" s="0" t="inlineStr">
        <is>
          <t>2026-08-19</t>
        </is>
      </c>
      <c r="X596" s="0" t="inlineStr">
        <is>
          <t>N/A</t>
        </is>
      </c>
      <c r="Y596" s="0" t="inlineStr">
        <is>
          <t>N/A</t>
        </is>
      </c>
      <c r="Z596" s="0" t="inlineStr">
        <is>
          <t>N/A</t>
        </is>
      </c>
      <c r="AA596" s="0" t="inlineStr">
        <is>
          <t>N/A</t>
        </is>
      </c>
    </row>
    <row r="597" ht="15.75" customHeight="1" s="51">
      <c r="A597" s="43" t="inlineStr">
        <is>
          <t>HYP-059-05</t>
        </is>
      </c>
      <c r="B597" s="43" t="inlineStr">
        <is>
          <t>Hypnos</t>
        </is>
      </c>
      <c r="C597" s="43" t="inlineStr">
        <is>
          <t>Smartphones &amp; Tablets</t>
        </is>
      </c>
      <c r="D597" s="43" t="inlineStr">
        <is>
          <t>Tablet</t>
        </is>
      </c>
      <c r="E597" s="44" t="inlineStr">
        <is>
          <t>Hypnos Axis Ultra E-Ink Note Tablet</t>
        </is>
      </c>
      <c r="F597" s="45" t="n">
        <v>601.99</v>
      </c>
      <c r="G597" s="43" t="inlineStr">
        <is>
          <t>the Axis Ultra; Hypnos Axis Ultra; Hynpos Axis Ultra; Axis Ultra tablet</t>
        </is>
      </c>
      <c r="H597" s="43" t="inlineStr">
        <is>
          <t>2 year limited</t>
        </is>
      </c>
      <c r="I597" s="43" t="inlineStr">
        <is>
          <t>FCC, CE, TUV Rheinland Low Blue Light, Energy Star</t>
        </is>
      </c>
      <c r="J597" s="43" t="inlineStr">
        <is>
          <t>Rockchip RK3566</t>
        </is>
      </c>
      <c r="K597" s="43" t="inlineStr">
        <is>
          <t>Arm Mali-G52 2EE</t>
        </is>
      </c>
      <c r="L597" s="43" t="inlineStr">
        <is>
          <t>E Ink Carta 1300, front-lit</t>
        </is>
      </c>
      <c r="M597" s="43" t="inlineStr">
        <is>
          <t>1404x1872</t>
        </is>
      </c>
      <c r="N597" s="43" t="inlineStr">
        <is>
          <t>USB-C (USB 2.0), microSD slot</t>
        </is>
      </c>
      <c r="O597" s="43" t="inlineStr">
        <is>
          <t>Android 13 (E Ink optimized)</t>
        </is>
      </c>
      <c r="P597" s="43" t="n">
        <v>127</v>
      </c>
      <c r="Q597" s="46" t="n">
        <v>384</v>
      </c>
      <c r="R597" s="43" t="inlineStr">
        <is>
          <t>Lighter than Hephaestus Onyx Max E-Ink Note Tablet [HEP-076-03] (384 g vs 395 g); Lower price than Oceanus Nova Plus E-Ink Note Tablet [OCE-060-03] ($601.99 vs $613.99)</t>
        </is>
      </c>
      <c r="S597" s="43" t="inlineStr">
        <is>
          <t>reading, note-taking, school</t>
        </is>
      </c>
      <c r="T597" s="0" t="inlineStr">
        <is>
          <t>low_stock</t>
        </is>
      </c>
      <c r="U597" s="0" t="n">
        <v>30</v>
      </c>
      <c r="V597" s="52" t="n">
        <v>635.99</v>
      </c>
      <c r="W597" s="0" t="inlineStr">
        <is>
          <t>2026-09-19</t>
        </is>
      </c>
      <c r="X597" s="0" t="inlineStr">
        <is>
          <t>N/A</t>
        </is>
      </c>
      <c r="Y597" s="0" t="inlineStr">
        <is>
          <t>N/A</t>
        </is>
      </c>
      <c r="Z597" s="0" t="inlineStr">
        <is>
          <t>N/A</t>
        </is>
      </c>
      <c r="AA597" s="0" t="inlineStr">
        <is>
          <t>N/A</t>
        </is>
      </c>
    </row>
    <row r="598" ht="15.75" customHeight="1" s="51">
      <c r="A598" s="43" t="inlineStr">
        <is>
          <t>HYP-059-06</t>
        </is>
      </c>
      <c r="B598" s="43" t="inlineStr">
        <is>
          <t>Hypnos</t>
        </is>
      </c>
      <c r="C598" s="43" t="inlineStr">
        <is>
          <t>Smartphones &amp; Tablets</t>
        </is>
      </c>
      <c r="D598" s="43" t="inlineStr">
        <is>
          <t>Smartphone</t>
        </is>
      </c>
      <c r="E598" s="44" t="inlineStr">
        <is>
          <t>Hypnos Core Air Compact Smartphone</t>
        </is>
      </c>
      <c r="F598" s="45" t="n">
        <v>624.99</v>
      </c>
      <c r="G598" s="43" t="inlineStr">
        <is>
          <t>the Core Air; Hypnos Core Air; Hypnoss Core Air; Core Air smartphone</t>
        </is>
      </c>
      <c r="H598" s="43" t="inlineStr">
        <is>
          <t>1 year limited</t>
        </is>
      </c>
      <c r="I598" s="43" t="inlineStr">
        <is>
          <t>FCC, CE, IP68</t>
        </is>
      </c>
      <c r="J598" s="43" t="inlineStr">
        <is>
          <t>Qualcomm Snapdragon 7+ Gen 3</t>
        </is>
      </c>
      <c r="K598" s="43" t="inlineStr">
        <is>
          <t>Qualcomm Adreno 732</t>
        </is>
      </c>
      <c r="L598" s="43" t="inlineStr">
        <is>
          <t>AMOLED, 120Hz</t>
        </is>
      </c>
      <c r="M598" s="43" t="inlineStr">
        <is>
          <t>1080x2340</t>
        </is>
      </c>
      <c r="N598" s="43" t="inlineStr">
        <is>
          <t>USB-C (USB 2.0), nano-SIM + eSIM</t>
        </is>
      </c>
      <c r="O598" s="43" t="inlineStr">
        <is>
          <t>Android 15</t>
        </is>
      </c>
      <c r="P598" s="43" t="n">
        <v>18</v>
      </c>
      <c r="Q598" s="46" t="n">
        <v>151</v>
      </c>
      <c r="R598" s="43" t="inlineStr">
        <is>
          <t>Lighter than Eupheme Spark Lite Compact Smartphone [EUP-084-06] (151 g vs 156 g); Lower price than Peitho Vibe X Compact Smartphone [PEI-083-06] ($624.99 vs $803.99)</t>
        </is>
      </c>
      <c r="S598" s="43" t="inlineStr">
        <is>
          <t>everyday, one-handed use</t>
        </is>
      </c>
      <c r="T598" s="0" t="inlineStr">
        <is>
          <t>in_stock</t>
        </is>
      </c>
      <c r="U598" s="0" t="n">
        <v>30</v>
      </c>
      <c r="V598" s="52" t="n">
        <v>707.99</v>
      </c>
      <c r="W598" s="0" t="inlineStr">
        <is>
          <t>2026-08-08</t>
        </is>
      </c>
      <c r="X598" s="0" t="inlineStr">
        <is>
          <t>N/A</t>
        </is>
      </c>
      <c r="Y598" s="0" t="inlineStr">
        <is>
          <t>N/A</t>
        </is>
      </c>
      <c r="Z598" s="0" t="inlineStr">
        <is>
          <t>N/A</t>
        </is>
      </c>
      <c r="AA598" s="0" t="inlineStr">
        <is>
          <t>N/A</t>
        </is>
      </c>
    </row>
    <row r="599" ht="15.75" customHeight="1" s="51">
      <c r="A599" s="43" t="inlineStr">
        <is>
          <t>HYP-059-07</t>
        </is>
      </c>
      <c r="B599" s="43" t="inlineStr">
        <is>
          <t>Hypnos</t>
        </is>
      </c>
      <c r="C599" s="43" t="inlineStr">
        <is>
          <t>Smartphones &amp; Tablets</t>
        </is>
      </c>
      <c r="D599" s="43" t="inlineStr">
        <is>
          <t>Tablet</t>
        </is>
      </c>
      <c r="E599" s="44" t="inlineStr">
        <is>
          <t>Hypnos Onyx Max 11" Tablet</t>
        </is>
      </c>
      <c r="F599" s="45" t="n">
        <v>674.99</v>
      </c>
      <c r="G599" s="43" t="inlineStr">
        <is>
          <t>the Onyx Max; Hypnos Onyx Max; Hpynos Onyx Max; Onyx Max tablet</t>
        </is>
      </c>
      <c r="H599" s="43" t="inlineStr">
        <is>
          <t>2 year limited</t>
        </is>
      </c>
      <c r="I599" s="43" t="inlineStr">
        <is>
          <t>FCC, CE, Energy Star</t>
        </is>
      </c>
      <c r="J599" s="43" t="inlineStr">
        <is>
          <t>MediaTek Dimensity 8300</t>
        </is>
      </c>
      <c r="K599" s="43" t="inlineStr">
        <is>
          <t>Arm Mali-G615 MC6</t>
        </is>
      </c>
      <c r="L599" s="43" t="inlineStr">
        <is>
          <t>OLED, 120Hz</t>
        </is>
      </c>
      <c r="M599" s="43" t="inlineStr">
        <is>
          <t>1752x2800</t>
        </is>
      </c>
      <c r="N599" s="43" t="inlineStr">
        <is>
          <t>USB-C (USB 2.0), microSD slot</t>
        </is>
      </c>
      <c r="O599" s="43" t="inlineStr">
        <is>
          <t>Android 15</t>
        </is>
      </c>
      <c r="P599" s="43" t="n">
        <v>14</v>
      </c>
      <c r="Q599" s="46" t="n">
        <v>487</v>
      </c>
      <c r="R599" s="43" t="inlineStr">
        <is>
          <t>Lighter than Aletheia Zen Plus 11" Tablet [ALE-089-04] (487 g vs 490 g); Longer battery than Pallas Spark 11" Tablet [PAL-057-03] (14 vs 13 hrs)</t>
        </is>
      </c>
      <c r="S599" s="43" t="inlineStr">
        <is>
          <t>school, streaming, reading</t>
        </is>
      </c>
      <c r="T599" s="0" t="inlineStr">
        <is>
          <t>low_stock</t>
        </is>
      </c>
      <c r="U599" s="0" t="n">
        <v>30</v>
      </c>
      <c r="V599" s="52" t="n">
        <v>763.99</v>
      </c>
      <c r="W599" s="0" t="inlineStr">
        <is>
          <t>2026-09-18</t>
        </is>
      </c>
      <c r="X599" s="0" t="inlineStr">
        <is>
          <t>N/A</t>
        </is>
      </c>
      <c r="Y599" s="0" t="inlineStr">
        <is>
          <t>N/A</t>
        </is>
      </c>
      <c r="Z599" s="0" t="inlineStr">
        <is>
          <t>N/A</t>
        </is>
      </c>
      <c r="AA599" s="0" t="inlineStr">
        <is>
          <t>N/A</t>
        </is>
      </c>
    </row>
    <row r="600" ht="15.75" customHeight="1" s="51">
      <c r="A600" s="43" t="inlineStr">
        <is>
          <t>HYP-059-08</t>
        </is>
      </c>
      <c r="B600" s="43" t="inlineStr">
        <is>
          <t>Hypnos</t>
        </is>
      </c>
      <c r="C600" s="43" t="inlineStr">
        <is>
          <t>Smartphones &amp; Tablets</t>
        </is>
      </c>
      <c r="D600" s="43" t="inlineStr">
        <is>
          <t>Smartphone</t>
        </is>
      </c>
      <c r="E600" s="44" t="inlineStr">
        <is>
          <t>Hypnos Spark Pro Flagship Smartphone</t>
        </is>
      </c>
      <c r="F600" s="45" t="n">
        <v>1110.99</v>
      </c>
      <c r="G600" s="43" t="inlineStr">
        <is>
          <t>the Spark Pro; Hypnos Spark Pro; Hypnnos Spark Pro; Spark Pro smartphone</t>
        </is>
      </c>
      <c r="H600" s="43" t="inlineStr">
        <is>
          <t>1 year limited</t>
        </is>
      </c>
      <c r="I600" s="43" t="inlineStr">
        <is>
          <t>FCC, CE, IP68, Qi2</t>
        </is>
      </c>
      <c r="J600" s="43" t="inlineStr">
        <is>
          <t>MediaTek Dimensity 9400</t>
        </is>
      </c>
      <c r="K600" s="43" t="inlineStr">
        <is>
          <t>Arm Immortalis-G925</t>
        </is>
      </c>
      <c r="L600" s="43" t="inlineStr">
        <is>
          <t>LTPO AMOLED, 1-120Hz</t>
        </is>
      </c>
      <c r="M600" s="43" t="inlineStr">
        <is>
          <t>1440x3120</t>
        </is>
      </c>
      <c r="N600" s="43" t="inlineStr">
        <is>
          <t>USB-C (USB 3.2), nano-SIM + eSIM</t>
        </is>
      </c>
      <c r="O600" s="43" t="inlineStr">
        <is>
          <t>Android 15</t>
        </is>
      </c>
      <c r="P600" s="43" t="n">
        <v>27</v>
      </c>
      <c r="Q600" s="46" t="n">
        <v>195</v>
      </c>
      <c r="R600" s="43" t="inlineStr">
        <is>
          <t>Longer battery than Epimetheus Orbit Flagship Smartphone [EPI-091-06] (27 vs 23 hrs); Lower price than Paean Vibe SE Flagship Smartphone [PAE-066-09] ($1,110.99 vs $1,191.99)</t>
        </is>
      </c>
      <c r="S600" s="43" t="inlineStr">
        <is>
          <t>photography, everyday, business</t>
        </is>
      </c>
      <c r="T600" s="0" t="inlineStr">
        <is>
          <t>in_stock</t>
        </is>
      </c>
      <c r="U600" s="0" t="n">
        <v>30</v>
      </c>
      <c r="V600" s="52" t="n">
        <v>1189.99</v>
      </c>
      <c r="W600" s="0" t="inlineStr">
        <is>
          <t>2026-09-01</t>
        </is>
      </c>
      <c r="X600" s="0" t="inlineStr">
        <is>
          <t>N/A</t>
        </is>
      </c>
      <c r="Y600" s="0" t="inlineStr">
        <is>
          <t>N/A</t>
        </is>
      </c>
      <c r="Z600" s="0" t="inlineStr">
        <is>
          <t>N/A</t>
        </is>
      </c>
      <c r="AA600" s="0" t="inlineStr">
        <is>
          <t>N/A</t>
        </is>
      </c>
    </row>
    <row r="601" ht="15.75" customHeight="1" s="51">
      <c r="A601" s="43" t="inlineStr">
        <is>
          <t>HYP-059-09</t>
        </is>
      </c>
      <c r="B601" s="43" t="inlineStr">
        <is>
          <t>Hypnos</t>
        </is>
      </c>
      <c r="C601" s="43" t="inlineStr">
        <is>
          <t>Smartphones &amp; Tablets</t>
        </is>
      </c>
      <c r="D601" s="43" t="inlineStr">
        <is>
          <t>Tablet</t>
        </is>
      </c>
      <c r="E601" s="44" t="inlineStr">
        <is>
          <t>Hypnos Aeon Air 13" Pro Tablet</t>
        </is>
      </c>
      <c r="F601" s="45" t="n">
        <v>1175.99</v>
      </c>
      <c r="G601" s="43" t="inlineStr">
        <is>
          <t>the Aeon Air; Hypnos Aeon Air; Hypno Aeon Air; Aeon Air tablet</t>
        </is>
      </c>
      <c r="H601" s="43" t="inlineStr">
        <is>
          <t>1 year limited</t>
        </is>
      </c>
      <c r="I601" s="43" t="inlineStr">
        <is>
          <t>FCC, CE</t>
        </is>
      </c>
      <c r="J601" s="43" t="inlineStr">
        <is>
          <t>MediaTek Dimensity 9400</t>
        </is>
      </c>
      <c r="K601" s="43" t="inlineStr">
        <is>
          <t>Arm Immortalis-G925</t>
        </is>
      </c>
      <c r="L601" s="43" t="inlineStr">
        <is>
          <t>OLED, 120Hz</t>
        </is>
      </c>
      <c r="M601" s="43" t="inlineStr">
        <is>
          <t>2800x1752</t>
        </is>
      </c>
      <c r="N601" s="43" t="inlineStr">
        <is>
          <t>USB-C (USB 3.2), magnetic keyboard connector</t>
        </is>
      </c>
      <c r="O601" s="43" t="inlineStr">
        <is>
          <t>Android 15</t>
        </is>
      </c>
      <c r="P601" s="43" t="n">
        <v>11</v>
      </c>
      <c r="Q601" s="46" t="n">
        <v>655</v>
      </c>
      <c r="R601" s="43" t="inlineStr">
        <is>
          <t>Lower price than Pan Aria Plus 13" Pro Tablet [PAN-097-10] ($1,175.99 vs $1,715.99); Lighter than Pothos Orbit Max 13" Pro Tablet [POT-072-07] (655 g vs 661 g)</t>
        </is>
      </c>
      <c r="S601" s="43" t="inlineStr">
        <is>
          <t>creative work, productivity, drawing</t>
        </is>
      </c>
      <c r="T601" s="0" t="inlineStr">
        <is>
          <t>in_stock</t>
        </is>
      </c>
      <c r="U601" s="0" t="n">
        <v>30</v>
      </c>
      <c r="V601" s="52" t="n">
        <v>1259.99</v>
      </c>
      <c r="W601" s="0" t="inlineStr">
        <is>
          <t>2026-08-17</t>
        </is>
      </c>
      <c r="X601" s="0" t="inlineStr">
        <is>
          <t>N/A</t>
        </is>
      </c>
      <c r="Y601" s="0" t="inlineStr">
        <is>
          <t>N/A</t>
        </is>
      </c>
      <c r="Z601" s="0" t="inlineStr">
        <is>
          <t>N/A</t>
        </is>
      </c>
      <c r="AA601" s="0" t="inlineStr">
        <is>
          <t>N/A</t>
        </is>
      </c>
    </row>
    <row r="602" ht="15.75" customHeight="1" s="51">
      <c r="A602" s="43" t="inlineStr">
        <is>
          <t>HYP-059-10</t>
        </is>
      </c>
      <c r="B602" s="43" t="inlineStr">
        <is>
          <t>Hypnos</t>
        </is>
      </c>
      <c r="C602" s="43" t="inlineStr">
        <is>
          <t>Smartphones &amp; Tablets</t>
        </is>
      </c>
      <c r="D602" s="43" t="inlineStr">
        <is>
          <t>Smartphone</t>
        </is>
      </c>
      <c r="E602" s="44" t="inlineStr">
        <is>
          <t>Hypnos Prism Pro Foldable Phone</t>
        </is>
      </c>
      <c r="F602" s="45" t="n">
        <v>2087.99</v>
      </c>
      <c r="G602" s="43" t="inlineStr">
        <is>
          <t>the Prism Pro; Hypnos Prism Pro; Hpynos Prism Pro; Prism Pro smartphone</t>
        </is>
      </c>
      <c r="H602" s="43" t="inlineStr">
        <is>
          <t>2 year limited</t>
        </is>
      </c>
      <c r="I602" s="43" t="inlineStr">
        <is>
          <t>FCC, CE, IPX8</t>
        </is>
      </c>
      <c r="J602" s="43" t="inlineStr">
        <is>
          <t>Qualcomm Snapdragon 8 Elite</t>
        </is>
      </c>
      <c r="K602" s="43" t="inlineStr">
        <is>
          <t>Qualcomm Adreno 830</t>
        </is>
      </c>
      <c r="L602" s="43" t="inlineStr">
        <is>
          <t>Foldable LTPO AMOLED inner + AMOLED cover, 120Hz</t>
        </is>
      </c>
      <c r="M602" s="43" t="inlineStr">
        <is>
          <t>2160x1856 inner / 1080x2376 cover</t>
        </is>
      </c>
      <c r="N602" s="43" t="inlineStr">
        <is>
          <t>USB-C (USB 3.2), nano-SIM + eSIM</t>
        </is>
      </c>
      <c r="O602" s="43" t="inlineStr">
        <is>
          <t>Android 15</t>
        </is>
      </c>
      <c r="P602" s="43" t="n">
        <v>26</v>
      </c>
      <c r="Q602" s="46" t="n">
        <v>264</v>
      </c>
      <c r="R602" s="43" t="inlineStr">
        <is>
          <t>Lower price than Comus Aria X Foldable Phone [COM-078-10] ($2,087.99 vs $2,133.99); Longer battery than Plutus Nimbus Lite Foldable Phone [PLU-100-10] (26 vs 22 hrs)</t>
        </is>
      </c>
      <c r="S602" s="43" t="inlineStr">
        <is>
          <t>multitasking, business, media</t>
        </is>
      </c>
      <c r="T602" s="0" t="inlineStr">
        <is>
          <t>in_stock</t>
        </is>
      </c>
      <c r="U602" s="0" t="n">
        <v>30</v>
      </c>
      <c r="V602" s="52" t="n">
        <v>2276.99</v>
      </c>
      <c r="W602" s="0" t="inlineStr">
        <is>
          <t>2026-08-18</t>
        </is>
      </c>
      <c r="X602" s="0" t="inlineStr">
        <is>
          <t>N/A</t>
        </is>
      </c>
      <c r="Y602" s="0" t="inlineStr">
        <is>
          <t>N/A</t>
        </is>
      </c>
      <c r="Z602" s="0" t="inlineStr">
        <is>
          <t>N/A</t>
        </is>
      </c>
      <c r="AA602" s="0" t="inlineStr">
        <is>
          <t>N/A</t>
        </is>
      </c>
    </row>
    <row r="603" ht="15.75" customHeight="1" s="51">
      <c r="A603" s="43" t="inlineStr">
        <is>
          <t>OCE-060-01</t>
        </is>
      </c>
      <c r="B603" s="43" t="inlineStr">
        <is>
          <t>Oceanus</t>
        </is>
      </c>
      <c r="C603" s="43" t="inlineStr">
        <is>
          <t>Smartphones &amp; Tablets</t>
        </is>
      </c>
      <c r="D603" s="43" t="inlineStr">
        <is>
          <t>Tablet</t>
        </is>
      </c>
      <c r="E603" s="44" t="inlineStr">
        <is>
          <t>Oceanus Aria Air Kids Tablet</t>
        </is>
      </c>
      <c r="F603" s="45" t="n">
        <v>103.99</v>
      </c>
      <c r="G603" s="43" t="inlineStr">
        <is>
          <t>the Aria Air; Oceanus Aria Air; Okeanus Aria Air; Aria Air tablet</t>
        </is>
      </c>
      <c r="H603" s="43" t="inlineStr">
        <is>
          <t>1 year limited</t>
        </is>
      </c>
      <c r="I603" s="43" t="inlineStr">
        <is>
          <t>FCC, CE, TUV Rheinland Low Blue Light, EN 71 Toy Safety</t>
        </is>
      </c>
      <c r="J603" s="43" t="inlineStr">
        <is>
          <t>MediaTek Helio G88</t>
        </is>
      </c>
      <c r="K603" s="43" t="inlineStr">
        <is>
          <t>Arm Mali-G52 MC2</t>
        </is>
      </c>
      <c r="L603" s="43" t="inlineStr">
        <is>
          <t>IPS LCD, 60Hz</t>
        </is>
      </c>
      <c r="M603" s="43" t="inlineStr">
        <is>
          <t>800x1280</t>
        </is>
      </c>
      <c r="N603" s="43" t="inlineStr">
        <is>
          <t>USB-C (USB 2.0), microSD slot</t>
        </is>
      </c>
      <c r="O603" s="43" t="inlineStr">
        <is>
          <t>Android 14 with parental controls</t>
        </is>
      </c>
      <c r="P603" s="43" t="n">
        <v>10</v>
      </c>
      <c r="Q603" s="46" t="n">
        <v>440</v>
      </c>
      <c r="R603" s="43" t="inlineStr">
        <is>
          <t>Lower price than Comus Sable Pro Kids Tablet [COM-078-01] ($103.99 vs $151.99); Lighter than Eupheme Titan Max Kids Tablet [EUP-084-01] (440 g vs 443 g)</t>
        </is>
      </c>
      <c r="S603" s="43" t="inlineStr">
        <is>
          <t>kids, learning, games</t>
        </is>
      </c>
      <c r="T603" s="0" t="inlineStr">
        <is>
          <t>low_stock</t>
        </is>
      </c>
      <c r="U603" s="0" t="n">
        <v>30</v>
      </c>
      <c r="V603" s="52" t="n">
        <v>112.99</v>
      </c>
      <c r="W603" s="0" t="inlineStr">
        <is>
          <t>2026-08-02</t>
        </is>
      </c>
      <c r="X603" s="0" t="inlineStr">
        <is>
          <t>N/A</t>
        </is>
      </c>
      <c r="Y603" s="0" t="inlineStr">
        <is>
          <t>N/A</t>
        </is>
      </c>
      <c r="Z603" s="0" t="inlineStr">
        <is>
          <t>N/A</t>
        </is>
      </c>
      <c r="AA603" s="0" t="inlineStr">
        <is>
          <t>N/A</t>
        </is>
      </c>
    </row>
    <row r="604" ht="15.75" customHeight="1" s="51">
      <c r="A604" s="43" t="inlineStr">
        <is>
          <t>OCE-060-02</t>
        </is>
      </c>
      <c r="B604" s="43" t="inlineStr">
        <is>
          <t>Oceanus</t>
        </is>
      </c>
      <c r="C604" s="43" t="inlineStr">
        <is>
          <t>Smartphones &amp; Tablets</t>
        </is>
      </c>
      <c r="D604" s="43" t="inlineStr">
        <is>
          <t>Smartphone</t>
        </is>
      </c>
      <c r="E604" s="44" t="inlineStr">
        <is>
          <t>Oceanus Crest X Budget Smartphone</t>
        </is>
      </c>
      <c r="F604" s="45" t="n">
        <v>183.99</v>
      </c>
      <c r="G604" s="43" t="inlineStr">
        <is>
          <t>the Crest X; Oceanus Crest X; Okeanus Crest X; Crest X smartphone</t>
        </is>
      </c>
      <c r="H604" s="43" t="inlineStr">
        <is>
          <t>1 year limited</t>
        </is>
      </c>
      <c r="I604" s="43" t="inlineStr">
        <is>
          <t>FCC, CE, IP54</t>
        </is>
      </c>
      <c r="J604" s="43" t="inlineStr">
        <is>
          <t>MediaTek Helio G99</t>
        </is>
      </c>
      <c r="K604" s="43" t="inlineStr">
        <is>
          <t>Arm Mali-G57 MC2</t>
        </is>
      </c>
      <c r="L604" s="43" t="inlineStr">
        <is>
          <t>IPS LCD, 90Hz</t>
        </is>
      </c>
      <c r="M604" s="43" t="inlineStr">
        <is>
          <t>720x1600</t>
        </is>
      </c>
      <c r="N604" s="43" t="inlineStr">
        <is>
          <t>USB-C (USB 2.0), nano-SIM + eSIM, 3.5mm headphone jack, microSD slot</t>
        </is>
      </c>
      <c r="O604" s="43" t="inlineStr">
        <is>
          <t>Android 14</t>
        </is>
      </c>
      <c r="P604" s="43" t="n">
        <v>30</v>
      </c>
      <c r="Q604" s="46" t="n">
        <v>195</v>
      </c>
      <c r="R604" s="43" t="inlineStr">
        <is>
          <t>Lighter than Pallas Lumen Plus Budget Smartphone [PAL-057-02] (195 g vs 201 g); Lower price than Eupheme Echo Max Budget Smartphone [EUP-084-02] ($183.99 vs $277.99)</t>
        </is>
      </c>
      <c r="S604" s="43" t="inlineStr">
        <is>
          <t>budget, first phone, everyday</t>
        </is>
      </c>
      <c r="T604" s="0" t="inlineStr">
        <is>
          <t>in_stock</t>
        </is>
      </c>
      <c r="U604" s="0" t="n">
        <v>30</v>
      </c>
      <c r="V604" s="52" t="n">
        <v>210.99</v>
      </c>
      <c r="W604" s="0" t="inlineStr">
        <is>
          <t>2026-08-31</t>
        </is>
      </c>
      <c r="X604" s="0" t="inlineStr">
        <is>
          <t>N/A</t>
        </is>
      </c>
      <c r="Y604" s="0" t="inlineStr">
        <is>
          <t>N/A</t>
        </is>
      </c>
      <c r="Z604" s="0" t="inlineStr">
        <is>
          <t>N/A</t>
        </is>
      </c>
      <c r="AA604" s="0" t="inlineStr">
        <is>
          <t>N/A</t>
        </is>
      </c>
    </row>
    <row r="605" ht="15.75" customHeight="1" s="51">
      <c r="A605" s="43" t="inlineStr">
        <is>
          <t>OCE-060-03</t>
        </is>
      </c>
      <c r="B605" s="43" t="inlineStr">
        <is>
          <t>Oceanus</t>
        </is>
      </c>
      <c r="C605" s="43" t="inlineStr">
        <is>
          <t>Smartphones &amp; Tablets</t>
        </is>
      </c>
      <c r="D605" s="43" t="inlineStr">
        <is>
          <t>Tablet</t>
        </is>
      </c>
      <c r="E605" s="44" t="inlineStr">
        <is>
          <t>Oceanus Nova Plus E-Ink Note Tablet</t>
        </is>
      </c>
      <c r="F605" s="45" t="n">
        <v>613.99</v>
      </c>
      <c r="G605" s="43" t="inlineStr">
        <is>
          <t>the Nova Plus; Oceanus Nova Plus; Oceaanus Nova Plus; Nova Plus tablet</t>
        </is>
      </c>
      <c r="H605" s="43" t="inlineStr">
        <is>
          <t>2 year limited</t>
        </is>
      </c>
      <c r="I605" s="43" t="inlineStr">
        <is>
          <t>FCC, CE, TUV Rheinland Low Blue Light, Energy Star</t>
        </is>
      </c>
      <c r="J605" s="43" t="inlineStr">
        <is>
          <t>Rockchip RK3566</t>
        </is>
      </c>
      <c r="K605" s="43" t="inlineStr">
        <is>
          <t>Arm Mali-G52 2EE</t>
        </is>
      </c>
      <c r="L605" s="43" t="inlineStr">
        <is>
          <t>E Ink Carta 1300, front-lit</t>
        </is>
      </c>
      <c r="M605" s="43" t="inlineStr">
        <is>
          <t>1404x1872</t>
        </is>
      </c>
      <c r="N605" s="43" t="inlineStr">
        <is>
          <t>USB-C (USB 2.0), microSD slot</t>
        </is>
      </c>
      <c r="O605" s="43" t="inlineStr">
        <is>
          <t>Android 13 (E Ink optimized)</t>
        </is>
      </c>
      <c r="P605" s="43" t="n">
        <v>156</v>
      </c>
      <c r="Q605" s="46" t="n">
        <v>440</v>
      </c>
      <c r="R605" s="43" t="inlineStr">
        <is>
          <t>Longer battery than Hypnos Axis Ultra E-Ink Note Tablet [HYP-059-05] (156 vs 127 hrs); Lower price than Circe Orbit Plus E-Ink Note Tablet [CIR-068-03] ($613.99 vs $650.99)</t>
        </is>
      </c>
      <c r="S605" s="43" t="inlineStr">
        <is>
          <t>reading, note-taking, school</t>
        </is>
      </c>
      <c r="T605" s="0" t="inlineStr">
        <is>
          <t>low_stock</t>
        </is>
      </c>
      <c r="U605" s="0" t="n">
        <v>30</v>
      </c>
      <c r="V605" s="52" t="n">
        <v>689.99</v>
      </c>
      <c r="W605" s="0" t="inlineStr">
        <is>
          <t>2026-08-14</t>
        </is>
      </c>
      <c r="X605" s="0" t="inlineStr">
        <is>
          <t>N/A</t>
        </is>
      </c>
      <c r="Y605" s="0" t="inlineStr">
        <is>
          <t>N/A</t>
        </is>
      </c>
      <c r="Z605" s="0" t="inlineStr">
        <is>
          <t>N/A</t>
        </is>
      </c>
      <c r="AA605" s="0" t="inlineStr">
        <is>
          <t>N/A</t>
        </is>
      </c>
    </row>
    <row r="606" ht="15.75" customHeight="1" s="51">
      <c r="A606" s="43" t="inlineStr">
        <is>
          <t>OCE-060-04</t>
        </is>
      </c>
      <c r="B606" s="43" t="inlineStr">
        <is>
          <t>Oceanus</t>
        </is>
      </c>
      <c r="C606" s="43" t="inlineStr">
        <is>
          <t>Smartphones &amp; Tablets</t>
        </is>
      </c>
      <c r="D606" s="43" t="inlineStr">
        <is>
          <t>Smartphone</t>
        </is>
      </c>
      <c r="E606" s="44" t="inlineStr">
        <is>
          <t>Oceanus Arc Compact Smartphone</t>
        </is>
      </c>
      <c r="F606" s="45" t="n">
        <v>620.99</v>
      </c>
      <c r="G606" s="43" t="inlineStr">
        <is>
          <t>the Arc; Oceanus Arc; Occeanus Arc; Arc smartphone</t>
        </is>
      </c>
      <c r="H606" s="43" t="inlineStr">
        <is>
          <t>1 year limited</t>
        </is>
      </c>
      <c r="I606" s="43" t="inlineStr">
        <is>
          <t>FCC, CE, IP68</t>
        </is>
      </c>
      <c r="J606" s="43" t="inlineStr">
        <is>
          <t>Qualcomm Snapdragon 7+ Gen 3</t>
        </is>
      </c>
      <c r="K606" s="43" t="inlineStr">
        <is>
          <t>Qualcomm Adreno 732</t>
        </is>
      </c>
      <c r="L606" s="43" t="inlineStr">
        <is>
          <t>AMOLED, 120Hz</t>
        </is>
      </c>
      <c r="M606" s="43" t="inlineStr">
        <is>
          <t>1080x2340</t>
        </is>
      </c>
      <c r="N606" s="43" t="inlineStr">
        <is>
          <t>USB-C (USB 2.0), nano-SIM + eSIM</t>
        </is>
      </c>
      <c r="O606" s="43" t="inlineStr">
        <is>
          <t>Android 15</t>
        </is>
      </c>
      <c r="P606" s="43" t="n">
        <v>24</v>
      </c>
      <c r="Q606" s="46" t="n">
        <v>164</v>
      </c>
      <c r="R606" s="43" t="inlineStr">
        <is>
          <t>Lower price than Helios Sable SE Compact Smartphone [HEL-073-04] ($620.99 vs $634.99); Longer battery than Iapetus Arc SE Compact Smartphone [IAP-096-05] (24 vs 18 hrs)</t>
        </is>
      </c>
      <c r="S606" s="43" t="inlineStr">
        <is>
          <t>everyday, one-handed use</t>
        </is>
      </c>
      <c r="T606" s="0" t="inlineStr">
        <is>
          <t>in_stock</t>
        </is>
      </c>
      <c r="U606" s="0" t="n">
        <v>30</v>
      </c>
      <c r="V606" s="52" t="n">
        <v>706.99</v>
      </c>
      <c r="W606" s="0" t="inlineStr">
        <is>
          <t>2026-08-31</t>
        </is>
      </c>
      <c r="X606" s="0" t="inlineStr">
        <is>
          <t>N/A</t>
        </is>
      </c>
      <c r="Y606" s="0" t="inlineStr">
        <is>
          <t>N/A</t>
        </is>
      </c>
      <c r="Z606" s="0" t="inlineStr">
        <is>
          <t>N/A</t>
        </is>
      </c>
      <c r="AA606" s="0" t="inlineStr">
        <is>
          <t>N/A</t>
        </is>
      </c>
    </row>
    <row r="607" ht="15.75" customHeight="1" s="51">
      <c r="A607" s="43" t="inlineStr">
        <is>
          <t>OCE-060-05</t>
        </is>
      </c>
      <c r="B607" s="43" t="inlineStr">
        <is>
          <t>Oceanus</t>
        </is>
      </c>
      <c r="C607" s="43" t="inlineStr">
        <is>
          <t>Smartphones &amp; Tablets</t>
        </is>
      </c>
      <c r="D607" s="43" t="inlineStr">
        <is>
          <t>Smartphone</t>
        </is>
      </c>
      <c r="E607" s="44" t="inlineStr">
        <is>
          <t>Oceanus Core Lite Rugged Smartphone</t>
        </is>
      </c>
      <c r="F607" s="45" t="n">
        <v>654.99</v>
      </c>
      <c r="G607" s="43" t="inlineStr">
        <is>
          <t>the Core Lite; Oceanus Core Lite; Oceaanus Core Lite; Core Lite smartphone</t>
        </is>
      </c>
      <c r="H607" s="43" t="inlineStr">
        <is>
          <t>2 year limited</t>
        </is>
      </c>
      <c r="I607" s="43" t="inlineStr">
        <is>
          <t>FCC, CE, IP69K, MIL-STD-810H</t>
        </is>
      </c>
      <c r="J607" s="43" t="inlineStr">
        <is>
          <t>MediaTek Dimensity 8300</t>
        </is>
      </c>
      <c r="K607" s="43" t="inlineStr">
        <is>
          <t>Arm Mali-G615 MC6</t>
        </is>
      </c>
      <c r="L607" s="43" t="inlineStr">
        <is>
          <t>IPS LCD, Gorilla Glass Victus, 120Hz</t>
        </is>
      </c>
      <c r="M607" s="43" t="inlineStr">
        <is>
          <t>1080x2400</t>
        </is>
      </c>
      <c r="N607" s="43" t="inlineStr">
        <is>
          <t>USB-C (USB 2.0), nano-SIM + eSIM, 3.5mm headphone jack, microSD slot</t>
        </is>
      </c>
      <c r="O607" s="43" t="inlineStr">
        <is>
          <t>Android 15</t>
        </is>
      </c>
      <c r="P607" s="43" t="n">
        <v>44</v>
      </c>
      <c r="Q607" s="46" t="n">
        <v>328</v>
      </c>
      <c r="R607" s="43" t="inlineStr">
        <is>
          <t>Longer battery than Pan Nova Pro Rugged Smartphone [PAN-097-04] (44 vs 30 hrs); Lighter than Comus Axis Pro Rugged Smartphone [COM-078-04] (328 g vs 334 g)</t>
        </is>
      </c>
      <c r="S607" s="43" t="inlineStr">
        <is>
          <t>outdoor, construction, fieldwork</t>
        </is>
      </c>
      <c r="T607" s="0" t="inlineStr">
        <is>
          <t>out_of_stock</t>
        </is>
      </c>
      <c r="U607" s="0" t="n">
        <v>30</v>
      </c>
      <c r="V607" s="52" t="n">
        <v>682.99</v>
      </c>
      <c r="W607" s="0" t="inlineStr">
        <is>
          <t>2026-08-14</t>
        </is>
      </c>
      <c r="X607" s="0" t="inlineStr">
        <is>
          <t>N/A</t>
        </is>
      </c>
      <c r="Y607" s="0" t="inlineStr">
        <is>
          <t>N/A</t>
        </is>
      </c>
      <c r="Z607" s="0" t="inlineStr">
        <is>
          <t>N/A</t>
        </is>
      </c>
      <c r="AA607" s="0" t="inlineStr">
        <is>
          <t>N/A</t>
        </is>
      </c>
    </row>
    <row r="608" ht="15.75" customHeight="1" s="51">
      <c r="A608" s="43" t="inlineStr">
        <is>
          <t>OCE-060-06</t>
        </is>
      </c>
      <c r="B608" s="43" t="inlineStr">
        <is>
          <t>Oceanus</t>
        </is>
      </c>
      <c r="C608" s="43" t="inlineStr">
        <is>
          <t>Smartphones &amp; Tablets</t>
        </is>
      </c>
      <c r="D608" s="43" t="inlineStr">
        <is>
          <t>Tablet</t>
        </is>
      </c>
      <c r="E608" s="44" t="inlineStr">
        <is>
          <t>Oceanus Drift Max Drawing Tablet with Stylus</t>
        </is>
      </c>
      <c r="F608" s="45" t="n">
        <v>850.99</v>
      </c>
      <c r="G608" s="43" t="inlineStr">
        <is>
          <t>the Drift Max; Oceanus Drift Max; Oceanos Drift Max; Drift Max tablet</t>
        </is>
      </c>
      <c r="H608" s="43" t="inlineStr">
        <is>
          <t>1 year limited</t>
        </is>
      </c>
      <c r="I608" s="43" t="inlineStr">
        <is>
          <t>FCC, CE, TUV Rheinland Low Blue Light, Energy Star</t>
        </is>
      </c>
      <c r="J608" s="43" t="inlineStr">
        <is>
          <t>Qualcomm Snapdragon 8 Gen 3</t>
        </is>
      </c>
      <c r="K608" s="43" t="inlineStr">
        <is>
          <t>Qualcomm Adreno 750</t>
        </is>
      </c>
      <c r="L608" s="43" t="inlineStr">
        <is>
          <t>OLED, 120Hz, pen digitizer</t>
        </is>
      </c>
      <c r="M608" s="43" t="inlineStr">
        <is>
          <t>2560x1600</t>
        </is>
      </c>
      <c r="N608" s="43" t="inlineStr">
        <is>
          <t>USB-C (USB 3.2), microSD slot</t>
        </is>
      </c>
      <c r="O608" s="43" t="inlineStr">
        <is>
          <t>Android 15</t>
        </is>
      </c>
      <c r="P608" s="43" t="n">
        <v>12</v>
      </c>
      <c r="Q608" s="46" t="n">
        <v>552</v>
      </c>
      <c r="R608" s="43" t="inlineStr">
        <is>
          <t>Lower price than Phobos Quanta X Drawing Tablet with Stylus [PHO-053-07] ($850.99 vs $1,135.99); Longer battery than Dike Vertex Lite Drawing Tablet with Stylus [DIK-099-08] (12 vs 8 hrs)</t>
        </is>
      </c>
      <c r="S608" s="43" t="inlineStr">
        <is>
          <t>drawing, design, note-taking</t>
        </is>
      </c>
      <c r="T608" s="0" t="inlineStr">
        <is>
          <t>in_stock</t>
        </is>
      </c>
      <c r="U608" s="0" t="n">
        <v>30</v>
      </c>
      <c r="V608" s="52" t="n">
        <v>924.99</v>
      </c>
      <c r="W608" s="0" t="inlineStr">
        <is>
          <t>2026-09-02</t>
        </is>
      </c>
      <c r="X608" s="0" t="inlineStr">
        <is>
          <t>N/A</t>
        </is>
      </c>
      <c r="Y608" s="0" t="inlineStr">
        <is>
          <t>N/A</t>
        </is>
      </c>
      <c r="Z608" s="0" t="inlineStr">
        <is>
          <t>N/A</t>
        </is>
      </c>
      <c r="AA608" s="0" t="inlineStr">
        <is>
          <t>N/A</t>
        </is>
      </c>
    </row>
    <row r="609" ht="15.75" customHeight="1" s="51">
      <c r="A609" s="43" t="inlineStr">
        <is>
          <t>OCE-060-07</t>
        </is>
      </c>
      <c r="B609" s="43" t="inlineStr">
        <is>
          <t>Oceanus</t>
        </is>
      </c>
      <c r="C609" s="43" t="inlineStr">
        <is>
          <t>Smartphones &amp; Tablets</t>
        </is>
      </c>
      <c r="D609" s="43" t="inlineStr">
        <is>
          <t>Tablet</t>
        </is>
      </c>
      <c r="E609" s="44" t="inlineStr">
        <is>
          <t>Oceanus Quanta Air 5G Tablet</t>
        </is>
      </c>
      <c r="F609" s="45" t="n">
        <v>1183.99</v>
      </c>
      <c r="G609" s="43" t="inlineStr">
        <is>
          <t>the Quanta Air; Oceanus Quanta Air; Oceaanus Quanta Air; Quanta Air tablet</t>
        </is>
      </c>
      <c r="H609" s="43" t="inlineStr">
        <is>
          <t>2 year limited</t>
        </is>
      </c>
      <c r="I609" s="43" t="inlineStr">
        <is>
          <t>FCC, CE, Energy Star</t>
        </is>
      </c>
      <c r="J609" s="43" t="inlineStr">
        <is>
          <t>MediaTek Dimensity 9400</t>
        </is>
      </c>
      <c r="K609" s="43" t="inlineStr">
        <is>
          <t>Arm Immortalis-G925</t>
        </is>
      </c>
      <c r="L609" s="43" t="inlineStr">
        <is>
          <t>OLED, 120Hz</t>
        </is>
      </c>
      <c r="M609" s="43" t="inlineStr">
        <is>
          <t>1752x2800</t>
        </is>
      </c>
      <c r="N609" s="43" t="inlineStr">
        <is>
          <t>USB-C (USB 3.2), magnetic keyboard connector, nano-SIM + eSIM</t>
        </is>
      </c>
      <c r="O609" s="43" t="inlineStr">
        <is>
          <t>Android 15</t>
        </is>
      </c>
      <c r="P609" s="43" t="n">
        <v>10</v>
      </c>
      <c r="Q609" s="46" t="n">
        <v>518</v>
      </c>
      <c r="R609" s="43" t="inlineStr">
        <is>
          <t>Lighter than Paean Nova Air 5G Tablet [PAE-066-05] (518 g vs 556 g); Lower price than Helios Aria 5G Tablet [HEL-073-08] ($1,183.99 vs $1,198.99)</t>
        </is>
      </c>
      <c r="S609" s="43" t="inlineStr">
        <is>
          <t>travel, streaming, work on the go</t>
        </is>
      </c>
      <c r="T609" s="0" t="inlineStr">
        <is>
          <t>in_stock</t>
        </is>
      </c>
      <c r="U609" s="0" t="n">
        <v>30</v>
      </c>
      <c r="V609" s="52" t="n">
        <v>1227.99</v>
      </c>
      <c r="W609" s="0" t="inlineStr">
        <is>
          <t>2026-09-13</t>
        </is>
      </c>
      <c r="X609" s="0" t="inlineStr">
        <is>
          <t>N/A</t>
        </is>
      </c>
      <c r="Y609" s="0" t="inlineStr">
        <is>
          <t>N/A</t>
        </is>
      </c>
      <c r="Z609" s="0" t="inlineStr">
        <is>
          <t>N/A</t>
        </is>
      </c>
      <c r="AA609" s="0" t="inlineStr">
        <is>
          <t>N/A</t>
        </is>
      </c>
    </row>
    <row r="610" ht="15.75" customHeight="1" s="51">
      <c r="A610" s="43" t="inlineStr">
        <is>
          <t>OCE-060-08</t>
        </is>
      </c>
      <c r="B610" s="43" t="inlineStr">
        <is>
          <t>Oceanus</t>
        </is>
      </c>
      <c r="C610" s="43" t="inlineStr">
        <is>
          <t>Smartphones &amp; Tablets</t>
        </is>
      </c>
      <c r="D610" s="43" t="inlineStr">
        <is>
          <t>Smartphone</t>
        </is>
      </c>
      <c r="E610" s="44" t="inlineStr">
        <is>
          <t>Oceanus Rift Air Pro Max Smartphone</t>
        </is>
      </c>
      <c r="F610" s="45" t="n">
        <v>1236.99</v>
      </c>
      <c r="G610" s="43" t="inlineStr">
        <is>
          <t>the Rift Air; Oceanus Rift Air; Okeanus Rift Air; Rift Air smartphone</t>
        </is>
      </c>
      <c r="H610" s="43" t="inlineStr">
        <is>
          <t>1 year limited</t>
        </is>
      </c>
      <c r="I610" s="43" t="inlineStr">
        <is>
          <t>FCC, CE, IP68, Qi2</t>
        </is>
      </c>
      <c r="J610" s="43" t="inlineStr">
        <is>
          <t>MediaTek Dimensity 9400</t>
        </is>
      </c>
      <c r="K610" s="43" t="inlineStr">
        <is>
          <t>Arm Immortalis-G925</t>
        </is>
      </c>
      <c r="L610" s="43" t="inlineStr">
        <is>
          <t>LTPO AMOLED, 1-120Hz</t>
        </is>
      </c>
      <c r="M610" s="43" t="inlineStr">
        <is>
          <t>1440x3120</t>
        </is>
      </c>
      <c r="N610" s="43" t="inlineStr">
        <is>
          <t>USB-C (USB 3.2), nano-SIM + eSIM</t>
        </is>
      </c>
      <c r="O610" s="43" t="inlineStr">
        <is>
          <t>Android 15</t>
        </is>
      </c>
      <c r="P610" s="43" t="n">
        <v>34</v>
      </c>
      <c r="Q610" s="46" t="n">
        <v>216</v>
      </c>
      <c r="R610" s="43" t="inlineStr">
        <is>
          <t>Lighter than Amphitrite Halo X Pro Max Smartphone [AMP-065-10] (216 g vs 221 g); Longer battery than Leto Vertex Max Pro Max Smartphone [LET-077-08] (34 vs 33 hrs)</t>
        </is>
      </c>
      <c r="S610" s="43" t="inlineStr">
        <is>
          <t>photography, video, mobile gaming</t>
        </is>
      </c>
      <c r="T610" s="0" t="inlineStr">
        <is>
          <t>low_stock</t>
        </is>
      </c>
      <c r="U610" s="0" t="n">
        <v>30</v>
      </c>
      <c r="V610" s="52" t="n">
        <v>1332.99</v>
      </c>
      <c r="W610" s="0" t="inlineStr">
        <is>
          <t>2026-08-25</t>
        </is>
      </c>
      <c r="X610" s="0" t="inlineStr">
        <is>
          <t>N/A</t>
        </is>
      </c>
      <c r="Y610" s="0" t="inlineStr">
        <is>
          <t>N/A</t>
        </is>
      </c>
      <c r="Z610" s="0" t="inlineStr">
        <is>
          <t>N/A</t>
        </is>
      </c>
      <c r="AA610" s="0" t="inlineStr">
        <is>
          <t>N/A</t>
        </is>
      </c>
    </row>
    <row r="611" ht="15.75" customHeight="1" s="51">
      <c r="A611" s="43" t="inlineStr">
        <is>
          <t>OCE-060-09</t>
        </is>
      </c>
      <c r="B611" s="43" t="inlineStr">
        <is>
          <t>Oceanus</t>
        </is>
      </c>
      <c r="C611" s="43" t="inlineStr">
        <is>
          <t>Smartphones &amp; Tablets</t>
        </is>
      </c>
      <c r="D611" s="43" t="inlineStr">
        <is>
          <t>Tablet</t>
        </is>
      </c>
      <c r="E611" s="44" t="inlineStr">
        <is>
          <t>Oceanus Echo Max 13" Pro Tablet</t>
        </is>
      </c>
      <c r="F611" s="45" t="n">
        <v>1295.99</v>
      </c>
      <c r="G611" s="43" t="inlineStr">
        <is>
          <t>the Echo Max; Oceanus Echo Max; Okeanus Echo Max; Echo Max tablet</t>
        </is>
      </c>
      <c r="H611" s="43" t="inlineStr">
        <is>
          <t>1 year limited</t>
        </is>
      </c>
      <c r="I611" s="43" t="inlineStr">
        <is>
          <t>FCC, CE</t>
        </is>
      </c>
      <c r="J611" s="43" t="inlineStr">
        <is>
          <t>MediaTek Dimensity 9400</t>
        </is>
      </c>
      <c r="K611" s="43" t="inlineStr">
        <is>
          <t>Arm Immortalis-G925</t>
        </is>
      </c>
      <c r="L611" s="43" t="inlineStr">
        <is>
          <t>OLED, 120Hz</t>
        </is>
      </c>
      <c r="M611" s="43" t="inlineStr">
        <is>
          <t>2800x1752</t>
        </is>
      </c>
      <c r="N611" s="43" t="inlineStr">
        <is>
          <t>USB-C (USB 3.2), magnetic keyboard connector</t>
        </is>
      </c>
      <c r="O611" s="43" t="inlineStr">
        <is>
          <t>Android 15</t>
        </is>
      </c>
      <c r="P611" s="43" t="n">
        <v>12</v>
      </c>
      <c r="Q611" s="46" t="n">
        <v>608</v>
      </c>
      <c r="R611" s="43" t="inlineStr">
        <is>
          <t>Lower price than Peitho Rift Lite 13" Pro Tablet [PEI-083-10] ($1,295.99 vs $1,708.99); Lighter than Hecate Flux Air 13" Pro Tablet [HEC-052-10] (608 g vs 677 g)</t>
        </is>
      </c>
      <c r="S611" s="43" t="inlineStr">
        <is>
          <t>creative work, productivity, drawing</t>
        </is>
      </c>
      <c r="T611" s="0" t="inlineStr">
        <is>
          <t>in_stock</t>
        </is>
      </c>
      <c r="U611" s="0" t="n">
        <v>30</v>
      </c>
      <c r="V611" s="52" t="n">
        <v>1462.99</v>
      </c>
      <c r="W611" s="0" t="inlineStr">
        <is>
          <t>2026-08-03</t>
        </is>
      </c>
      <c r="X611" s="0" t="inlineStr">
        <is>
          <t>N/A</t>
        </is>
      </c>
      <c r="Y611" s="0" t="inlineStr">
        <is>
          <t>N/A</t>
        </is>
      </c>
      <c r="Z611" s="0" t="inlineStr">
        <is>
          <t>N/A</t>
        </is>
      </c>
      <c r="AA611" s="0" t="inlineStr">
        <is>
          <t>N/A</t>
        </is>
      </c>
    </row>
    <row r="612" ht="15.75" customHeight="1" s="51">
      <c r="A612" s="43" t="inlineStr">
        <is>
          <t>OCE-060-10</t>
        </is>
      </c>
      <c r="B612" s="43" t="inlineStr">
        <is>
          <t>Oceanus</t>
        </is>
      </c>
      <c r="C612" s="43" t="inlineStr">
        <is>
          <t>Smartphones &amp; Tablets</t>
        </is>
      </c>
      <c r="D612" s="43" t="inlineStr">
        <is>
          <t>Smartphone</t>
        </is>
      </c>
      <c r="E612" s="44" t="inlineStr">
        <is>
          <t>Oceanus Spark Pro Foldable Phone</t>
        </is>
      </c>
      <c r="F612" s="45" t="n">
        <v>2063.99</v>
      </c>
      <c r="G612" s="43" t="inlineStr">
        <is>
          <t>the Spark Pro; Oceanus Spark Pro; Oceanos Spark Pro; Spark Pro smartphone</t>
        </is>
      </c>
      <c r="H612" s="43" t="inlineStr">
        <is>
          <t>2 year limited</t>
        </is>
      </c>
      <c r="I612" s="43" t="inlineStr">
        <is>
          <t>FCC, CE, IPX8</t>
        </is>
      </c>
      <c r="J612" s="43" t="inlineStr">
        <is>
          <t>Qualcomm Snapdragon 8 Elite</t>
        </is>
      </c>
      <c r="K612" s="43" t="inlineStr">
        <is>
          <t>Qualcomm Adreno 830</t>
        </is>
      </c>
      <c r="L612" s="43" t="inlineStr">
        <is>
          <t>Foldable LTPO AMOLED inner + AMOLED cover, 120Hz</t>
        </is>
      </c>
      <c r="M612" s="43" t="inlineStr">
        <is>
          <t>2160x1856 inner / 1080x2376 cover</t>
        </is>
      </c>
      <c r="N612" s="43" t="inlineStr">
        <is>
          <t>USB-C (USB 3.2), nano-SIM + eSIM</t>
        </is>
      </c>
      <c r="O612" s="43" t="inlineStr">
        <is>
          <t>Android 15</t>
        </is>
      </c>
      <c r="P612" s="43" t="n">
        <v>25</v>
      </c>
      <c r="Q612" s="46" t="n">
        <v>254</v>
      </c>
      <c r="R612" s="43" t="inlineStr">
        <is>
          <t>Lighter than Hypnos Prism Pro Foldable Phone [HYP-059-10] (254 g vs 264 g); Longer battery than Erebus Halo Plus Foldable Phone [ERE-098-10] (25 vs 22 hrs)</t>
        </is>
      </c>
      <c r="S612" s="43" t="inlineStr">
        <is>
          <t>multitasking, business, media</t>
        </is>
      </c>
      <c r="T612" s="0" t="inlineStr">
        <is>
          <t>in_stock</t>
        </is>
      </c>
      <c r="U612" s="0" t="n">
        <v>30</v>
      </c>
      <c r="V612" s="52" t="n">
        <v>2244.99</v>
      </c>
      <c r="W612" s="0" t="inlineStr">
        <is>
          <t>2026-08-20</t>
        </is>
      </c>
      <c r="X612" s="0" t="inlineStr">
        <is>
          <t>N/A</t>
        </is>
      </c>
      <c r="Y612" s="0" t="inlineStr">
        <is>
          <t>N/A</t>
        </is>
      </c>
      <c r="Z612" s="0" t="inlineStr">
        <is>
          <t>N/A</t>
        </is>
      </c>
      <c r="AA612" s="0" t="inlineStr">
        <is>
          <t>N/A</t>
        </is>
      </c>
    </row>
    <row r="613" ht="15.75" customHeight="1" s="51">
      <c r="A613" s="43" t="inlineStr">
        <is>
          <t>MNE-061-01</t>
        </is>
      </c>
      <c r="B613" s="43" t="inlineStr">
        <is>
          <t>Mnemosyne</t>
        </is>
      </c>
      <c r="C613" s="43" t="inlineStr">
        <is>
          <t>Smartphones &amp; Tablets</t>
        </is>
      </c>
      <c r="D613" s="43" t="inlineStr">
        <is>
          <t>Tablet</t>
        </is>
      </c>
      <c r="E613" s="44" t="inlineStr">
        <is>
          <t>Mnemosyne Wave SE Kids Tablet</t>
        </is>
      </c>
      <c r="F613" s="45" t="n">
        <v>196.99</v>
      </c>
      <c r="G613" s="43" t="inlineStr">
        <is>
          <t>the Wave SE; Mnemosyne Wave SE; Menmosyne Wave SE; Wave SE tablet</t>
        </is>
      </c>
      <c r="H613" s="43" t="inlineStr">
        <is>
          <t>2 year limited</t>
        </is>
      </c>
      <c r="I613" s="43" t="inlineStr">
        <is>
          <t>FCC, CE, TUV Rheinland Low Blue Light, EN 71 Toy Safety, Energy Star</t>
        </is>
      </c>
      <c r="J613" s="43" t="inlineStr">
        <is>
          <t>MediaTek Helio G88</t>
        </is>
      </c>
      <c r="K613" s="43" t="inlineStr">
        <is>
          <t>Arm Mali-G52 MC2</t>
        </is>
      </c>
      <c r="L613" s="43" t="inlineStr">
        <is>
          <t>IPS LCD, 60Hz</t>
        </is>
      </c>
      <c r="M613" s="43" t="inlineStr">
        <is>
          <t>800x1280</t>
        </is>
      </c>
      <c r="N613" s="43" t="inlineStr">
        <is>
          <t>USB-C (USB 2.0), microSD slot</t>
        </is>
      </c>
      <c r="O613" s="43" t="inlineStr">
        <is>
          <t>Android 14 with parental controls</t>
        </is>
      </c>
      <c r="P613" s="43" t="n">
        <v>8</v>
      </c>
      <c r="Q613" s="46" t="n">
        <v>422</v>
      </c>
      <c r="R613" s="43" t="inlineStr">
        <is>
          <t>Lighter than Oceanus Aria Air Kids Tablet [OCE-060-01] (422 g vs 440 g)</t>
        </is>
      </c>
      <c r="S613" s="43" t="inlineStr">
        <is>
          <t>kids, learning, games</t>
        </is>
      </c>
      <c r="T613" s="0" t="inlineStr">
        <is>
          <t>in_stock</t>
        </is>
      </c>
      <c r="U613" s="0" t="n">
        <v>14</v>
      </c>
      <c r="V613" s="52" t="n">
        <v>220.99</v>
      </c>
      <c r="W613" s="0" t="inlineStr">
        <is>
          <t>2026-09-09</t>
        </is>
      </c>
      <c r="X613" s="0" t="inlineStr">
        <is>
          <t>N/A</t>
        </is>
      </c>
      <c r="Y613" s="0" t="inlineStr">
        <is>
          <t>N/A</t>
        </is>
      </c>
      <c r="Z613" s="0" t="inlineStr">
        <is>
          <t>N/A</t>
        </is>
      </c>
      <c r="AA613" s="0" t="inlineStr">
        <is>
          <t>N/A</t>
        </is>
      </c>
    </row>
    <row r="614" ht="15.75" customHeight="1" s="51">
      <c r="A614" s="43" t="inlineStr">
        <is>
          <t>MNE-061-02</t>
        </is>
      </c>
      <c r="B614" s="43" t="inlineStr">
        <is>
          <t>Mnemosyne</t>
        </is>
      </c>
      <c r="C614" s="43" t="inlineStr">
        <is>
          <t>Smartphones &amp; Tablets</t>
        </is>
      </c>
      <c r="D614" s="43" t="inlineStr">
        <is>
          <t>Smartphone</t>
        </is>
      </c>
      <c r="E614" s="44" t="inlineStr">
        <is>
          <t>Mnemosyne Pulse Air Budget Smartphone</t>
        </is>
      </c>
      <c r="F614" s="45" t="n">
        <v>198.99</v>
      </c>
      <c r="G614" s="43" t="inlineStr">
        <is>
          <t>the Pulse Air; Mnemosyne Pulse Air; Mnemoosyne Pulse Air; Pulse Air smartphone</t>
        </is>
      </c>
      <c r="H614" s="43" t="inlineStr">
        <is>
          <t>1 year limited</t>
        </is>
      </c>
      <c r="I614" s="43" t="inlineStr">
        <is>
          <t>FCC, CE, IP54</t>
        </is>
      </c>
      <c r="J614" s="43" t="inlineStr">
        <is>
          <t>MediaTek Helio G99</t>
        </is>
      </c>
      <c r="K614" s="43" t="inlineStr">
        <is>
          <t>Arm Mali-G57 MC2</t>
        </is>
      </c>
      <c r="L614" s="43" t="inlineStr">
        <is>
          <t>IPS LCD, 90Hz</t>
        </is>
      </c>
      <c r="M614" s="43" t="inlineStr">
        <is>
          <t>720x1600</t>
        </is>
      </c>
      <c r="N614" s="43" t="inlineStr">
        <is>
          <t>USB-C (USB 2.0), nano-SIM + eSIM, 3.5mm headphone jack, microSD slot</t>
        </is>
      </c>
      <c r="O614" s="43" t="inlineStr">
        <is>
          <t>Android 14</t>
        </is>
      </c>
      <c r="P614" s="43" t="n">
        <v>26</v>
      </c>
      <c r="Q614" s="46" t="n">
        <v>187</v>
      </c>
      <c r="R614" s="43" t="inlineStr">
        <is>
          <t>Lighter than Oceanus Crest X Budget Smartphone [OCE-060-02] (187 g vs 195 g); Lower price than Theia Titan SE Budget Smartphone [THE-081-02] ($198.99 vs $297.99)</t>
        </is>
      </c>
      <c r="S614" s="43" t="inlineStr">
        <is>
          <t>budget, first phone, everyday</t>
        </is>
      </c>
      <c r="T614" s="0" t="inlineStr">
        <is>
          <t>low_stock</t>
        </is>
      </c>
      <c r="U614" s="0" t="n">
        <v>14</v>
      </c>
      <c r="V614" s="52" t="n">
        <v>211.99</v>
      </c>
      <c r="W614" s="0" t="inlineStr">
        <is>
          <t>2026-08-03</t>
        </is>
      </c>
      <c r="X614" s="0" t="inlineStr">
        <is>
          <t>N/A</t>
        </is>
      </c>
      <c r="Y614" s="0" t="inlineStr">
        <is>
          <t>N/A</t>
        </is>
      </c>
      <c r="Z614" s="0" t="inlineStr">
        <is>
          <t>N/A</t>
        </is>
      </c>
      <c r="AA614" s="0" t="inlineStr">
        <is>
          <t>N/A</t>
        </is>
      </c>
    </row>
    <row r="615" ht="15.75" customHeight="1" s="51">
      <c r="A615" s="43" t="inlineStr">
        <is>
          <t>MNE-061-03</t>
        </is>
      </c>
      <c r="B615" s="43" t="inlineStr">
        <is>
          <t>Mnemosyne</t>
        </is>
      </c>
      <c r="C615" s="43" t="inlineStr">
        <is>
          <t>Smartphones &amp; Tablets</t>
        </is>
      </c>
      <c r="D615" s="43" t="inlineStr">
        <is>
          <t>Tablet</t>
        </is>
      </c>
      <c r="E615" s="44" t="inlineStr">
        <is>
          <t>Mnemosyne Aria SE E-Ink Note Tablet</t>
        </is>
      </c>
      <c r="F615" s="45" t="n">
        <v>266.99</v>
      </c>
      <c r="G615" s="43" t="inlineStr">
        <is>
          <t>the Aria SE; Mnemosyne Aria SE; Mnemoysne Aria SE; Aria SE tablet</t>
        </is>
      </c>
      <c r="H615" s="43" t="inlineStr">
        <is>
          <t>1 year limited</t>
        </is>
      </c>
      <c r="I615" s="43" t="inlineStr">
        <is>
          <t>FCC, CE, TUV Rheinland Low Blue Light</t>
        </is>
      </c>
      <c r="J615" s="43" t="inlineStr">
        <is>
          <t>Rockchip RK3566</t>
        </is>
      </c>
      <c r="K615" s="43" t="inlineStr">
        <is>
          <t>Arm Mali-G52 2EE</t>
        </is>
      </c>
      <c r="L615" s="43" t="inlineStr">
        <is>
          <t>E Ink Carta 1300, front-lit</t>
        </is>
      </c>
      <c r="M615" s="43" t="inlineStr">
        <is>
          <t>1404x1872</t>
        </is>
      </c>
      <c r="N615" s="43" t="inlineStr">
        <is>
          <t>USB-C (USB 2.0), microSD slot</t>
        </is>
      </c>
      <c r="O615" s="43" t="inlineStr">
        <is>
          <t>Android 13 (E Ink optimized)</t>
        </is>
      </c>
      <c r="P615" s="43" t="n">
        <v>238</v>
      </c>
      <c r="Q615" s="46" t="n">
        <v>388</v>
      </c>
      <c r="R615" s="43" t="inlineStr">
        <is>
          <t>Lighter than Dike Nova Pro E-Ink Note Tablet [DIK-099-02] (388 g vs 429 g); Lower price than Eunomia Crest E-Ink Note Tablet [EUN-056-07] ($266.99 vs $596.99)</t>
        </is>
      </c>
      <c r="S615" s="43" t="inlineStr">
        <is>
          <t>reading, note-taking, school</t>
        </is>
      </c>
      <c r="T615" s="0" t="inlineStr">
        <is>
          <t>in_stock</t>
        </is>
      </c>
      <c r="U615" s="0" t="n">
        <v>14</v>
      </c>
      <c r="V615" s="52" t="n">
        <v>305.99</v>
      </c>
      <c r="W615" s="0" t="inlineStr">
        <is>
          <t>2026-08-19</t>
        </is>
      </c>
      <c r="X615" s="0" t="inlineStr">
        <is>
          <t>N/A</t>
        </is>
      </c>
      <c r="Y615" s="0" t="inlineStr">
        <is>
          <t>N/A</t>
        </is>
      </c>
      <c r="Z615" s="0" t="inlineStr">
        <is>
          <t>N/A</t>
        </is>
      </c>
      <c r="AA615" s="0" t="inlineStr">
        <is>
          <t>N/A</t>
        </is>
      </c>
    </row>
    <row r="616" ht="15.75" customHeight="1" s="51">
      <c r="A616" s="43" t="inlineStr">
        <is>
          <t>MNE-061-04</t>
        </is>
      </c>
      <c r="B616" s="43" t="inlineStr">
        <is>
          <t>Mnemosyne</t>
        </is>
      </c>
      <c r="C616" s="43" t="inlineStr">
        <is>
          <t>Smartphones &amp; Tablets</t>
        </is>
      </c>
      <c r="D616" s="43" t="inlineStr">
        <is>
          <t>Smartphone</t>
        </is>
      </c>
      <c r="E616" s="44" t="inlineStr">
        <is>
          <t>Mnemosyne Drift Rugged Smartphone</t>
        </is>
      </c>
      <c r="F616" s="45" t="n">
        <v>444.99</v>
      </c>
      <c r="G616" s="43" t="inlineStr">
        <is>
          <t>the Drift; Mnemosyne Drift; Mnemoysne Drift; Drift smartphone</t>
        </is>
      </c>
      <c r="H616" s="43" t="inlineStr">
        <is>
          <t>2 year limited</t>
        </is>
      </c>
      <c r="I616" s="43" t="inlineStr">
        <is>
          <t>FCC, CE, IP69K, MIL-STD-810H</t>
        </is>
      </c>
      <c r="J616" s="43" t="inlineStr">
        <is>
          <t>MediaTek Dimensity 7300</t>
        </is>
      </c>
      <c r="K616" s="43" t="inlineStr">
        <is>
          <t>Arm Mali-G615 MC2</t>
        </is>
      </c>
      <c r="L616" s="43" t="inlineStr">
        <is>
          <t>IPS LCD, Gorilla Glass Victus, 120Hz</t>
        </is>
      </c>
      <c r="M616" s="43" t="inlineStr">
        <is>
          <t>1080x2400</t>
        </is>
      </c>
      <c r="N616" s="43" t="inlineStr">
        <is>
          <t>USB-C (USB 2.0), nano-SIM + eSIM, 3.5mm headphone jack, microSD slot</t>
        </is>
      </c>
      <c r="O616" s="43" t="inlineStr">
        <is>
          <t>Android 15</t>
        </is>
      </c>
      <c r="P616" s="43" t="n">
        <v>36</v>
      </c>
      <c r="Q616" s="46" t="n">
        <v>336</v>
      </c>
      <c r="R616" s="43" t="inlineStr">
        <is>
          <t>Lower price than Elpis Nova Max Rugged Smartphone [ELP-074-05] ($444.99 vs $771.99); Longer battery than Theia Aeon Ultra Rugged Smartphone [THE-081-03] (36 vs 29 hrs)</t>
        </is>
      </c>
      <c r="S616" s="43" t="inlineStr">
        <is>
          <t>outdoor, construction, fieldwork</t>
        </is>
      </c>
      <c r="T616" s="0" t="inlineStr">
        <is>
          <t>in_stock</t>
        </is>
      </c>
      <c r="U616" s="0" t="n">
        <v>14</v>
      </c>
      <c r="V616" s="52" t="n">
        <v>458.99</v>
      </c>
      <c r="W616" s="0" t="inlineStr">
        <is>
          <t>2026-08-21</t>
        </is>
      </c>
      <c r="X616" s="0" t="inlineStr">
        <is>
          <t>N/A</t>
        </is>
      </c>
      <c r="Y616" s="0" t="inlineStr">
        <is>
          <t>N/A</t>
        </is>
      </c>
      <c r="Z616" s="0" t="inlineStr">
        <is>
          <t>N/A</t>
        </is>
      </c>
      <c r="AA616" s="0" t="inlineStr">
        <is>
          <t>N/A</t>
        </is>
      </c>
    </row>
    <row r="617" ht="15.75" customHeight="1" s="51">
      <c r="A617" s="43" t="inlineStr">
        <is>
          <t>MNE-061-05</t>
        </is>
      </c>
      <c r="B617" s="43" t="inlineStr">
        <is>
          <t>Mnemosyne</t>
        </is>
      </c>
      <c r="C617" s="43" t="inlineStr">
        <is>
          <t>Smartphones &amp; Tablets</t>
        </is>
      </c>
      <c r="D617" s="43" t="inlineStr">
        <is>
          <t>Tablet</t>
        </is>
      </c>
      <c r="E617" s="44" t="inlineStr">
        <is>
          <t>Mnemosyne Titan 11" Tablet</t>
        </is>
      </c>
      <c r="F617" s="45" t="n">
        <v>446.99</v>
      </c>
      <c r="G617" s="43" t="inlineStr">
        <is>
          <t>the Titan; Mnemosyne Titan; Menmosyne Titan; Titan tablet</t>
        </is>
      </c>
      <c r="H617" s="43" t="inlineStr">
        <is>
          <t>1 year limited</t>
        </is>
      </c>
      <c r="I617" s="43" t="inlineStr">
        <is>
          <t>FCC, CE</t>
        </is>
      </c>
      <c r="J617" s="43" t="inlineStr">
        <is>
          <t>MediaTek Dimensity 7300</t>
        </is>
      </c>
      <c r="K617" s="43" t="inlineStr">
        <is>
          <t>Arm Mali-G615 MC2</t>
        </is>
      </c>
      <c r="L617" s="43" t="inlineStr">
        <is>
          <t>IPS LCD, 90Hz</t>
        </is>
      </c>
      <c r="M617" s="43" t="inlineStr">
        <is>
          <t>1600x2560</t>
        </is>
      </c>
      <c r="N617" s="43" t="inlineStr">
        <is>
          <t>USB-C (USB 2.0), microSD slot</t>
        </is>
      </c>
      <c r="O617" s="43" t="inlineStr">
        <is>
          <t>Android 15</t>
        </is>
      </c>
      <c r="P617" s="43" t="n">
        <v>12</v>
      </c>
      <c r="Q617" s="46" t="n">
        <v>483</v>
      </c>
      <c r="R617" s="43" t="inlineStr">
        <is>
          <t>Lower price than Alpheus Halo Ultra 11" Tablet [ALP-082-07] ($446.99 vs $780.99); Lighter than Adrastea Blaze 11" Tablet [ADR-094-05] (483 g vs 508 g)</t>
        </is>
      </c>
      <c r="S617" s="43" t="inlineStr">
        <is>
          <t>school, streaming, reading</t>
        </is>
      </c>
      <c r="T617" s="0" t="inlineStr">
        <is>
          <t>in_stock</t>
        </is>
      </c>
      <c r="U617" s="0" t="n">
        <v>14</v>
      </c>
      <c r="V617" s="52" t="n">
        <v>499.99</v>
      </c>
      <c r="W617" s="0" t="inlineStr">
        <is>
          <t>2026-08-19</t>
        </is>
      </c>
      <c r="X617" s="0" t="inlineStr">
        <is>
          <t>N/A</t>
        </is>
      </c>
      <c r="Y617" s="0" t="inlineStr">
        <is>
          <t>N/A</t>
        </is>
      </c>
      <c r="Z617" s="0" t="inlineStr">
        <is>
          <t>N/A</t>
        </is>
      </c>
      <c r="AA617" s="0" t="inlineStr">
        <is>
          <t>N/A</t>
        </is>
      </c>
    </row>
    <row r="618" ht="15.75" customHeight="1" s="51">
      <c r="A618" s="43" t="inlineStr">
        <is>
          <t>MNE-061-06</t>
        </is>
      </c>
      <c r="B618" s="43" t="inlineStr">
        <is>
          <t>Mnemosyne</t>
        </is>
      </c>
      <c r="C618" s="43" t="inlineStr">
        <is>
          <t>Smartphones &amp; Tablets</t>
        </is>
      </c>
      <c r="D618" s="43" t="inlineStr">
        <is>
          <t>Tablet</t>
        </is>
      </c>
      <c r="E618" s="44" t="inlineStr">
        <is>
          <t>Mnemosyne Vertex Lite Drawing Tablet with Stylus</t>
        </is>
      </c>
      <c r="F618" s="45" t="n">
        <v>577.99</v>
      </c>
      <c r="G618" s="43" t="inlineStr">
        <is>
          <t>the Vertex Lite; Mnemosyne Vertex Lite; Mnmeosyne Vertex Lite; Vertex Lite tablet</t>
        </is>
      </c>
      <c r="H618" s="43" t="inlineStr">
        <is>
          <t>1 year limited</t>
        </is>
      </c>
      <c r="I618" s="43" t="inlineStr">
        <is>
          <t>FCC, CE, TUV Rheinland Low Blue Light</t>
        </is>
      </c>
      <c r="J618" s="43" t="inlineStr">
        <is>
          <t>Qualcomm Snapdragon 7+ Gen 3</t>
        </is>
      </c>
      <c r="K618" s="43" t="inlineStr">
        <is>
          <t>Qualcomm Adreno 732</t>
        </is>
      </c>
      <c r="L618" s="43" t="inlineStr">
        <is>
          <t>IPS LCD anti-glare, pen digitizer</t>
        </is>
      </c>
      <c r="M618" s="43" t="inlineStr">
        <is>
          <t>2000x1200</t>
        </is>
      </c>
      <c r="N618" s="43" t="inlineStr">
        <is>
          <t>USB-C (USB 2.0), microSD slot</t>
        </is>
      </c>
      <c r="O618" s="43" t="inlineStr">
        <is>
          <t>Android 15</t>
        </is>
      </c>
      <c r="P618" s="43" t="n">
        <v>11</v>
      </c>
      <c r="Q618" s="46" t="n">
        <v>639</v>
      </c>
      <c r="R618" s="43" t="inlineStr">
        <is>
          <t>Longer battery than Thetis Volt Lite Drawing Tablet with Stylus [THE-093-04] (11 vs 8 hrs); Lower price than Triton Nova Max Drawing Tablet with Stylus [TRI-092-04] ($577.99 vs $682.99)</t>
        </is>
      </c>
      <c r="S618" s="43" t="inlineStr">
        <is>
          <t>drawing, design, note-taking</t>
        </is>
      </c>
      <c r="T618" s="0" t="inlineStr">
        <is>
          <t>out_of_stock</t>
        </is>
      </c>
      <c r="U618" s="0" t="n">
        <v>14</v>
      </c>
      <c r="V618" s="52" t="n">
        <v>605.99</v>
      </c>
      <c r="W618" s="0" t="inlineStr">
        <is>
          <t>2026-09-07</t>
        </is>
      </c>
      <c r="X618" s="0" t="inlineStr">
        <is>
          <t>N/A</t>
        </is>
      </c>
      <c r="Y618" s="0" t="inlineStr">
        <is>
          <t>N/A</t>
        </is>
      </c>
      <c r="Z618" s="0" t="inlineStr">
        <is>
          <t>N/A</t>
        </is>
      </c>
      <c r="AA618" s="0" t="inlineStr">
        <is>
          <t>N/A</t>
        </is>
      </c>
    </row>
    <row r="619" ht="15.75" customHeight="1" s="51">
      <c r="A619" s="43" t="inlineStr">
        <is>
          <t>MNE-061-07</t>
        </is>
      </c>
      <c r="B619" s="43" t="inlineStr">
        <is>
          <t>Mnemosyne</t>
        </is>
      </c>
      <c r="C619" s="43" t="inlineStr">
        <is>
          <t>Smartphones &amp; Tablets</t>
        </is>
      </c>
      <c r="D619" s="43" t="inlineStr">
        <is>
          <t>Smartphone</t>
        </is>
      </c>
      <c r="E619" s="44" t="inlineStr">
        <is>
          <t>Mnemosyne Drift Pro Flagship Smartphone</t>
        </is>
      </c>
      <c r="F619" s="45" t="n">
        <v>1042.99</v>
      </c>
      <c r="G619" s="43" t="inlineStr">
        <is>
          <t>the Drift Pro; Mnemosyne Drift Pro; Mneemosyne Drift Pro; Drift Pro smartphone</t>
        </is>
      </c>
      <c r="H619" s="43" t="inlineStr">
        <is>
          <t>1 year limited</t>
        </is>
      </c>
      <c r="I619" s="43" t="inlineStr">
        <is>
          <t>FCC, CE, IP68, Qi2</t>
        </is>
      </c>
      <c r="J619" s="43" t="inlineStr">
        <is>
          <t>MediaTek Dimensity 9400</t>
        </is>
      </c>
      <c r="K619" s="43" t="inlineStr">
        <is>
          <t>Arm Immortalis-G925</t>
        </is>
      </c>
      <c r="L619" s="43" t="inlineStr">
        <is>
          <t>AMOLED, 120Hz</t>
        </is>
      </c>
      <c r="M619" s="43" t="inlineStr">
        <is>
          <t>1080x2400</t>
        </is>
      </c>
      <c r="N619" s="43" t="inlineStr">
        <is>
          <t>USB-C (USB 3.2), nano-SIM + eSIM</t>
        </is>
      </c>
      <c r="O619" s="43" t="inlineStr">
        <is>
          <t>Android 15</t>
        </is>
      </c>
      <c r="P619" s="43" t="n">
        <v>27</v>
      </c>
      <c r="Q619" s="46" t="n">
        <v>196</v>
      </c>
      <c r="R619" s="43" t="inlineStr">
        <is>
          <t>Lower price than Hypnos Spark Pro Flagship Smartphone [HYP-059-08] ($1,042.99 vs $1,110.99); Longer battery than Epimetheus Orbit Flagship Smartphone [EPI-091-06] (27 vs 23 hrs)</t>
        </is>
      </c>
      <c r="S619" s="43" t="inlineStr">
        <is>
          <t>photography, everyday, business</t>
        </is>
      </c>
      <c r="T619" s="0" t="inlineStr">
        <is>
          <t>in_stock</t>
        </is>
      </c>
      <c r="U619" s="0" t="n">
        <v>14</v>
      </c>
      <c r="V619" s="52" t="n">
        <v>1108.99</v>
      </c>
      <c r="W619" s="0" t="inlineStr">
        <is>
          <t>2026-09-02</t>
        </is>
      </c>
      <c r="X619" s="0" t="inlineStr">
        <is>
          <t>N/A</t>
        </is>
      </c>
      <c r="Y619" s="0" t="inlineStr">
        <is>
          <t>N/A</t>
        </is>
      </c>
      <c r="Z619" s="0" t="inlineStr">
        <is>
          <t>N/A</t>
        </is>
      </c>
      <c r="AA619" s="0" t="inlineStr">
        <is>
          <t>N/A</t>
        </is>
      </c>
    </row>
    <row r="620" ht="15.75" customHeight="1" s="51">
      <c r="A620" s="43" t="inlineStr">
        <is>
          <t>MNE-061-08</t>
        </is>
      </c>
      <c r="B620" s="43" t="inlineStr">
        <is>
          <t>Mnemosyne</t>
        </is>
      </c>
      <c r="C620" s="43" t="inlineStr">
        <is>
          <t>Smartphones &amp; Tablets</t>
        </is>
      </c>
      <c r="D620" s="43" t="inlineStr">
        <is>
          <t>Tablet</t>
        </is>
      </c>
      <c r="E620" s="44" t="inlineStr">
        <is>
          <t>Mnemosyne Rift Ultra 5G Tablet</t>
        </is>
      </c>
      <c r="F620" s="45" t="n">
        <v>1166.99</v>
      </c>
      <c r="G620" s="43" t="inlineStr">
        <is>
          <t>the Rift Ultra; Mnemosyne Rift Ultra; Mnemossyne Rift Ultra; Rift Ultra tablet</t>
        </is>
      </c>
      <c r="H620" s="43" t="inlineStr">
        <is>
          <t>2 year limited</t>
        </is>
      </c>
      <c r="I620" s="43" t="inlineStr">
        <is>
          <t>FCC, CE, Energy Star</t>
        </is>
      </c>
      <c r="J620" s="43" t="inlineStr">
        <is>
          <t>MediaTek Dimensity 9400</t>
        </is>
      </c>
      <c r="K620" s="43" t="inlineStr">
        <is>
          <t>Arm Immortalis-G925</t>
        </is>
      </c>
      <c r="L620" s="43" t="inlineStr">
        <is>
          <t>OLED, 120Hz</t>
        </is>
      </c>
      <c r="M620" s="43" t="inlineStr">
        <is>
          <t>1752x2800</t>
        </is>
      </c>
      <c r="N620" s="43" t="inlineStr">
        <is>
          <t>USB-C (USB 3.2), magnetic keyboard connector, nano-SIM + eSIM</t>
        </is>
      </c>
      <c r="O620" s="43" t="inlineStr">
        <is>
          <t>Android 15</t>
        </is>
      </c>
      <c r="P620" s="43" t="n">
        <v>14</v>
      </c>
      <c r="Q620" s="46" t="n">
        <v>508</v>
      </c>
      <c r="R620" s="43" t="inlineStr">
        <is>
          <t>Lighter than Paean Nova Air 5G Tablet [PAE-066-05] (508 g vs 556 g); Longer battery than Styx Arc 5G Tablet [STY-058-06] (14 vs 12 hrs)</t>
        </is>
      </c>
      <c r="S620" s="43" t="inlineStr">
        <is>
          <t>travel, streaming, work on the go</t>
        </is>
      </c>
      <c r="T620" s="0" t="inlineStr">
        <is>
          <t>low_stock</t>
        </is>
      </c>
      <c r="U620" s="0" t="n">
        <v>14</v>
      </c>
      <c r="V620" s="52" t="n">
        <v>1219.99</v>
      </c>
      <c r="W620" s="0" t="inlineStr">
        <is>
          <t>2026-09-05</t>
        </is>
      </c>
      <c r="X620" s="0" t="inlineStr">
        <is>
          <t>N/A</t>
        </is>
      </c>
      <c r="Y620" s="0" t="inlineStr">
        <is>
          <t>N/A</t>
        </is>
      </c>
      <c r="Z620" s="0" t="inlineStr">
        <is>
          <t>N/A</t>
        </is>
      </c>
      <c r="AA620" s="0" t="inlineStr">
        <is>
          <t>N/A</t>
        </is>
      </c>
    </row>
    <row r="621" ht="15.75" customHeight="1" s="51">
      <c r="A621" s="43" t="inlineStr">
        <is>
          <t>MNE-061-09</t>
        </is>
      </c>
      <c r="B621" s="43" t="inlineStr">
        <is>
          <t>Mnemosyne</t>
        </is>
      </c>
      <c r="C621" s="43" t="inlineStr">
        <is>
          <t>Smartphones &amp; Tablets</t>
        </is>
      </c>
      <c r="D621" s="43" t="inlineStr">
        <is>
          <t>Smartphone</t>
        </is>
      </c>
      <c r="E621" s="44" t="inlineStr">
        <is>
          <t>Mnemosyne Nova X Flip Foldable Phone</t>
        </is>
      </c>
      <c r="F621" s="45" t="n">
        <v>1191.99</v>
      </c>
      <c r="G621" s="43" t="inlineStr">
        <is>
          <t>the Nova X; Mnemosyne Nova X; Mnemossyne Nova X; Nova X smartphone</t>
        </is>
      </c>
      <c r="H621" s="43" t="inlineStr">
        <is>
          <t>2 year limited</t>
        </is>
      </c>
      <c r="I621" s="43" t="inlineStr">
        <is>
          <t>FCC, CE, IPX8</t>
        </is>
      </c>
      <c r="J621" s="43" t="inlineStr">
        <is>
          <t>MediaTek Dimensity 9400</t>
        </is>
      </c>
      <c r="K621" s="43" t="inlineStr">
        <is>
          <t>Arm Immortalis-G925</t>
        </is>
      </c>
      <c r="L621" s="43" t="inlineStr">
        <is>
          <t>Foldable AMOLED inner + AMOLED cover screen</t>
        </is>
      </c>
      <c r="M621" s="43" t="inlineStr">
        <is>
          <t>1080x2640 inner / 720x748 cover</t>
        </is>
      </c>
      <c r="N621" s="43" t="inlineStr">
        <is>
          <t>USB-C (USB 3.2), nano-SIM + eSIM</t>
        </is>
      </c>
      <c r="O621" s="43" t="inlineStr">
        <is>
          <t>Android 15</t>
        </is>
      </c>
      <c r="P621" s="43" t="n">
        <v>22</v>
      </c>
      <c r="Q621" s="46" t="n">
        <v>190</v>
      </c>
      <c r="R621" s="43" t="inlineStr">
        <is>
          <t>Longer battery than Lethe Titan Max Flip Foldable Phone [LET-086-06] (22 vs 17 hrs); Lighter than Paean Strata SE Flip Foldable Phone [PAE-066-06] (190 g vs 196 g)</t>
        </is>
      </c>
      <c r="S621" s="43" t="inlineStr">
        <is>
          <t>style, everyday, compact</t>
        </is>
      </c>
      <c r="T621" s="0" t="inlineStr">
        <is>
          <t>in_stock</t>
        </is>
      </c>
      <c r="U621" s="0" t="n">
        <v>14</v>
      </c>
      <c r="V621" s="52" t="n">
        <v>1353.99</v>
      </c>
      <c r="W621" s="0" t="inlineStr">
        <is>
          <t>2026-08-01</t>
        </is>
      </c>
      <c r="X621" s="0" t="inlineStr">
        <is>
          <t>N/A</t>
        </is>
      </c>
      <c r="Y621" s="0" t="inlineStr">
        <is>
          <t>N/A</t>
        </is>
      </c>
      <c r="Z621" s="0" t="inlineStr">
        <is>
          <t>N/A</t>
        </is>
      </c>
      <c r="AA621" s="0" t="inlineStr">
        <is>
          <t>N/A</t>
        </is>
      </c>
    </row>
    <row r="622" ht="15.75" customHeight="1" s="51">
      <c r="A622" s="43" t="inlineStr">
        <is>
          <t>MNE-061-10</t>
        </is>
      </c>
      <c r="B622" s="43" t="inlineStr">
        <is>
          <t>Mnemosyne</t>
        </is>
      </c>
      <c r="C622" s="43" t="inlineStr">
        <is>
          <t>Smartphones &amp; Tablets</t>
        </is>
      </c>
      <c r="D622" s="43" t="inlineStr">
        <is>
          <t>Smartphone</t>
        </is>
      </c>
      <c r="E622" s="44" t="inlineStr">
        <is>
          <t>Mnemosyne Prism Plus Pro Max Smartphone</t>
        </is>
      </c>
      <c r="F622" s="45" t="n">
        <v>1485.99</v>
      </c>
      <c r="G622" s="43" t="inlineStr">
        <is>
          <t>the Prism Plus; Mnemosyne Prism Plus; Mnemosynee Prism Plus; Prism Plus smartphone</t>
        </is>
      </c>
      <c r="H622" s="43" t="inlineStr">
        <is>
          <t>2 year limited</t>
        </is>
      </c>
      <c r="I622" s="43" t="inlineStr">
        <is>
          <t>FCC, CE, IP68, Qi2</t>
        </is>
      </c>
      <c r="J622" s="43" t="inlineStr">
        <is>
          <t>Qualcomm Snapdragon 8 Elite</t>
        </is>
      </c>
      <c r="K622" s="43" t="inlineStr">
        <is>
          <t>Qualcomm Adreno 830</t>
        </is>
      </c>
      <c r="L622" s="43" t="inlineStr">
        <is>
          <t>LTPO AMOLED, 1-120Hz</t>
        </is>
      </c>
      <c r="M622" s="43" t="inlineStr">
        <is>
          <t>1440x3120</t>
        </is>
      </c>
      <c r="N622" s="43" t="inlineStr">
        <is>
          <t>USB-C (USB 3.2), nano-SIM + eSIM</t>
        </is>
      </c>
      <c r="O622" s="43" t="inlineStr">
        <is>
          <t>Android 15</t>
        </is>
      </c>
      <c r="P622" s="43" t="n">
        <v>34</v>
      </c>
      <c r="Q622" s="46" t="n">
        <v>230</v>
      </c>
      <c r="R622" s="43" t="inlineStr">
        <is>
          <t>Lower price than Pan Zen SE Pro Max Smartphone [PAN-097-09] ($1,485.99 vs $1,533.99); Longer battery than Lethe Drift Lite Pro Max Smartphone [LET-086-10] (34 vs 28 hrs)</t>
        </is>
      </c>
      <c r="S622" s="43" t="inlineStr">
        <is>
          <t>photography, video, mobile gaming</t>
        </is>
      </c>
      <c r="T622" s="0" t="inlineStr">
        <is>
          <t>in_stock</t>
        </is>
      </c>
      <c r="U622" s="0" t="n">
        <v>14</v>
      </c>
      <c r="V622" s="52" t="n">
        <v>1568.99</v>
      </c>
      <c r="W622" s="0" t="inlineStr">
        <is>
          <t>2026-08-28</t>
        </is>
      </c>
      <c r="X622" s="0" t="inlineStr">
        <is>
          <t>N/A</t>
        </is>
      </c>
      <c r="Y622" s="0" t="inlineStr">
        <is>
          <t>N/A</t>
        </is>
      </c>
      <c r="Z622" s="0" t="inlineStr">
        <is>
          <t>N/A</t>
        </is>
      </c>
      <c r="AA622" s="0" t="inlineStr">
        <is>
          <t>N/A</t>
        </is>
      </c>
    </row>
    <row r="623" ht="15.75" customHeight="1" s="51">
      <c r="A623" s="43" t="inlineStr">
        <is>
          <t>CLO-062-01</t>
        </is>
      </c>
      <c r="B623" s="43" t="inlineStr">
        <is>
          <t>Clotho</t>
        </is>
      </c>
      <c r="C623" s="43" t="inlineStr">
        <is>
          <t>Smartphones &amp; Tablets</t>
        </is>
      </c>
      <c r="D623" s="43" t="inlineStr">
        <is>
          <t>Tablet</t>
        </is>
      </c>
      <c r="E623" s="44" t="inlineStr">
        <is>
          <t>Clotho Core Lite Kids Tablet</t>
        </is>
      </c>
      <c r="F623" s="45" t="n">
        <v>160.99</v>
      </c>
      <c r="G623" s="43" t="inlineStr">
        <is>
          <t>the Core Lite; Clotho Core Lite; Clootho Core Lite; Core Lite tablet</t>
        </is>
      </c>
      <c r="H623" s="43" t="inlineStr">
        <is>
          <t>1 year limited</t>
        </is>
      </c>
      <c r="I623" s="43" t="inlineStr">
        <is>
          <t>FCC, CE, TUV Rheinland Low Blue Light, EN 71 Toy Safety, Energy Star</t>
        </is>
      </c>
      <c r="J623" s="43" t="inlineStr">
        <is>
          <t>MediaTek Helio G88</t>
        </is>
      </c>
      <c r="K623" s="43" t="inlineStr">
        <is>
          <t>Arm Mali-G52 MC2</t>
        </is>
      </c>
      <c r="L623" s="43" t="inlineStr">
        <is>
          <t>IPS LCD, 60Hz</t>
        </is>
      </c>
      <c r="M623" s="43" t="inlineStr">
        <is>
          <t>800x1280</t>
        </is>
      </c>
      <c r="N623" s="43" t="inlineStr">
        <is>
          <t>USB-C (USB 2.0), microSD slot</t>
        </is>
      </c>
      <c r="O623" s="43" t="inlineStr">
        <is>
          <t>Android 14 with parental controls</t>
        </is>
      </c>
      <c r="P623" s="43" t="n">
        <v>11</v>
      </c>
      <c r="Q623" s="46" t="n">
        <v>419</v>
      </c>
      <c r="R623" s="43" t="inlineStr">
        <is>
          <t>Lighter than Comus Sable Pro Kids Tablet [COM-078-01] (419 g vs 433 g); Longer battery than Alpheus Onyx Kids Tablet [ALP-082-01] (11 vs 8 hrs)</t>
        </is>
      </c>
      <c r="S623" s="43" t="inlineStr">
        <is>
          <t>kids, learning, games</t>
        </is>
      </c>
      <c r="T623" s="0" t="inlineStr">
        <is>
          <t>in_stock</t>
        </is>
      </c>
      <c r="U623" s="0" t="n">
        <v>30</v>
      </c>
      <c r="V623" s="52" t="n">
        <v>176.99</v>
      </c>
      <c r="W623" s="0" t="inlineStr">
        <is>
          <t>2026-09-15</t>
        </is>
      </c>
      <c r="X623" s="0" t="inlineStr">
        <is>
          <t>N/A</t>
        </is>
      </c>
      <c r="Y623" s="0" t="inlineStr">
        <is>
          <t>N/A</t>
        </is>
      </c>
      <c r="Z623" s="0" t="inlineStr">
        <is>
          <t>N/A</t>
        </is>
      </c>
      <c r="AA623" s="0" t="inlineStr">
        <is>
          <t>N/A</t>
        </is>
      </c>
    </row>
    <row r="624" ht="15.75" customHeight="1" s="51">
      <c r="A624" s="43" t="inlineStr">
        <is>
          <t>CLO-062-02</t>
        </is>
      </c>
      <c r="B624" s="43" t="inlineStr">
        <is>
          <t>Clotho</t>
        </is>
      </c>
      <c r="C624" s="43" t="inlineStr">
        <is>
          <t>Smartphones &amp; Tablets</t>
        </is>
      </c>
      <c r="D624" s="43" t="inlineStr">
        <is>
          <t>Tablet</t>
        </is>
      </c>
      <c r="E624" s="44" t="inlineStr">
        <is>
          <t>Clotho Wave Ultra 8" Mini Tablet</t>
        </is>
      </c>
      <c r="F624" s="45" t="n">
        <v>367.99</v>
      </c>
      <c r="G624" s="43" t="inlineStr">
        <is>
          <t>the Wave Ultra; Clotho Wave Ultra; Cloto Wave Ultra; Wave Ultra tablet</t>
        </is>
      </c>
      <c r="H624" s="43" t="inlineStr">
        <is>
          <t>1 year limited</t>
        </is>
      </c>
      <c r="I624" s="43" t="inlineStr">
        <is>
          <t>FCC, CE, TUV Rheinland Low Blue Light</t>
        </is>
      </c>
      <c r="J624" s="43" t="inlineStr">
        <is>
          <t>MediaTek Dimensity 7300</t>
        </is>
      </c>
      <c r="K624" s="43" t="inlineStr">
        <is>
          <t>Arm Mali-G615 MC2</t>
        </is>
      </c>
      <c r="L624" s="43" t="inlineStr">
        <is>
          <t>IPS LCD, 60Hz</t>
        </is>
      </c>
      <c r="M624" s="43" t="inlineStr">
        <is>
          <t>1200x1920</t>
        </is>
      </c>
      <c r="N624" s="43" t="inlineStr">
        <is>
          <t>USB-C (USB 2.0), microSD slot</t>
        </is>
      </c>
      <c r="O624" s="43" t="inlineStr">
        <is>
          <t>Android 15</t>
        </is>
      </c>
      <c r="P624" s="43" t="n">
        <v>12</v>
      </c>
      <c r="Q624" s="46" t="n">
        <v>304</v>
      </c>
      <c r="R624" s="43" t="inlineStr">
        <is>
          <t>Lighter than Eurus Nimbus Max 8" Mini Tablet [EUR-088-01] (304 g vs 312 g); Longer battery than Lachesis Vibe Air 8" Mini Tablet [LAC-071-01] (12 vs 10 hrs)</t>
        </is>
      </c>
      <c r="S624" s="43" t="inlineStr">
        <is>
          <t>reading, travel, gaming</t>
        </is>
      </c>
      <c r="T624" s="0" t="inlineStr">
        <is>
          <t>in_stock</t>
        </is>
      </c>
      <c r="U624" s="0" t="n">
        <v>30</v>
      </c>
      <c r="V624" s="52" t="n">
        <v>382.99</v>
      </c>
      <c r="W624" s="0" t="inlineStr">
        <is>
          <t>2026-08-15</t>
        </is>
      </c>
      <c r="X624" s="0" t="inlineStr">
        <is>
          <t>N/A</t>
        </is>
      </c>
      <c r="Y624" s="0" t="inlineStr">
        <is>
          <t>N/A</t>
        </is>
      </c>
      <c r="Z624" s="0" t="inlineStr">
        <is>
          <t>N/A</t>
        </is>
      </c>
      <c r="AA624" s="0" t="inlineStr">
        <is>
          <t>N/A</t>
        </is>
      </c>
    </row>
    <row r="625" ht="15.75" customHeight="1" s="51">
      <c r="A625" s="43" t="inlineStr">
        <is>
          <t>CLO-062-03</t>
        </is>
      </c>
      <c r="B625" s="43" t="inlineStr">
        <is>
          <t>Clotho</t>
        </is>
      </c>
      <c r="C625" s="43" t="inlineStr">
        <is>
          <t>Smartphones &amp; Tablets</t>
        </is>
      </c>
      <c r="D625" s="43" t="inlineStr">
        <is>
          <t>Tablet</t>
        </is>
      </c>
      <c r="E625" s="44" t="inlineStr">
        <is>
          <t>Clotho Prism Ultra E-Ink Note Tablet</t>
        </is>
      </c>
      <c r="F625" s="45" t="n">
        <v>419.99</v>
      </c>
      <c r="G625" s="43" t="inlineStr">
        <is>
          <t>the Prism Ultra; Clotho Prism Ultra; Clootho Prism Ultra; Prism Ultra tablet</t>
        </is>
      </c>
      <c r="H625" s="43" t="inlineStr">
        <is>
          <t>1 year limited</t>
        </is>
      </c>
      <c r="I625" s="43" t="inlineStr">
        <is>
          <t>FCC, CE, TUV Rheinland Low Blue Light</t>
        </is>
      </c>
      <c r="J625" s="43" t="inlineStr">
        <is>
          <t>Rockchip RK3566</t>
        </is>
      </c>
      <c r="K625" s="43" t="inlineStr">
        <is>
          <t>Arm Mali-G52 2EE</t>
        </is>
      </c>
      <c r="L625" s="43" t="inlineStr">
        <is>
          <t>E Ink Carta 1300, front-lit</t>
        </is>
      </c>
      <c r="M625" s="43" t="inlineStr">
        <is>
          <t>1404x1872</t>
        </is>
      </c>
      <c r="N625" s="43" t="inlineStr">
        <is>
          <t>USB-C (USB 2.0), microSD slot</t>
        </is>
      </c>
      <c r="O625" s="43" t="inlineStr">
        <is>
          <t>Android 13 (E Ink optimized)</t>
        </is>
      </c>
      <c r="P625" s="43" t="n">
        <v>163</v>
      </c>
      <c r="Q625" s="46" t="n">
        <v>433</v>
      </c>
      <c r="R625" s="43" t="inlineStr">
        <is>
          <t>Longer battery than Peitho Drift Air E-Ink Note Tablet [PEI-083-03] (163 vs 131 hrs); Lower price than Hephaestus Onyx Max E-Ink Note Tablet [HEP-076-03] ($419.99 vs $432.99)</t>
        </is>
      </c>
      <c r="S625" s="43" t="inlineStr">
        <is>
          <t>reading, note-taking, school</t>
        </is>
      </c>
      <c r="T625" s="0" t="inlineStr">
        <is>
          <t>in_stock</t>
        </is>
      </c>
      <c r="U625" s="0" t="n">
        <v>30</v>
      </c>
      <c r="V625" s="52" t="n">
        <v>432.99</v>
      </c>
      <c r="W625" s="0" t="inlineStr">
        <is>
          <t>2026-08-29</t>
        </is>
      </c>
      <c r="X625" s="0" t="inlineStr">
        <is>
          <t>N/A</t>
        </is>
      </c>
      <c r="Y625" s="0" t="inlineStr">
        <is>
          <t>N/A</t>
        </is>
      </c>
      <c r="Z625" s="0" t="inlineStr">
        <is>
          <t>N/A</t>
        </is>
      </c>
      <c r="AA625" s="0" t="inlineStr">
        <is>
          <t>N/A</t>
        </is>
      </c>
    </row>
    <row r="626" ht="15.75" customHeight="1" s="51">
      <c r="A626" s="43" t="inlineStr">
        <is>
          <t>CLO-062-04</t>
        </is>
      </c>
      <c r="B626" s="43" t="inlineStr">
        <is>
          <t>Clotho</t>
        </is>
      </c>
      <c r="C626" s="43" t="inlineStr">
        <is>
          <t>Smartphones &amp; Tablets</t>
        </is>
      </c>
      <c r="D626" s="43" t="inlineStr">
        <is>
          <t>Tablet</t>
        </is>
      </c>
      <c r="E626" s="44" t="inlineStr">
        <is>
          <t>Clotho Blaze Plus 5G Tablet</t>
        </is>
      </c>
      <c r="F626" s="45" t="n">
        <v>512.99</v>
      </c>
      <c r="G626" s="43" t="inlineStr">
        <is>
          <t>the Blaze Plus; Clotho Blaze Plus; Coltho Blaze Plus; Blaze Plus tablet</t>
        </is>
      </c>
      <c r="H626" s="43" t="inlineStr">
        <is>
          <t>1 year limited</t>
        </is>
      </c>
      <c r="I626" s="43" t="inlineStr">
        <is>
          <t>FCC, CE</t>
        </is>
      </c>
      <c r="J626" s="43" t="inlineStr">
        <is>
          <t>Qualcomm Snapdragon 7+ Gen 3</t>
        </is>
      </c>
      <c r="K626" s="43" t="inlineStr">
        <is>
          <t>Qualcomm Adreno 732</t>
        </is>
      </c>
      <c r="L626" s="43" t="inlineStr">
        <is>
          <t>IPS LCD, 90Hz</t>
        </is>
      </c>
      <c r="M626" s="43" t="inlineStr">
        <is>
          <t>1600x2560</t>
        </is>
      </c>
      <c r="N626" s="43" t="inlineStr">
        <is>
          <t>USB-C (USB 2.0), microSD slot, nano-SIM + eSIM</t>
        </is>
      </c>
      <c r="O626" s="43" t="inlineStr">
        <is>
          <t>Android 15</t>
        </is>
      </c>
      <c r="P626" s="43" t="n">
        <v>11</v>
      </c>
      <c r="Q626" s="46" t="n">
        <v>484</v>
      </c>
      <c r="R626" s="43" t="inlineStr">
        <is>
          <t>Lighter than Aglaea Apex Lite 5G Tablet [AGL-079-06] (484 g vs 506 g); Lower price than Lachesis Blaze Ultra 5G Tablet [LAC-071-09] ($512.99 vs $1,155.99)</t>
        </is>
      </c>
      <c r="S626" s="43" t="inlineStr">
        <is>
          <t>travel, streaming, work on the go</t>
        </is>
      </c>
      <c r="T626" s="0" t="inlineStr">
        <is>
          <t>in_stock</t>
        </is>
      </c>
      <c r="U626" s="0" t="n">
        <v>30</v>
      </c>
      <c r="V626" s="52" t="n">
        <v>540.99</v>
      </c>
      <c r="W626" s="0" t="inlineStr">
        <is>
          <t>2026-08-20</t>
        </is>
      </c>
      <c r="X626" s="0" t="inlineStr">
        <is>
          <t>N/A</t>
        </is>
      </c>
      <c r="Y626" s="0" t="inlineStr">
        <is>
          <t>N/A</t>
        </is>
      </c>
      <c r="Z626" s="0" t="inlineStr">
        <is>
          <t>N/A</t>
        </is>
      </c>
      <c r="AA626" s="0" t="inlineStr">
        <is>
          <t>N/A</t>
        </is>
      </c>
    </row>
    <row r="627" ht="15.75" customHeight="1" s="51">
      <c r="A627" s="43" t="inlineStr">
        <is>
          <t>CLO-062-05</t>
        </is>
      </c>
      <c r="B627" s="43" t="inlineStr">
        <is>
          <t>Clotho</t>
        </is>
      </c>
      <c r="C627" s="43" t="inlineStr">
        <is>
          <t>Smartphones &amp; Tablets</t>
        </is>
      </c>
      <c r="D627" s="43" t="inlineStr">
        <is>
          <t>Tablet</t>
        </is>
      </c>
      <c r="E627" s="44" t="inlineStr">
        <is>
          <t>Clotho Titan Air 11" Tablet</t>
        </is>
      </c>
      <c r="F627" s="45" t="n">
        <v>656.99</v>
      </c>
      <c r="G627" s="43" t="inlineStr">
        <is>
          <t>the Titan Air; Clotho Titan Air; Clothho Titan Air; Titan Air tablet</t>
        </is>
      </c>
      <c r="H627" s="43" t="inlineStr">
        <is>
          <t>1 year limited</t>
        </is>
      </c>
      <c r="I627" s="43" t="inlineStr">
        <is>
          <t>FCC, CE, Energy Star</t>
        </is>
      </c>
      <c r="J627" s="43" t="inlineStr">
        <is>
          <t>MediaTek Dimensity 8300</t>
        </is>
      </c>
      <c r="K627" s="43" t="inlineStr">
        <is>
          <t>Arm Mali-G615 MC6</t>
        </is>
      </c>
      <c r="L627" s="43" t="inlineStr">
        <is>
          <t>OLED, 120Hz</t>
        </is>
      </c>
      <c r="M627" s="43" t="inlineStr">
        <is>
          <t>1752x2800</t>
        </is>
      </c>
      <c r="N627" s="43" t="inlineStr">
        <is>
          <t>USB-C (USB 2.0), microSD slot</t>
        </is>
      </c>
      <c r="O627" s="43" t="inlineStr">
        <is>
          <t>Android 15</t>
        </is>
      </c>
      <c r="P627" s="43" t="n">
        <v>13</v>
      </c>
      <c r="Q627" s="46" t="n">
        <v>495</v>
      </c>
      <c r="R627" s="43" t="inlineStr">
        <is>
          <t>Longer battery than Eurus Nova Plus 11" Tablet [EUR-088-02] (13 vs 10 hrs); Lighter than Adrastea Blaze 11" Tablet [ADR-094-05] (495 g vs 508 g)</t>
        </is>
      </c>
      <c r="S627" s="43" t="inlineStr">
        <is>
          <t>school, streaming, reading</t>
        </is>
      </c>
      <c r="T627" s="0" t="inlineStr">
        <is>
          <t>in_stock</t>
        </is>
      </c>
      <c r="U627" s="0" t="n">
        <v>30</v>
      </c>
      <c r="V627" s="52" t="n">
        <v>696.99</v>
      </c>
      <c r="W627" s="0" t="inlineStr">
        <is>
          <t>2026-08-27</t>
        </is>
      </c>
      <c r="X627" s="0" t="inlineStr">
        <is>
          <t>N/A</t>
        </is>
      </c>
      <c r="Y627" s="0" t="inlineStr">
        <is>
          <t>N/A</t>
        </is>
      </c>
      <c r="Z627" s="0" t="inlineStr">
        <is>
          <t>N/A</t>
        </is>
      </c>
      <c r="AA627" s="0" t="inlineStr">
        <is>
          <t>N/A</t>
        </is>
      </c>
    </row>
    <row r="628" ht="15.75" customHeight="1" s="51">
      <c r="A628" s="43" t="inlineStr">
        <is>
          <t>CLO-062-06</t>
        </is>
      </c>
      <c r="B628" s="43" t="inlineStr">
        <is>
          <t>Clotho</t>
        </is>
      </c>
      <c r="C628" s="43" t="inlineStr">
        <is>
          <t>Smartphones &amp; Tablets</t>
        </is>
      </c>
      <c r="D628" s="43" t="inlineStr">
        <is>
          <t>Smartphone</t>
        </is>
      </c>
      <c r="E628" s="44" t="inlineStr">
        <is>
          <t>Clotho Prism X Rugged Smartphone</t>
        </is>
      </c>
      <c r="F628" s="45" t="n">
        <v>702.99</v>
      </c>
      <c r="G628" s="43" t="inlineStr">
        <is>
          <t>the Prism X; Clotho Prism X; Clootho Prism X; Prism X smartphone</t>
        </is>
      </c>
      <c r="H628" s="43" t="inlineStr">
        <is>
          <t>2 year limited</t>
        </is>
      </c>
      <c r="I628" s="43" t="inlineStr">
        <is>
          <t>FCC, CE, IP69K, MIL-STD-810H</t>
        </is>
      </c>
      <c r="J628" s="43" t="inlineStr">
        <is>
          <t>MediaTek Dimensity 8300</t>
        </is>
      </c>
      <c r="K628" s="43" t="inlineStr">
        <is>
          <t>Arm Mali-G615 MC6</t>
        </is>
      </c>
      <c r="L628" s="43" t="inlineStr">
        <is>
          <t>IPS LCD, Gorilla Glass Victus, 120Hz</t>
        </is>
      </c>
      <c r="M628" s="43" t="inlineStr">
        <is>
          <t>1080x2400</t>
        </is>
      </c>
      <c r="N628" s="43" t="inlineStr">
        <is>
          <t>USB-C (USB 3.2), nano-SIM + eSIM, 3.5mm headphone jack, microSD slot</t>
        </is>
      </c>
      <c r="O628" s="43" t="inlineStr">
        <is>
          <t>Android 15</t>
        </is>
      </c>
      <c r="P628" s="43" t="n">
        <v>44</v>
      </c>
      <c r="Q628" s="46" t="n">
        <v>307</v>
      </c>
      <c r="R628" s="43" t="inlineStr">
        <is>
          <t>Longer battery than Pan Nova Pro Rugged Smartphone [PAN-097-04] (44 vs 30 hrs); Lighter than Mnemosyne Drift Rugged Smartphone [MNE-061-04] (307 g vs 336 g)</t>
        </is>
      </c>
      <c r="S628" s="43" t="inlineStr">
        <is>
          <t>outdoor, construction, fieldwork</t>
        </is>
      </c>
      <c r="T628" s="0" t="inlineStr">
        <is>
          <t>in_stock</t>
        </is>
      </c>
      <c r="U628" s="0" t="n">
        <v>30</v>
      </c>
      <c r="V628" s="52" t="n">
        <v>773.99</v>
      </c>
      <c r="W628" s="0" t="inlineStr">
        <is>
          <t>2026-08-12</t>
        </is>
      </c>
      <c r="X628" s="0" t="inlineStr">
        <is>
          <t>N/A</t>
        </is>
      </c>
      <c r="Y628" s="0" t="inlineStr">
        <is>
          <t>N/A</t>
        </is>
      </c>
      <c r="Z628" s="0" t="inlineStr">
        <is>
          <t>N/A</t>
        </is>
      </c>
      <c r="AA628" s="0" t="inlineStr">
        <is>
          <t>N/A</t>
        </is>
      </c>
    </row>
    <row r="629" ht="15.75" customHeight="1" s="51">
      <c r="A629" s="43" t="inlineStr">
        <is>
          <t>CLO-062-07</t>
        </is>
      </c>
      <c r="B629" s="43" t="inlineStr">
        <is>
          <t>Clotho</t>
        </is>
      </c>
      <c r="C629" s="43" t="inlineStr">
        <is>
          <t>Smartphones &amp; Tablets</t>
        </is>
      </c>
      <c r="D629" s="43" t="inlineStr">
        <is>
          <t>Smartphone</t>
        </is>
      </c>
      <c r="E629" s="44" t="inlineStr">
        <is>
          <t>Clotho Quanta Lite Compact Smartphone</t>
        </is>
      </c>
      <c r="F629" s="45" t="n">
        <v>750.99</v>
      </c>
      <c r="G629" s="43" t="inlineStr">
        <is>
          <t>the Quanta Lite; Clotho Quanta Lite; Clottho Quanta Lite; Quanta Lite smartphone</t>
        </is>
      </c>
      <c r="H629" s="43" t="inlineStr">
        <is>
          <t>1 year limited</t>
        </is>
      </c>
      <c r="I629" s="43" t="inlineStr">
        <is>
          <t>FCC, CE, IP68</t>
        </is>
      </c>
      <c r="J629" s="43" t="inlineStr">
        <is>
          <t>MediaTek Dimensity 8300</t>
        </is>
      </c>
      <c r="K629" s="43" t="inlineStr">
        <is>
          <t>Arm Mali-G615 MC6</t>
        </is>
      </c>
      <c r="L629" s="43" t="inlineStr">
        <is>
          <t>AMOLED, 120Hz</t>
        </is>
      </c>
      <c r="M629" s="43" t="inlineStr">
        <is>
          <t>1080x2340</t>
        </is>
      </c>
      <c r="N629" s="43" t="inlineStr">
        <is>
          <t>USB-C (USB 3.2), nano-SIM + eSIM</t>
        </is>
      </c>
      <c r="O629" s="43" t="inlineStr">
        <is>
          <t>Android 15</t>
        </is>
      </c>
      <c r="P629" s="43" t="n">
        <v>24</v>
      </c>
      <c r="Q629" s="46" t="n">
        <v>145</v>
      </c>
      <c r="R629" s="43" t="inlineStr">
        <is>
          <t>Longer battery than Helios Sable SE Compact Smartphone [HEL-073-04] (24 vs 18 hrs); Lower price than Peitho Vibe X Compact Smartphone [PEI-083-06] ($750.99 vs $803.99)</t>
        </is>
      </c>
      <c r="S629" s="43" t="inlineStr">
        <is>
          <t>everyday, one-handed use</t>
        </is>
      </c>
      <c r="T629" s="0" t="inlineStr">
        <is>
          <t>in_stock</t>
        </is>
      </c>
      <c r="U629" s="0" t="n">
        <v>30</v>
      </c>
      <c r="V629" s="52" t="n">
        <v>795.99</v>
      </c>
      <c r="W629" s="0" t="inlineStr">
        <is>
          <t>2026-09-14</t>
        </is>
      </c>
      <c r="X629" s="0" t="inlineStr">
        <is>
          <t>N/A</t>
        </is>
      </c>
      <c r="Y629" s="0" t="inlineStr">
        <is>
          <t>N/A</t>
        </is>
      </c>
      <c r="Z629" s="0" t="inlineStr">
        <is>
          <t>N/A</t>
        </is>
      </c>
      <c r="AA629" s="0" t="inlineStr">
        <is>
          <t>N/A</t>
        </is>
      </c>
    </row>
    <row r="630" ht="15.75" customHeight="1" s="51">
      <c r="A630" s="43" t="inlineStr">
        <is>
          <t>CLO-062-08</t>
        </is>
      </c>
      <c r="B630" s="43" t="inlineStr">
        <is>
          <t>Clotho</t>
        </is>
      </c>
      <c r="C630" s="43" t="inlineStr">
        <is>
          <t>Smartphones &amp; Tablets</t>
        </is>
      </c>
      <c r="D630" s="43" t="inlineStr">
        <is>
          <t>Smartphone</t>
        </is>
      </c>
      <c r="E630" s="44" t="inlineStr">
        <is>
          <t>Clotho Halo Flagship Smartphone</t>
        </is>
      </c>
      <c r="F630" s="45" t="n">
        <v>937.99</v>
      </c>
      <c r="G630" s="43" t="inlineStr">
        <is>
          <t>the Halo; Clotho Halo; Coltho Halo; Halo smartphone</t>
        </is>
      </c>
      <c r="H630" s="43" t="inlineStr">
        <is>
          <t>1 year limited</t>
        </is>
      </c>
      <c r="I630" s="43" t="inlineStr">
        <is>
          <t>FCC, CE, IP68, Qi2</t>
        </is>
      </c>
      <c r="J630" s="43" t="inlineStr">
        <is>
          <t>Qualcomm Snapdragon 8 Gen 3</t>
        </is>
      </c>
      <c r="K630" s="43" t="inlineStr">
        <is>
          <t>Qualcomm Adreno 750</t>
        </is>
      </c>
      <c r="L630" s="43" t="inlineStr">
        <is>
          <t>AMOLED, 120Hz</t>
        </is>
      </c>
      <c r="M630" s="43" t="inlineStr">
        <is>
          <t>1080x2400</t>
        </is>
      </c>
      <c r="N630" s="43" t="inlineStr">
        <is>
          <t>USB-C (USB 3.2), nano-SIM + eSIM</t>
        </is>
      </c>
      <c r="O630" s="43" t="inlineStr">
        <is>
          <t>Android 15</t>
        </is>
      </c>
      <c r="P630" s="43" t="n">
        <v>27</v>
      </c>
      <c r="Q630" s="46" t="n">
        <v>188</v>
      </c>
      <c r="R630" s="43" t="inlineStr">
        <is>
          <t>Longer battery than Thetis Pulse Lite Flagship Smartphone [THE-093-08] (27 vs 24 hrs); Lighter than Aglaea Vertex SE Flagship Smartphone [AGL-079-09] (188 g vs 194 g)</t>
        </is>
      </c>
      <c r="S630" s="43" t="inlineStr">
        <is>
          <t>photography, everyday, business</t>
        </is>
      </c>
      <c r="T630" s="0" t="inlineStr">
        <is>
          <t>in_stock</t>
        </is>
      </c>
      <c r="U630" s="0" t="n">
        <v>30</v>
      </c>
      <c r="V630" s="52" t="n">
        <v>1038.99</v>
      </c>
      <c r="W630" s="0" t="inlineStr">
        <is>
          <t>2026-08-12</t>
        </is>
      </c>
      <c r="X630" s="0" t="inlineStr">
        <is>
          <t>N/A</t>
        </is>
      </c>
      <c r="Y630" s="0" t="inlineStr">
        <is>
          <t>N/A</t>
        </is>
      </c>
      <c r="Z630" s="0" t="inlineStr">
        <is>
          <t>N/A</t>
        </is>
      </c>
      <c r="AA630" s="0" t="inlineStr">
        <is>
          <t>N/A</t>
        </is>
      </c>
    </row>
    <row r="631" ht="15.75" customHeight="1" s="51">
      <c r="A631" s="43" t="inlineStr">
        <is>
          <t>CLO-062-09</t>
        </is>
      </c>
      <c r="B631" s="43" t="inlineStr">
        <is>
          <t>Clotho</t>
        </is>
      </c>
      <c r="C631" s="43" t="inlineStr">
        <is>
          <t>Smartphones &amp; Tablets</t>
        </is>
      </c>
      <c r="D631" s="43" t="inlineStr">
        <is>
          <t>Tablet</t>
        </is>
      </c>
      <c r="E631" s="44" t="inlineStr">
        <is>
          <t>Clotho Onyx Pro 13" Pro Tablet</t>
        </is>
      </c>
      <c r="F631" s="45" t="n">
        <v>1688.99</v>
      </c>
      <c r="G631" s="43" t="inlineStr">
        <is>
          <t>the Onyx Pro; Clotho Onyx Pro; Klotho Onyx Pro; Onyx Pro tablet</t>
        </is>
      </c>
      <c r="H631" s="43" t="inlineStr">
        <is>
          <t>2 year limited</t>
        </is>
      </c>
      <c r="I631" s="43" t="inlineStr">
        <is>
          <t>FCC, CE, Energy Star</t>
        </is>
      </c>
      <c r="J631" s="43" t="inlineStr">
        <is>
          <t>Qualcomm Snapdragon 8 Elite</t>
        </is>
      </c>
      <c r="K631" s="43" t="inlineStr">
        <is>
          <t>Qualcomm Adreno 830</t>
        </is>
      </c>
      <c r="L631" s="43" t="inlineStr">
        <is>
          <t>Mini-LED, 144Hz</t>
        </is>
      </c>
      <c r="M631" s="43" t="inlineStr">
        <is>
          <t>2960x1848</t>
        </is>
      </c>
      <c r="N631" s="43" t="inlineStr">
        <is>
          <t>USB-C (USB 3.2), magnetic keyboard connector</t>
        </is>
      </c>
      <c r="O631" s="43" t="inlineStr">
        <is>
          <t>Android 15</t>
        </is>
      </c>
      <c r="P631" s="43" t="n">
        <v>12</v>
      </c>
      <c r="Q631" s="46" t="n">
        <v>588</v>
      </c>
      <c r="R631" s="43" t="inlineStr">
        <is>
          <t>Lighter than Aether Onyx X 13" Pro Tablet [AET-080-09] (588 g vs 590 g); Lower price than Theia Arc Air 13" Pro Tablet [THE-081-09] ($1,688.99 vs $1,756.99)</t>
        </is>
      </c>
      <c r="S631" s="43" t="inlineStr">
        <is>
          <t>creative work, productivity, drawing</t>
        </is>
      </c>
      <c r="T631" s="0" t="inlineStr">
        <is>
          <t>in_stock</t>
        </is>
      </c>
      <c r="U631" s="0" t="n">
        <v>30</v>
      </c>
      <c r="V631" s="52" t="n">
        <v>1751.99</v>
      </c>
      <c r="W631" s="0" t="inlineStr">
        <is>
          <t>2026-08-25</t>
        </is>
      </c>
      <c r="X631" s="0" t="inlineStr">
        <is>
          <t>N/A</t>
        </is>
      </c>
      <c r="Y631" s="0" t="inlineStr">
        <is>
          <t>N/A</t>
        </is>
      </c>
      <c r="Z631" s="0" t="inlineStr">
        <is>
          <t>N/A</t>
        </is>
      </c>
      <c r="AA631" s="0" t="inlineStr">
        <is>
          <t>N/A</t>
        </is>
      </c>
    </row>
    <row r="632" ht="15.75" customHeight="1" s="51">
      <c r="A632" s="43" t="inlineStr">
        <is>
          <t>CLO-062-10</t>
        </is>
      </c>
      <c r="B632" s="43" t="inlineStr">
        <is>
          <t>Clotho</t>
        </is>
      </c>
      <c r="C632" s="43" t="inlineStr">
        <is>
          <t>Smartphones &amp; Tablets</t>
        </is>
      </c>
      <c r="D632" s="43" t="inlineStr">
        <is>
          <t>Smartphone</t>
        </is>
      </c>
      <c r="E632" s="44" t="inlineStr">
        <is>
          <t>Clotho Orbit Ultra Foldable Phone</t>
        </is>
      </c>
      <c r="F632" s="45" t="n">
        <v>2169.99</v>
      </c>
      <c r="G632" s="43" t="inlineStr">
        <is>
          <t>the Orbit Ultra; Clotho Orbit Ultra; Klotho Orbit Ultra; Orbit Ultra smartphone</t>
        </is>
      </c>
      <c r="H632" s="43" t="inlineStr">
        <is>
          <t>2 year limited</t>
        </is>
      </c>
      <c r="I632" s="43" t="inlineStr">
        <is>
          <t>FCC, CE, IPX8</t>
        </is>
      </c>
      <c r="J632" s="43" t="inlineStr">
        <is>
          <t>Qualcomm Snapdragon 8 Elite</t>
        </is>
      </c>
      <c r="K632" s="43" t="inlineStr">
        <is>
          <t>Qualcomm Adreno 830</t>
        </is>
      </c>
      <c r="L632" s="43" t="inlineStr">
        <is>
          <t>Foldable LTPO AMOLED inner + AMOLED cover, 120Hz</t>
        </is>
      </c>
      <c r="M632" s="43" t="inlineStr">
        <is>
          <t>2160x1856 inner / 1080x2376 cover</t>
        </is>
      </c>
      <c r="N632" s="43" t="inlineStr">
        <is>
          <t>USB-C (USB 3.2), nano-SIM + eSIM</t>
        </is>
      </c>
      <c r="O632" s="43" t="inlineStr">
        <is>
          <t>Android 15</t>
        </is>
      </c>
      <c r="P632" s="43" t="n">
        <v>25</v>
      </c>
      <c r="Q632" s="46" t="n">
        <v>237</v>
      </c>
      <c r="R632" s="43" t="inlineStr">
        <is>
          <t>Longer battery than Styx Aria Pro Foldable Phone [STY-058-10] (25 vs 19 hrs); Lighter than Comus Aria X Foldable Phone [COM-078-10] (237 g vs 254 g)</t>
        </is>
      </c>
      <c r="S632" s="43" t="inlineStr">
        <is>
          <t>multitasking, business, media</t>
        </is>
      </c>
      <c r="T632" s="0" t="inlineStr">
        <is>
          <t>in_stock</t>
        </is>
      </c>
      <c r="U632" s="0" t="n">
        <v>30</v>
      </c>
      <c r="V632" s="52" t="n">
        <v>2415.99</v>
      </c>
      <c r="W632" s="0" t="inlineStr">
        <is>
          <t>2026-08-11</t>
        </is>
      </c>
      <c r="X632" s="0" t="inlineStr">
        <is>
          <t>N/A</t>
        </is>
      </c>
      <c r="Y632" s="0" t="inlineStr">
        <is>
          <t>N/A</t>
        </is>
      </c>
      <c r="Z632" s="0" t="inlineStr">
        <is>
          <t>N/A</t>
        </is>
      </c>
      <c r="AA632" s="0" t="inlineStr">
        <is>
          <t>N/A</t>
        </is>
      </c>
    </row>
    <row r="633" ht="15.75" customHeight="1" s="51">
      <c r="A633" s="43" t="inlineStr">
        <is>
          <t>PON-063-01</t>
        </is>
      </c>
      <c r="B633" s="43" t="inlineStr">
        <is>
          <t>Pontus</t>
        </is>
      </c>
      <c r="C633" s="43" t="inlineStr">
        <is>
          <t>Smartphones &amp; Tablets</t>
        </is>
      </c>
      <c r="D633" s="43" t="inlineStr">
        <is>
          <t>Tablet</t>
        </is>
      </c>
      <c r="E633" s="44" t="inlineStr">
        <is>
          <t>Pontus Core SE Kids Tablet</t>
        </is>
      </c>
      <c r="F633" s="45" t="n">
        <v>78.98999999999999</v>
      </c>
      <c r="G633" s="43" t="inlineStr">
        <is>
          <t>the Core SE; Pontus Core SE; Pontu Core SE; Core SE tablet</t>
        </is>
      </c>
      <c r="H633" s="43" t="inlineStr">
        <is>
          <t>1 year limited</t>
        </is>
      </c>
      <c r="I633" s="43" t="inlineStr">
        <is>
          <t>FCC, CE, TUV Rheinland Low Blue Light, EN 71 Toy Safety</t>
        </is>
      </c>
      <c r="J633" s="43" t="inlineStr">
        <is>
          <t>MediaTek Helio G88</t>
        </is>
      </c>
      <c r="K633" s="43" t="inlineStr">
        <is>
          <t>Arm Mali-G52 MC2</t>
        </is>
      </c>
      <c r="L633" s="43" t="inlineStr">
        <is>
          <t>IPS LCD, 60Hz</t>
        </is>
      </c>
      <c r="M633" s="43" t="inlineStr">
        <is>
          <t>800x1280</t>
        </is>
      </c>
      <c r="N633" s="43" t="inlineStr">
        <is>
          <t>USB-C (USB 2.0), microSD slot</t>
        </is>
      </c>
      <c r="O633" s="43" t="inlineStr">
        <is>
          <t>Android 14 with parental controls</t>
        </is>
      </c>
      <c r="P633" s="43" t="n">
        <v>12</v>
      </c>
      <c r="Q633" s="46" t="n">
        <v>404</v>
      </c>
      <c r="R633" s="43" t="inlineStr">
        <is>
          <t>Longer battery than Aglaea Prism Pro Kids Tablet [AGL-079-01] (12 vs 8 hrs); Lower price than Elpis Titan X Kids Tablet [ELP-074-01] ($78.99 vs $193.99)</t>
        </is>
      </c>
      <c r="S633" s="43" t="inlineStr">
        <is>
          <t>kids, learning, games</t>
        </is>
      </c>
      <c r="T633" s="0" t="inlineStr">
        <is>
          <t>in_stock</t>
        </is>
      </c>
      <c r="U633" s="0" t="n">
        <v>45</v>
      </c>
      <c r="V633" s="52" t="n">
        <v>87.98999999999999</v>
      </c>
      <c r="W633" s="0" t="inlineStr">
        <is>
          <t>2026-08-20</t>
        </is>
      </c>
      <c r="X633" s="0" t="inlineStr">
        <is>
          <t>N/A</t>
        </is>
      </c>
      <c r="Y633" s="0" t="inlineStr">
        <is>
          <t>N/A</t>
        </is>
      </c>
      <c r="Z633" s="0" t="inlineStr">
        <is>
          <t>N/A</t>
        </is>
      </c>
      <c r="AA633" s="0" t="inlineStr">
        <is>
          <t>N/A</t>
        </is>
      </c>
    </row>
    <row r="634" ht="15.75" customHeight="1" s="51">
      <c r="A634" s="43" t="inlineStr">
        <is>
          <t>PON-063-02</t>
        </is>
      </c>
      <c r="B634" s="43" t="inlineStr">
        <is>
          <t>Pontus</t>
        </is>
      </c>
      <c r="C634" s="43" t="inlineStr">
        <is>
          <t>Smartphones &amp; Tablets</t>
        </is>
      </c>
      <c r="D634" s="43" t="inlineStr">
        <is>
          <t>Smartphone</t>
        </is>
      </c>
      <c r="E634" s="44" t="inlineStr">
        <is>
          <t>Pontus Aeon Max Budget Smartphone</t>
        </is>
      </c>
      <c r="F634" s="45" t="n">
        <v>188.99</v>
      </c>
      <c r="G634" s="43" t="inlineStr">
        <is>
          <t>the Aeon Max; Pontus Aeon Max; Pontos Aeon Max; Aeon Max smartphone</t>
        </is>
      </c>
      <c r="H634" s="43" t="inlineStr">
        <is>
          <t>1 year limited</t>
        </is>
      </c>
      <c r="I634" s="43" t="inlineStr">
        <is>
          <t>FCC, CE, IP54</t>
        </is>
      </c>
      <c r="J634" s="43" t="inlineStr">
        <is>
          <t>MediaTek Helio G99</t>
        </is>
      </c>
      <c r="K634" s="43" t="inlineStr">
        <is>
          <t>Arm Mali-G57 MC2</t>
        </is>
      </c>
      <c r="L634" s="43" t="inlineStr">
        <is>
          <t>IPS LCD, 90Hz</t>
        </is>
      </c>
      <c r="M634" s="43" t="inlineStr">
        <is>
          <t>720x1600</t>
        </is>
      </c>
      <c r="N634" s="43" t="inlineStr">
        <is>
          <t>USB-C (USB 2.0), nano-SIM + eSIM, 3.5mm headphone jack, microSD slot</t>
        </is>
      </c>
      <c r="O634" s="43" t="inlineStr">
        <is>
          <t>Android 14</t>
        </is>
      </c>
      <c r="P634" s="43" t="n">
        <v>30</v>
      </c>
      <c r="Q634" s="46" t="n">
        <v>193</v>
      </c>
      <c r="R634" s="43" t="inlineStr">
        <is>
          <t>Longer battery than Pan Aeon Ultra Budget Smartphone [PAN-097-01] (30 vs 20 hrs); Lower price than Phorcys Nimbus Ultra Budget Smartphone [PHO-087-01] ($188.99 vs $340.99)</t>
        </is>
      </c>
      <c r="S634" s="43" t="inlineStr">
        <is>
          <t>budget, first phone, everyday</t>
        </is>
      </c>
      <c r="T634" s="0" t="inlineStr">
        <is>
          <t>low_stock</t>
        </is>
      </c>
      <c r="U634" s="0" t="n">
        <v>45</v>
      </c>
      <c r="V634" s="52" t="n">
        <v>211.99</v>
      </c>
      <c r="W634" s="0" t="inlineStr">
        <is>
          <t>2026-08-21</t>
        </is>
      </c>
      <c r="X634" s="0" t="inlineStr">
        <is>
          <t>N/A</t>
        </is>
      </c>
      <c r="Y634" s="0" t="inlineStr">
        <is>
          <t>N/A</t>
        </is>
      </c>
      <c r="Z634" s="0" t="inlineStr">
        <is>
          <t>N/A</t>
        </is>
      </c>
      <c r="AA634" s="0" t="inlineStr">
        <is>
          <t>N/A</t>
        </is>
      </c>
    </row>
    <row r="635" ht="15.75" customHeight="1" s="51">
      <c r="A635" s="43" t="inlineStr">
        <is>
          <t>PON-063-03</t>
        </is>
      </c>
      <c r="B635" s="43" t="inlineStr">
        <is>
          <t>Pontus</t>
        </is>
      </c>
      <c r="C635" s="43" t="inlineStr">
        <is>
          <t>Smartphones &amp; Tablets</t>
        </is>
      </c>
      <c r="D635" s="43" t="inlineStr">
        <is>
          <t>Tablet</t>
        </is>
      </c>
      <c r="E635" s="44" t="inlineStr">
        <is>
          <t>Pontus Nimbus Air E-Ink Note Tablet</t>
        </is>
      </c>
      <c r="F635" s="45" t="n">
        <v>329.99</v>
      </c>
      <c r="G635" s="43" t="inlineStr">
        <is>
          <t>the Nimbus Air; Pontus Nimbus Air; Poontus Nimbus Air; Nimbus Air tablet</t>
        </is>
      </c>
      <c r="H635" s="43" t="inlineStr">
        <is>
          <t>1 year limited</t>
        </is>
      </c>
      <c r="I635" s="43" t="inlineStr">
        <is>
          <t>FCC, CE, TUV Rheinland Low Blue Light</t>
        </is>
      </c>
      <c r="J635" s="43" t="inlineStr">
        <is>
          <t>Rockchip RK3566</t>
        </is>
      </c>
      <c r="K635" s="43" t="inlineStr">
        <is>
          <t>Arm Mali-G52 2EE</t>
        </is>
      </c>
      <c r="L635" s="43" t="inlineStr">
        <is>
          <t>E Ink Carta 1300, front-lit</t>
        </is>
      </c>
      <c r="M635" s="43" t="inlineStr">
        <is>
          <t>1404x1872</t>
        </is>
      </c>
      <c r="N635" s="43" t="inlineStr">
        <is>
          <t>USB-C (USB 2.0), microSD slot</t>
        </is>
      </c>
      <c r="O635" s="43" t="inlineStr">
        <is>
          <t>Android 13 (E Ink optimized)</t>
        </is>
      </c>
      <c r="P635" s="43" t="n">
        <v>153</v>
      </c>
      <c r="Q635" s="46" t="n">
        <v>396</v>
      </c>
      <c r="R635" s="43" t="inlineStr">
        <is>
          <t>Lighter than Aglaea Echo Plus E-Ink Note Tablet [AGL-079-04] (396 g vs 437 g); Lower price than Phorcys Halo Ultra E-Ink Note Tablet [PHO-087-04] ($329.99 vs $670.99)</t>
        </is>
      </c>
      <c r="S635" s="43" t="inlineStr">
        <is>
          <t>reading, note-taking, school</t>
        </is>
      </c>
      <c r="T635" s="0" t="inlineStr">
        <is>
          <t>in_stock</t>
        </is>
      </c>
      <c r="U635" s="0" t="n">
        <v>45</v>
      </c>
      <c r="V635" s="52" t="n">
        <v>358.99</v>
      </c>
      <c r="W635" s="0" t="inlineStr">
        <is>
          <t>2026-08-23</t>
        </is>
      </c>
      <c r="X635" s="0" t="inlineStr">
        <is>
          <t>N/A</t>
        </is>
      </c>
      <c r="Y635" s="0" t="inlineStr">
        <is>
          <t>N/A</t>
        </is>
      </c>
      <c r="Z635" s="0" t="inlineStr">
        <is>
          <t>N/A</t>
        </is>
      </c>
      <c r="AA635" s="0" t="inlineStr">
        <is>
          <t>N/A</t>
        </is>
      </c>
    </row>
    <row r="636" ht="15.75" customHeight="1" s="51">
      <c r="A636" s="43" t="inlineStr">
        <is>
          <t>PON-063-04</t>
        </is>
      </c>
      <c r="B636" s="43" t="inlineStr">
        <is>
          <t>Pontus</t>
        </is>
      </c>
      <c r="C636" s="43" t="inlineStr">
        <is>
          <t>Smartphones &amp; Tablets</t>
        </is>
      </c>
      <c r="D636" s="43" t="inlineStr">
        <is>
          <t>Tablet</t>
        </is>
      </c>
      <c r="E636" s="44" t="inlineStr">
        <is>
          <t>Pontus Rift Pro 8" Mini Tablet</t>
        </is>
      </c>
      <c r="F636" s="45" t="n">
        <v>363.99</v>
      </c>
      <c r="G636" s="43" t="inlineStr">
        <is>
          <t>the Rift Pro; Pontus Rift Pro; Ponuts Rift Pro; Rift Pro tablet</t>
        </is>
      </c>
      <c r="H636" s="43" t="inlineStr">
        <is>
          <t>1 year limited</t>
        </is>
      </c>
      <c r="I636" s="43" t="inlineStr">
        <is>
          <t>FCC, CE, TUV Rheinland Low Blue Light</t>
        </is>
      </c>
      <c r="J636" s="43" t="inlineStr">
        <is>
          <t>MediaTek Dimensity 7300</t>
        </is>
      </c>
      <c r="K636" s="43" t="inlineStr">
        <is>
          <t>Arm Mali-G615 MC2</t>
        </is>
      </c>
      <c r="L636" s="43" t="inlineStr">
        <is>
          <t>IPS LCD, 60Hz</t>
        </is>
      </c>
      <c r="M636" s="43" t="inlineStr">
        <is>
          <t>1200x1920</t>
        </is>
      </c>
      <c r="N636" s="43" t="inlineStr">
        <is>
          <t>USB-C (USB 2.0), microSD slot</t>
        </is>
      </c>
      <c r="O636" s="43" t="inlineStr">
        <is>
          <t>Android 15</t>
        </is>
      </c>
      <c r="P636" s="43" t="n">
        <v>10</v>
      </c>
      <c r="Q636" s="46" t="n">
        <v>336</v>
      </c>
      <c r="R636" s="43" t="inlineStr">
        <is>
          <t>Lower price than Comus Zen Max 8" Mini Tablet [COM-078-03] ($363.99 vs $401.99); Lighter than Thetis Axis X 8" Mini Tablet [THE-093-02] (336 g vs 338 g)</t>
        </is>
      </c>
      <c r="S636" s="43" t="inlineStr">
        <is>
          <t>reading, travel, gaming</t>
        </is>
      </c>
      <c r="T636" s="0" t="inlineStr">
        <is>
          <t>in_stock</t>
        </is>
      </c>
      <c r="U636" s="0" t="n">
        <v>45</v>
      </c>
      <c r="V636" s="52" t="n">
        <v>414.99</v>
      </c>
      <c r="W636" s="0" t="inlineStr">
        <is>
          <t>2026-08-23</t>
        </is>
      </c>
      <c r="X636" s="0" t="inlineStr">
        <is>
          <t>N/A</t>
        </is>
      </c>
      <c r="Y636" s="0" t="inlineStr">
        <is>
          <t>N/A</t>
        </is>
      </c>
      <c r="Z636" s="0" t="inlineStr">
        <is>
          <t>N/A</t>
        </is>
      </c>
      <c r="AA636" s="0" t="inlineStr">
        <is>
          <t>N/A</t>
        </is>
      </c>
    </row>
    <row r="637" ht="15.75" customHeight="1" s="51">
      <c r="A637" s="43" t="inlineStr">
        <is>
          <t>PON-063-05</t>
        </is>
      </c>
      <c r="B637" s="43" t="inlineStr">
        <is>
          <t>Pontus</t>
        </is>
      </c>
      <c r="C637" s="43" t="inlineStr">
        <is>
          <t>Smartphones &amp; Tablets</t>
        </is>
      </c>
      <c r="D637" s="43" t="inlineStr">
        <is>
          <t>Smartphone</t>
        </is>
      </c>
      <c r="E637" s="44" t="inlineStr">
        <is>
          <t>Pontus Aeon Max Rugged Smartphone</t>
        </is>
      </c>
      <c r="F637" s="45" t="n">
        <v>418.99</v>
      </c>
      <c r="G637" s="43" t="inlineStr">
        <is>
          <t>the Aeon Max; Pontus Aeon Max; Poontus Aeon Max; Aeon Max smartphone</t>
        </is>
      </c>
      <c r="H637" s="43" t="inlineStr">
        <is>
          <t>2 year limited</t>
        </is>
      </c>
      <c r="I637" s="43" t="inlineStr">
        <is>
          <t>FCC, CE, IP69K, MIL-STD-810H</t>
        </is>
      </c>
      <c r="J637" s="43" t="inlineStr">
        <is>
          <t>MediaTek Dimensity 7300</t>
        </is>
      </c>
      <c r="K637" s="43" t="inlineStr">
        <is>
          <t>Arm Mali-G615 MC2</t>
        </is>
      </c>
      <c r="L637" s="43" t="inlineStr">
        <is>
          <t>IPS LCD, Gorilla Glass Victus, 120Hz</t>
        </is>
      </c>
      <c r="M637" s="43" t="inlineStr">
        <is>
          <t>1080x2400</t>
        </is>
      </c>
      <c r="N637" s="43" t="inlineStr">
        <is>
          <t>USB-C (USB 2.0), nano-SIM + eSIM, 3.5mm headphone jack, microSD slot</t>
        </is>
      </c>
      <c r="O637" s="43" t="inlineStr">
        <is>
          <t>Android 15</t>
        </is>
      </c>
      <c r="P637" s="43" t="n">
        <v>45</v>
      </c>
      <c r="Q637" s="46" t="n">
        <v>293</v>
      </c>
      <c r="R637" s="43" t="inlineStr">
        <is>
          <t>Longer battery than Comus Axis Pro Rugged Smartphone [COM-078-04] (45 vs 39 hrs); Lower price than Styx Aria SE Rugged Smartphone [STY-058-03] ($418.99 vs $694.99)</t>
        </is>
      </c>
      <c r="S637" s="43" t="inlineStr">
        <is>
          <t>outdoor, construction, fieldwork</t>
        </is>
      </c>
      <c r="T637" s="0" t="inlineStr">
        <is>
          <t>in_stock</t>
        </is>
      </c>
      <c r="U637" s="0" t="n">
        <v>45</v>
      </c>
      <c r="V637" s="52" t="n">
        <v>470.99</v>
      </c>
      <c r="W637" s="0" t="inlineStr">
        <is>
          <t>2026-08-15</t>
        </is>
      </c>
      <c r="X637" s="0" t="inlineStr">
        <is>
          <t>N/A</t>
        </is>
      </c>
      <c r="Y637" s="0" t="inlineStr">
        <is>
          <t>N/A</t>
        </is>
      </c>
      <c r="Z637" s="0" t="inlineStr">
        <is>
          <t>N/A</t>
        </is>
      </c>
      <c r="AA637" s="0" t="inlineStr">
        <is>
          <t>N/A</t>
        </is>
      </c>
    </row>
    <row r="638" ht="15.75" customHeight="1" s="51">
      <c r="A638" s="43" t="inlineStr">
        <is>
          <t>PON-063-06</t>
        </is>
      </c>
      <c r="B638" s="43" t="inlineStr">
        <is>
          <t>Pontus</t>
        </is>
      </c>
      <c r="C638" s="43" t="inlineStr">
        <is>
          <t>Smartphones &amp; Tablets</t>
        </is>
      </c>
      <c r="D638" s="43" t="inlineStr">
        <is>
          <t>Smartphone</t>
        </is>
      </c>
      <c r="E638" s="44" t="inlineStr">
        <is>
          <t>Pontus Vibe Ultra Compact Smartphone</t>
        </is>
      </c>
      <c r="F638" s="45" t="n">
        <v>592.99</v>
      </c>
      <c r="G638" s="43" t="inlineStr">
        <is>
          <t>the Vibe Ultra; Pontus Vibe Ultra; Pontu Vibe Ultra; Vibe Ultra smartphone</t>
        </is>
      </c>
      <c r="H638" s="43" t="inlineStr">
        <is>
          <t>1 year limited</t>
        </is>
      </c>
      <c r="I638" s="43" t="inlineStr">
        <is>
          <t>FCC, CE, IP68</t>
        </is>
      </c>
      <c r="J638" s="43" t="inlineStr">
        <is>
          <t>Qualcomm Snapdragon 7+ Gen 3</t>
        </is>
      </c>
      <c r="K638" s="43" t="inlineStr">
        <is>
          <t>Qualcomm Adreno 732</t>
        </is>
      </c>
      <c r="L638" s="43" t="inlineStr">
        <is>
          <t>AMOLED, 120Hz</t>
        </is>
      </c>
      <c r="M638" s="43" t="inlineStr">
        <is>
          <t>1080x2340</t>
        </is>
      </c>
      <c r="N638" s="43" t="inlineStr">
        <is>
          <t>USB-C (USB 2.0), nano-SIM + eSIM</t>
        </is>
      </c>
      <c r="O638" s="43" t="inlineStr">
        <is>
          <t>Android 15</t>
        </is>
      </c>
      <c r="P638" s="43" t="n">
        <v>18</v>
      </c>
      <c r="Q638" s="46" t="n">
        <v>156</v>
      </c>
      <c r="R638" s="43" t="inlineStr">
        <is>
          <t>Lower price than Panacea Nova Air Compact Smartphone [PAN-069-05] ($592.99 vs $687.99); Lighter than Thetis Sable SE Compact Smartphone [THE-093-06] (156 g vs 159 g)</t>
        </is>
      </c>
      <c r="S638" s="43" t="inlineStr">
        <is>
          <t>everyday, one-handed use</t>
        </is>
      </c>
      <c r="T638" s="0" t="inlineStr">
        <is>
          <t>in_stock</t>
        </is>
      </c>
      <c r="U638" s="0" t="n">
        <v>45</v>
      </c>
      <c r="V638" s="52" t="n">
        <v>616.99</v>
      </c>
      <c r="W638" s="0" t="inlineStr">
        <is>
          <t>2026-09-19</t>
        </is>
      </c>
      <c r="X638" s="0" t="inlineStr">
        <is>
          <t>N/A</t>
        </is>
      </c>
      <c r="Y638" s="0" t="inlineStr">
        <is>
          <t>N/A</t>
        </is>
      </c>
      <c r="Z638" s="0" t="inlineStr">
        <is>
          <t>N/A</t>
        </is>
      </c>
      <c r="AA638" s="0" t="inlineStr">
        <is>
          <t>N/A</t>
        </is>
      </c>
    </row>
    <row r="639" ht="15.75" customHeight="1" s="51">
      <c r="A639" s="43" t="inlineStr">
        <is>
          <t>PON-063-07</t>
        </is>
      </c>
      <c r="B639" s="43" t="inlineStr">
        <is>
          <t>Pontus</t>
        </is>
      </c>
      <c r="C639" s="43" t="inlineStr">
        <is>
          <t>Smartphones &amp; Tablets</t>
        </is>
      </c>
      <c r="D639" s="43" t="inlineStr">
        <is>
          <t>Tablet</t>
        </is>
      </c>
      <c r="E639" s="44" t="inlineStr">
        <is>
          <t>Pontus Prism X Drawing Tablet with Stylus</t>
        </is>
      </c>
      <c r="F639" s="45" t="n">
        <v>735.99</v>
      </c>
      <c r="G639" s="43" t="inlineStr">
        <is>
          <t>the Prism X; Pontus Prism X; Ponttus Prism X; Prism X tablet</t>
        </is>
      </c>
      <c r="H639" s="43" t="inlineStr">
        <is>
          <t>1 year limited</t>
        </is>
      </c>
      <c r="I639" s="43" t="inlineStr">
        <is>
          <t>FCC, CE, TUV Rheinland Low Blue Light</t>
        </is>
      </c>
      <c r="J639" s="43" t="inlineStr">
        <is>
          <t>MediaTek Dimensity 8300</t>
        </is>
      </c>
      <c r="K639" s="43" t="inlineStr">
        <is>
          <t>Arm Mali-G615 MC6</t>
        </is>
      </c>
      <c r="L639" s="43" t="inlineStr">
        <is>
          <t>IPS LCD anti-glare, pen digitizer</t>
        </is>
      </c>
      <c r="M639" s="43" t="inlineStr">
        <is>
          <t>2000x1200</t>
        </is>
      </c>
      <c r="N639" s="43" t="inlineStr">
        <is>
          <t>USB-C (USB 3.2), microSD slot</t>
        </is>
      </c>
      <c r="O639" s="43" t="inlineStr">
        <is>
          <t>Android 15</t>
        </is>
      </c>
      <c r="P639" s="43" t="n">
        <v>11</v>
      </c>
      <c r="Q639" s="46" t="n">
        <v>525</v>
      </c>
      <c r="R639" s="43" t="inlineStr">
        <is>
          <t>Longer battery than Erato Blaze Pro Drawing Tablet with Stylus [ERA-085-02] (11 vs 9 hrs); Lower price than Pan Volt Pro Drawing Tablet with Stylus [PAN-097-07] ($735.99 vs $946.99)</t>
        </is>
      </c>
      <c r="S639" s="43" t="inlineStr">
        <is>
          <t>drawing, design, note-taking</t>
        </is>
      </c>
      <c r="T639" s="0" t="inlineStr">
        <is>
          <t>low_stock</t>
        </is>
      </c>
      <c r="U639" s="0" t="n">
        <v>45</v>
      </c>
      <c r="V639" s="52" t="n">
        <v>771.99</v>
      </c>
      <c r="W639" s="0" t="inlineStr">
        <is>
          <t>2026-08-20</t>
        </is>
      </c>
      <c r="X639" s="0" t="inlineStr">
        <is>
          <t>N/A</t>
        </is>
      </c>
      <c r="Y639" s="0" t="inlineStr">
        <is>
          <t>N/A</t>
        </is>
      </c>
      <c r="Z639" s="0" t="inlineStr">
        <is>
          <t>N/A</t>
        </is>
      </c>
      <c r="AA639" s="0" t="inlineStr">
        <is>
          <t>N/A</t>
        </is>
      </c>
    </row>
    <row r="640" ht="15.75" customHeight="1" s="51">
      <c r="A640" s="43" t="inlineStr">
        <is>
          <t>PON-063-08</t>
        </is>
      </c>
      <c r="B640" s="43" t="inlineStr">
        <is>
          <t>Pontus</t>
        </is>
      </c>
      <c r="C640" s="43" t="inlineStr">
        <is>
          <t>Smartphones &amp; Tablets</t>
        </is>
      </c>
      <c r="D640" s="43" t="inlineStr">
        <is>
          <t>Smartphone</t>
        </is>
      </c>
      <c r="E640" s="44" t="inlineStr">
        <is>
          <t>Pontus Drift Plus Flip Foldable Phone</t>
        </is>
      </c>
      <c r="F640" s="45" t="n">
        <v>931.99</v>
      </c>
      <c r="G640" s="43" t="inlineStr">
        <is>
          <t>the Drift Plus; Pontus Drift Plus; Pontos Drift Plus; Drift Plus smartphone</t>
        </is>
      </c>
      <c r="H640" s="43" t="inlineStr">
        <is>
          <t>1 year limited</t>
        </is>
      </c>
      <c r="I640" s="43" t="inlineStr">
        <is>
          <t>FCC, CE, IPX8</t>
        </is>
      </c>
      <c r="J640" s="43" t="inlineStr">
        <is>
          <t>Qualcomm Snapdragon 8 Gen 3</t>
        </is>
      </c>
      <c r="K640" s="43" t="inlineStr">
        <is>
          <t>Qualcomm Adreno 750</t>
        </is>
      </c>
      <c r="L640" s="43" t="inlineStr">
        <is>
          <t>Foldable AMOLED inner + AMOLED cover screen</t>
        </is>
      </c>
      <c r="M640" s="43" t="inlineStr">
        <is>
          <t>1080x2640 inner / 720x748 cover</t>
        </is>
      </c>
      <c r="N640" s="43" t="inlineStr">
        <is>
          <t>USB-C (USB 3.2), nano-SIM + eSIM</t>
        </is>
      </c>
      <c r="O640" s="43" t="inlineStr">
        <is>
          <t>Android 15</t>
        </is>
      </c>
      <c r="P640" s="43" t="n">
        <v>22</v>
      </c>
      <c r="Q640" s="46" t="n">
        <v>184</v>
      </c>
      <c r="R640" s="43" t="inlineStr">
        <is>
          <t>Lighter than Aether Lumen Pro Flip Foldable Phone [AET-080-07] (184 g vs 188 g); Lower price than Phorcys Rift Plus Flip Foldable Phone [PHO-087-08] ($931.99 vs $1,153.99)</t>
        </is>
      </c>
      <c r="S640" s="43" t="inlineStr">
        <is>
          <t>style, everyday, compact</t>
        </is>
      </c>
      <c r="T640" s="0" t="inlineStr">
        <is>
          <t>in_stock</t>
        </is>
      </c>
      <c r="U640" s="0" t="n">
        <v>45</v>
      </c>
      <c r="V640" s="52" t="n">
        <v>1069.99</v>
      </c>
      <c r="W640" s="0" t="inlineStr">
        <is>
          <t>2026-08-29</t>
        </is>
      </c>
      <c r="X640" s="0" t="inlineStr">
        <is>
          <t>N/A</t>
        </is>
      </c>
      <c r="Y640" s="0" t="inlineStr">
        <is>
          <t>N/A</t>
        </is>
      </c>
      <c r="Z640" s="0" t="inlineStr">
        <is>
          <t>N/A</t>
        </is>
      </c>
      <c r="AA640" s="0" t="inlineStr">
        <is>
          <t>N/A</t>
        </is>
      </c>
    </row>
    <row r="641" ht="15.75" customHeight="1" s="51">
      <c r="A641" s="43" t="inlineStr">
        <is>
          <t>PON-063-09</t>
        </is>
      </c>
      <c r="B641" s="43" t="inlineStr">
        <is>
          <t>Pontus</t>
        </is>
      </c>
      <c r="C641" s="43" t="inlineStr">
        <is>
          <t>Smartphones &amp; Tablets</t>
        </is>
      </c>
      <c r="D641" s="43" t="inlineStr">
        <is>
          <t>Smartphone</t>
        </is>
      </c>
      <c r="E641" s="44" t="inlineStr">
        <is>
          <t>Pontus Arc Flagship Smartphone</t>
        </is>
      </c>
      <c r="F641" s="45" t="n">
        <v>1152.99</v>
      </c>
      <c r="G641" s="43" t="inlineStr">
        <is>
          <t>the Arc; Pontus Arc; Pnotus Arc; Arc smartphone</t>
        </is>
      </c>
      <c r="H641" s="43" t="inlineStr">
        <is>
          <t>2 year limited</t>
        </is>
      </c>
      <c r="I641" s="43" t="inlineStr">
        <is>
          <t>FCC, CE, IP68, Qi2</t>
        </is>
      </c>
      <c r="J641" s="43" t="inlineStr">
        <is>
          <t>MediaTek Dimensity 9400</t>
        </is>
      </c>
      <c r="K641" s="43" t="inlineStr">
        <is>
          <t>Arm Immortalis-G925</t>
        </is>
      </c>
      <c r="L641" s="43" t="inlineStr">
        <is>
          <t>LTPO AMOLED, 1-120Hz</t>
        </is>
      </c>
      <c r="M641" s="43" t="inlineStr">
        <is>
          <t>1440x3120</t>
        </is>
      </c>
      <c r="N641" s="43" t="inlineStr">
        <is>
          <t>USB-C (USB 3.2), nano-SIM + eSIM</t>
        </is>
      </c>
      <c r="O641" s="43" t="inlineStr">
        <is>
          <t>Android 15</t>
        </is>
      </c>
      <c r="P641" s="43" t="n">
        <v>31</v>
      </c>
      <c r="Q641" s="46" t="n">
        <v>182</v>
      </c>
      <c r="R641" s="43" t="inlineStr">
        <is>
          <t>Longer battery than Coeus Lumen SE Flagship Smartphone [COE-075-08] (31 vs 23 hrs); Lower price than Plutus Axis Plus Flagship Smartphone [PLU-100-08] ($1,152.99 vs $1,198.99)</t>
        </is>
      </c>
      <c r="S641" s="43" t="inlineStr">
        <is>
          <t>photography, everyday, business</t>
        </is>
      </c>
      <c r="T641" s="0" t="inlineStr">
        <is>
          <t>in_stock</t>
        </is>
      </c>
      <c r="U641" s="0" t="n">
        <v>45</v>
      </c>
      <c r="V641" s="52" t="n">
        <v>1202.99</v>
      </c>
      <c r="W641" s="0" t="inlineStr">
        <is>
          <t>2026-09-25</t>
        </is>
      </c>
      <c r="X641" s="0" t="inlineStr">
        <is>
          <t>N/A</t>
        </is>
      </c>
      <c r="Y641" s="0" t="inlineStr">
        <is>
          <t>N/A</t>
        </is>
      </c>
      <c r="Z641" s="0" t="inlineStr">
        <is>
          <t>N/A</t>
        </is>
      </c>
      <c r="AA641" s="0" t="inlineStr">
        <is>
          <t>N/A</t>
        </is>
      </c>
    </row>
    <row r="642" ht="15.75" customHeight="1" s="51">
      <c r="A642" s="43" t="inlineStr">
        <is>
          <t>PON-063-10</t>
        </is>
      </c>
      <c r="B642" s="43" t="inlineStr">
        <is>
          <t>Pontus</t>
        </is>
      </c>
      <c r="C642" s="43" t="inlineStr">
        <is>
          <t>Smartphones &amp; Tablets</t>
        </is>
      </c>
      <c r="D642" s="43" t="inlineStr">
        <is>
          <t>Tablet</t>
        </is>
      </c>
      <c r="E642" s="44" t="inlineStr">
        <is>
          <t>Pontus Lumen 13" Pro Tablet</t>
        </is>
      </c>
      <c r="F642" s="45" t="n">
        <v>1738.99</v>
      </c>
      <c r="G642" s="43" t="inlineStr">
        <is>
          <t>the Lumen; Pontus Lumen; Ponttus Lumen; Lumen tablet</t>
        </is>
      </c>
      <c r="H642" s="43" t="inlineStr">
        <is>
          <t>2 year limited</t>
        </is>
      </c>
      <c r="I642" s="43" t="inlineStr">
        <is>
          <t>FCC, CE, Energy Star</t>
        </is>
      </c>
      <c r="J642" s="43" t="inlineStr">
        <is>
          <t>Qualcomm Snapdragon 8 Elite</t>
        </is>
      </c>
      <c r="K642" s="43" t="inlineStr">
        <is>
          <t>Qualcomm Adreno 830</t>
        </is>
      </c>
      <c r="L642" s="43" t="inlineStr">
        <is>
          <t>Mini-LED, 144Hz</t>
        </is>
      </c>
      <c r="M642" s="43" t="inlineStr">
        <is>
          <t>2960x1848</t>
        </is>
      </c>
      <c r="N642" s="43" t="inlineStr">
        <is>
          <t>USB-C (USB 3.2), magnetic keyboard connector</t>
        </is>
      </c>
      <c r="O642" s="43" t="inlineStr">
        <is>
          <t>Android 15</t>
        </is>
      </c>
      <c r="P642" s="43" t="n">
        <v>11</v>
      </c>
      <c r="Q642" s="46" t="n">
        <v>636</v>
      </c>
      <c r="R642" s="43" t="inlineStr">
        <is>
          <t>Longer battery than Helios Arc Max 13" Pro Tablet [HEL-073-09] (11 vs 9 hrs); Lighter than Lethe Onyx SE 13" Pro Tablet [LET-086-08] (636 g vs 637 g)</t>
        </is>
      </c>
      <c r="S642" s="43" t="inlineStr">
        <is>
          <t>creative work, productivity, drawing</t>
        </is>
      </c>
      <c r="T642" s="0" t="inlineStr">
        <is>
          <t>in_stock</t>
        </is>
      </c>
      <c r="U642" s="0" t="n">
        <v>45</v>
      </c>
      <c r="V642" s="52" t="n">
        <v>1875.99</v>
      </c>
      <c r="W642" s="0" t="inlineStr">
        <is>
          <t>2026-08-25</t>
        </is>
      </c>
      <c r="X642" s="0" t="inlineStr">
        <is>
          <t>N/A</t>
        </is>
      </c>
      <c r="Y642" s="0" t="inlineStr">
        <is>
          <t>N/A</t>
        </is>
      </c>
      <c r="Z642" s="0" t="inlineStr">
        <is>
          <t>N/A</t>
        </is>
      </c>
      <c r="AA642" s="0" t="inlineStr">
        <is>
          <t>N/A</t>
        </is>
      </c>
    </row>
    <row r="643" ht="15.75" customHeight="1" s="51">
      <c r="A643" s="43" t="inlineStr">
        <is>
          <t>ATH-064-01</t>
        </is>
      </c>
      <c r="B643" s="43" t="inlineStr">
        <is>
          <t>Athena</t>
        </is>
      </c>
      <c r="C643" s="43" t="inlineStr">
        <is>
          <t>Smartphones &amp; Tablets</t>
        </is>
      </c>
      <c r="D643" s="43" t="inlineStr">
        <is>
          <t>Tablet</t>
        </is>
      </c>
      <c r="E643" s="44" t="inlineStr">
        <is>
          <t>Athena Rift X Kids Tablet</t>
        </is>
      </c>
      <c r="F643" s="45" t="n">
        <v>87.98999999999999</v>
      </c>
      <c r="G643" s="43" t="inlineStr">
        <is>
          <t>the Rift X; Athena Rift X; Ahtena Rift X; Rift X tablet</t>
        </is>
      </c>
      <c r="H643" s="43" t="inlineStr">
        <is>
          <t>1 year limited</t>
        </is>
      </c>
      <c r="I643" s="43" t="inlineStr">
        <is>
          <t>FCC, CE, TUV Rheinland Low Blue Light, EN 71 Toy Safety</t>
        </is>
      </c>
      <c r="J643" s="43" t="inlineStr">
        <is>
          <t>MediaTek Helio G88</t>
        </is>
      </c>
      <c r="K643" s="43" t="inlineStr">
        <is>
          <t>Arm Mali-G52 MC2</t>
        </is>
      </c>
      <c r="L643" s="43" t="inlineStr">
        <is>
          <t>IPS LCD, 60Hz</t>
        </is>
      </c>
      <c r="M643" s="43" t="inlineStr">
        <is>
          <t>800x1280</t>
        </is>
      </c>
      <c r="N643" s="43" t="inlineStr">
        <is>
          <t>USB-C (USB 2.0), microSD slot</t>
        </is>
      </c>
      <c r="O643" s="43" t="inlineStr">
        <is>
          <t>Android 14 with parental controls</t>
        </is>
      </c>
      <c r="P643" s="43" t="n">
        <v>10</v>
      </c>
      <c r="Q643" s="46" t="n">
        <v>426</v>
      </c>
      <c r="R643" s="43" t="inlineStr">
        <is>
          <t>Longer battery than Mnemosyne Wave SE Kids Tablet [MNE-061-01] (10 vs 8 hrs); Lower price than Eunomia Echo SE Kids Tablet [EUN-056-01] ($87.99 vs $124.99)</t>
        </is>
      </c>
      <c r="S643" s="43" t="inlineStr">
        <is>
          <t>kids, learning, games</t>
        </is>
      </c>
      <c r="T643" s="0" t="inlineStr">
        <is>
          <t>in_stock</t>
        </is>
      </c>
      <c r="U643" s="0" t="n">
        <v>30</v>
      </c>
      <c r="V643" s="52" t="n">
        <v>91.98999999999999</v>
      </c>
      <c r="W643" s="0" t="inlineStr">
        <is>
          <t>2026-09-22</t>
        </is>
      </c>
      <c r="X643" s="0" t="inlineStr">
        <is>
          <t>N/A</t>
        </is>
      </c>
      <c r="Y643" s="0" t="inlineStr">
        <is>
          <t>N/A</t>
        </is>
      </c>
      <c r="Z643" s="0" t="inlineStr">
        <is>
          <t>N/A</t>
        </is>
      </c>
      <c r="AA643" s="0" t="inlineStr">
        <is>
          <t>N/A</t>
        </is>
      </c>
    </row>
    <row r="644" ht="15.75" customHeight="1" s="51">
      <c r="A644" s="43" t="inlineStr">
        <is>
          <t>ATH-064-02</t>
        </is>
      </c>
      <c r="B644" s="43" t="inlineStr">
        <is>
          <t>Athena</t>
        </is>
      </c>
      <c r="C644" s="43" t="inlineStr">
        <is>
          <t>Smartphones &amp; Tablets</t>
        </is>
      </c>
      <c r="D644" s="43" t="inlineStr">
        <is>
          <t>Smartphone</t>
        </is>
      </c>
      <c r="E644" s="44" t="inlineStr">
        <is>
          <t>Athena Echo Air Rugged Smartphone</t>
        </is>
      </c>
      <c r="F644" s="45" t="n">
        <v>355.99</v>
      </c>
      <c r="G644" s="43" t="inlineStr">
        <is>
          <t>the Echo Air; Athena Echo Air; Atehna Echo Air; Echo Air smartphone</t>
        </is>
      </c>
      <c r="H644" s="43" t="inlineStr">
        <is>
          <t>2 year limited</t>
        </is>
      </c>
      <c r="I644" s="43" t="inlineStr">
        <is>
          <t>FCC, CE, IP69K, MIL-STD-810H</t>
        </is>
      </c>
      <c r="J644" s="43" t="inlineStr">
        <is>
          <t>MediaTek Dimensity 7300</t>
        </is>
      </c>
      <c r="K644" s="43" t="inlineStr">
        <is>
          <t>Arm Mali-G615 MC2</t>
        </is>
      </c>
      <c r="L644" s="43" t="inlineStr">
        <is>
          <t>IPS LCD, Gorilla Glass Victus, 120Hz</t>
        </is>
      </c>
      <c r="M644" s="43" t="inlineStr">
        <is>
          <t>1080x2400</t>
        </is>
      </c>
      <c r="N644" s="43" t="inlineStr">
        <is>
          <t>USB-C (USB 2.0), nano-SIM + eSIM, 3.5mm headphone jack, microSD slot</t>
        </is>
      </c>
      <c r="O644" s="43" t="inlineStr">
        <is>
          <t>Android 15</t>
        </is>
      </c>
      <c r="P644" s="43" t="n">
        <v>45</v>
      </c>
      <c r="Q644" s="46" t="n">
        <v>300</v>
      </c>
      <c r="R644" s="43" t="inlineStr">
        <is>
          <t>Longer battery than Mnemosyne Drift Rugged Smartphone [MNE-061-04] (45 vs 36 hrs); Lower price than Phorcys Pulse Rugged Smartphone [PHO-087-03] ($355.99 vs $595.99)</t>
        </is>
      </c>
      <c r="S644" s="43" t="inlineStr">
        <is>
          <t>outdoor, construction, fieldwork</t>
        </is>
      </c>
      <c r="T644" s="0" t="inlineStr">
        <is>
          <t>in_stock</t>
        </is>
      </c>
      <c r="U644" s="0" t="n">
        <v>30</v>
      </c>
      <c r="V644" s="52" t="n">
        <v>370.99</v>
      </c>
      <c r="W644" s="0" t="inlineStr">
        <is>
          <t>2026-09-12</t>
        </is>
      </c>
      <c r="X644" s="0" t="inlineStr">
        <is>
          <t>N/A</t>
        </is>
      </c>
      <c r="Y644" s="0" t="inlineStr">
        <is>
          <t>N/A</t>
        </is>
      </c>
      <c r="Z644" s="0" t="inlineStr">
        <is>
          <t>N/A</t>
        </is>
      </c>
      <c r="AA644" s="0" t="inlineStr">
        <is>
          <t>N/A</t>
        </is>
      </c>
    </row>
    <row r="645" ht="15.75" customHeight="1" s="51">
      <c r="A645" s="43" t="inlineStr">
        <is>
          <t>ATH-064-03</t>
        </is>
      </c>
      <c r="B645" s="43" t="inlineStr">
        <is>
          <t>Athena</t>
        </is>
      </c>
      <c r="C645" s="43" t="inlineStr">
        <is>
          <t>Smartphones &amp; Tablets</t>
        </is>
      </c>
      <c r="D645" s="43" t="inlineStr">
        <is>
          <t>Smartphone</t>
        </is>
      </c>
      <c r="E645" s="44" t="inlineStr">
        <is>
          <t>Athena Axis Plus Budget Smartphone</t>
        </is>
      </c>
      <c r="F645" s="45" t="n">
        <v>398.99</v>
      </c>
      <c r="G645" s="43" t="inlineStr">
        <is>
          <t>the Axis Plus; Athena Axis Plus; Athen Axis Plus; Axis Plus smartphone</t>
        </is>
      </c>
      <c r="H645" s="43" t="inlineStr">
        <is>
          <t>2 year limited</t>
        </is>
      </c>
      <c r="I645" s="43" t="inlineStr">
        <is>
          <t>FCC, CE, IP54</t>
        </is>
      </c>
      <c r="J645" s="43" t="inlineStr">
        <is>
          <t>MediaTek Dimensity 7300</t>
        </is>
      </c>
      <c r="K645" s="43" t="inlineStr">
        <is>
          <t>Arm Mali-G615 MC2</t>
        </is>
      </c>
      <c r="L645" s="43" t="inlineStr">
        <is>
          <t>AMOLED, 120Hz</t>
        </is>
      </c>
      <c r="M645" s="43" t="inlineStr">
        <is>
          <t>1080x2400</t>
        </is>
      </c>
      <c r="N645" s="43" t="inlineStr">
        <is>
          <t>USB-C (USB 2.0), nano-SIM + eSIM, 3.5mm headphone jack, microSD slot</t>
        </is>
      </c>
      <c r="O645" s="43" t="inlineStr">
        <is>
          <t>Android 15</t>
        </is>
      </c>
      <c r="P645" s="43" t="n">
        <v>22</v>
      </c>
      <c r="Q645" s="46" t="n">
        <v>204</v>
      </c>
      <c r="R645" s="43" t="inlineStr">
        <is>
          <t>Longer battery than Pan Aeon Ultra Budget Smartphone [PAN-097-01] (22 vs 20 hrs); Lighter than Adrastea Rift Budget Smartphone [ADR-094-02] (204 g vs 208 g)</t>
        </is>
      </c>
      <c r="S645" s="43" t="inlineStr">
        <is>
          <t>budget, first phone, everyday</t>
        </is>
      </c>
      <c r="T645" s="0" t="inlineStr">
        <is>
          <t>in_stock</t>
        </is>
      </c>
      <c r="U645" s="0" t="n">
        <v>30</v>
      </c>
      <c r="V645" s="52" t="n">
        <v>436.99</v>
      </c>
      <c r="W645" s="0" t="inlineStr">
        <is>
          <t>2026-08-13</t>
        </is>
      </c>
      <c r="X645" s="0" t="inlineStr">
        <is>
          <t>N/A</t>
        </is>
      </c>
      <c r="Y645" s="0" t="inlineStr">
        <is>
          <t>N/A</t>
        </is>
      </c>
      <c r="Z645" s="0" t="inlineStr">
        <is>
          <t>N/A</t>
        </is>
      </c>
      <c r="AA645" s="0" t="inlineStr">
        <is>
          <t>N/A</t>
        </is>
      </c>
    </row>
    <row r="646" ht="15.75" customHeight="1" s="51">
      <c r="A646" s="43" t="inlineStr">
        <is>
          <t>ATH-064-04</t>
        </is>
      </c>
      <c r="B646" s="43" t="inlineStr">
        <is>
          <t>Athena</t>
        </is>
      </c>
      <c r="C646" s="43" t="inlineStr">
        <is>
          <t>Smartphones &amp; Tablets</t>
        </is>
      </c>
      <c r="D646" s="43" t="inlineStr">
        <is>
          <t>Tablet</t>
        </is>
      </c>
      <c r="E646" s="44" t="inlineStr">
        <is>
          <t>Athena Vertex Air E-Ink Note Tablet</t>
        </is>
      </c>
      <c r="F646" s="45" t="n">
        <v>439.99</v>
      </c>
      <c r="G646" s="43" t="inlineStr">
        <is>
          <t>the Vertex Air; Athena Vertex Air; Atena Vertex Air; Vertex Air tablet</t>
        </is>
      </c>
      <c r="H646" s="43" t="inlineStr">
        <is>
          <t>1 year limited</t>
        </is>
      </c>
      <c r="I646" s="43" t="inlineStr">
        <is>
          <t>FCC, CE, TUV Rheinland Low Blue Light</t>
        </is>
      </c>
      <c r="J646" s="43" t="inlineStr">
        <is>
          <t>Rockchip RK3566</t>
        </is>
      </c>
      <c r="K646" s="43" t="inlineStr">
        <is>
          <t>Arm Mali-G52 2EE</t>
        </is>
      </c>
      <c r="L646" s="43" t="inlineStr">
        <is>
          <t>E Ink Carta 1300, front-lit</t>
        </is>
      </c>
      <c r="M646" s="43" t="inlineStr">
        <is>
          <t>1404x1872</t>
        </is>
      </c>
      <c r="N646" s="43" t="inlineStr">
        <is>
          <t>USB-C (USB 2.0), microSD slot</t>
        </is>
      </c>
      <c r="O646" s="43" t="inlineStr">
        <is>
          <t>Android 13 (E Ink optimized)</t>
        </is>
      </c>
      <c r="P646" s="43" t="n">
        <v>281</v>
      </c>
      <c r="Q646" s="46" t="n">
        <v>409</v>
      </c>
      <c r="R646" s="43" t="inlineStr">
        <is>
          <t>Lighter than Epimetheus Nimbus E-Ink Note Tablet [EPI-091-02] (409 g vs 429 g); Lower price than Leucothea Pulse Plus E-Ink Note Tablet [LEU-095-05] ($439.99 vs $481.99)</t>
        </is>
      </c>
      <c r="S646" s="43" t="inlineStr">
        <is>
          <t>reading, note-taking, school</t>
        </is>
      </c>
      <c r="T646" s="0" t="inlineStr">
        <is>
          <t>in_stock</t>
        </is>
      </c>
      <c r="U646" s="0" t="n">
        <v>30</v>
      </c>
      <c r="V646" s="52" t="n">
        <v>457.99</v>
      </c>
      <c r="W646" s="0" t="inlineStr">
        <is>
          <t>2026-09-21</t>
        </is>
      </c>
      <c r="X646" s="0" t="inlineStr">
        <is>
          <t>N/A</t>
        </is>
      </c>
      <c r="Y646" s="0" t="inlineStr">
        <is>
          <t>N/A</t>
        </is>
      </c>
      <c r="Z646" s="0" t="inlineStr">
        <is>
          <t>N/A</t>
        </is>
      </c>
      <c r="AA646" s="0" t="inlineStr">
        <is>
          <t>N/A</t>
        </is>
      </c>
    </row>
    <row r="647" ht="15.75" customHeight="1" s="51">
      <c r="A647" s="43" t="inlineStr">
        <is>
          <t>ATH-064-05</t>
        </is>
      </c>
      <c r="B647" s="43" t="inlineStr">
        <is>
          <t>Athena</t>
        </is>
      </c>
      <c r="C647" s="43" t="inlineStr">
        <is>
          <t>Smartphones &amp; Tablets</t>
        </is>
      </c>
      <c r="D647" s="43" t="inlineStr">
        <is>
          <t>Tablet</t>
        </is>
      </c>
      <c r="E647" s="44" t="inlineStr">
        <is>
          <t>Athena Aeon X Drawing Tablet with Stylus</t>
        </is>
      </c>
      <c r="F647" s="45" t="n">
        <v>554.99</v>
      </c>
      <c r="G647" s="43" t="inlineStr">
        <is>
          <t>the Aeon X; Athena Aeon X; Athnea Aeon X; Aeon X tablet</t>
        </is>
      </c>
      <c r="H647" s="43" t="inlineStr">
        <is>
          <t>1 year limited</t>
        </is>
      </c>
      <c r="I647" s="43" t="inlineStr">
        <is>
          <t>FCC, CE, TUV Rheinland Low Blue Light</t>
        </is>
      </c>
      <c r="J647" s="43" t="inlineStr">
        <is>
          <t>Qualcomm Snapdragon 7+ Gen 3</t>
        </is>
      </c>
      <c r="K647" s="43" t="inlineStr">
        <is>
          <t>Qualcomm Adreno 732</t>
        </is>
      </c>
      <c r="L647" s="43" t="inlineStr">
        <is>
          <t>IPS LCD anti-glare, pen digitizer</t>
        </is>
      </c>
      <c r="M647" s="43" t="inlineStr">
        <is>
          <t>2000x1200</t>
        </is>
      </c>
      <c r="N647" s="43" t="inlineStr">
        <is>
          <t>USB-C (USB 2.0), microSD slot</t>
        </is>
      </c>
      <c r="O647" s="43" t="inlineStr">
        <is>
          <t>Android 15</t>
        </is>
      </c>
      <c r="P647" s="43" t="n">
        <v>8</v>
      </c>
      <c r="Q647" s="46" t="n">
        <v>564</v>
      </c>
      <c r="R647" s="43" t="inlineStr">
        <is>
          <t>Lighter than Erebus Sable Lite Drawing Tablet with Stylus [ERE-098-03] (564 g vs 613 g); Lower price than Nemesis Flux Pro Drawing Tablet with Stylus [NEM-051-04] ($554.99 vs $627.99)</t>
        </is>
      </c>
      <c r="S647" s="43" t="inlineStr">
        <is>
          <t>drawing, design, note-taking</t>
        </is>
      </c>
      <c r="T647" s="0" t="inlineStr">
        <is>
          <t>in_stock</t>
        </is>
      </c>
      <c r="U647" s="0" t="n">
        <v>30</v>
      </c>
      <c r="V647" s="52" t="n">
        <v>593.99</v>
      </c>
      <c r="W647" s="0" t="inlineStr">
        <is>
          <t>2026-09-06</t>
        </is>
      </c>
      <c r="X647" s="0" t="inlineStr">
        <is>
          <t>N/A</t>
        </is>
      </c>
      <c r="Y647" s="0" t="inlineStr">
        <is>
          <t>N/A</t>
        </is>
      </c>
      <c r="Z647" s="0" t="inlineStr">
        <is>
          <t>N/A</t>
        </is>
      </c>
      <c r="AA647" s="0" t="inlineStr">
        <is>
          <t>N/A</t>
        </is>
      </c>
    </row>
    <row r="648" ht="15.75" customHeight="1" s="51">
      <c r="A648" s="43" t="inlineStr">
        <is>
          <t>ATH-064-06</t>
        </is>
      </c>
      <c r="B648" s="43" t="inlineStr">
        <is>
          <t>Athena</t>
        </is>
      </c>
      <c r="C648" s="43" t="inlineStr">
        <is>
          <t>Smartphones &amp; Tablets</t>
        </is>
      </c>
      <c r="D648" s="43" t="inlineStr">
        <is>
          <t>Tablet</t>
        </is>
      </c>
      <c r="E648" s="44" t="inlineStr">
        <is>
          <t>Athena Apex X 5G Tablet</t>
        </is>
      </c>
      <c r="F648" s="45" t="n">
        <v>751.99</v>
      </c>
      <c r="G648" s="43" t="inlineStr">
        <is>
          <t>the Apex X; Athena Apex X; Athenaa Apex X; Apex X tablet</t>
        </is>
      </c>
      <c r="H648" s="43" t="inlineStr">
        <is>
          <t>1 year limited</t>
        </is>
      </c>
      <c r="I648" s="43" t="inlineStr">
        <is>
          <t>FCC, CE</t>
        </is>
      </c>
      <c r="J648" s="43" t="inlineStr">
        <is>
          <t>MediaTek Dimensity 8300</t>
        </is>
      </c>
      <c r="K648" s="43" t="inlineStr">
        <is>
          <t>Arm Mali-G615 MC6</t>
        </is>
      </c>
      <c r="L648" s="43" t="inlineStr">
        <is>
          <t>IPS LCD, 90Hz</t>
        </is>
      </c>
      <c r="M648" s="43" t="inlineStr">
        <is>
          <t>1600x2560</t>
        </is>
      </c>
      <c r="N648" s="43" t="inlineStr">
        <is>
          <t>USB-C (USB 3.2), microSD slot, nano-SIM + eSIM</t>
        </is>
      </c>
      <c r="O648" s="43" t="inlineStr">
        <is>
          <t>Android 15</t>
        </is>
      </c>
      <c r="P648" s="43" t="n">
        <v>13</v>
      </c>
      <c r="Q648" s="46" t="n">
        <v>544</v>
      </c>
      <c r="R648" s="43" t="inlineStr">
        <is>
          <t>Lower price than Phobos Drift Pro 5G Tablet [PHO-053-04] ($751.99 vs $769.99); Longer battery than Styx Arc 5G Tablet [STY-058-06] (13 vs 12 hrs)</t>
        </is>
      </c>
      <c r="S648" s="43" t="inlineStr">
        <is>
          <t>travel, streaming, work on the go</t>
        </is>
      </c>
      <c r="T648" s="0" t="inlineStr">
        <is>
          <t>in_stock</t>
        </is>
      </c>
      <c r="U648" s="0" t="n">
        <v>30</v>
      </c>
      <c r="V648" s="52" t="n">
        <v>837.99</v>
      </c>
      <c r="W648" s="0" t="inlineStr">
        <is>
          <t>2026-09-25</t>
        </is>
      </c>
      <c r="X648" s="0" t="inlineStr">
        <is>
          <t>N/A</t>
        </is>
      </c>
      <c r="Y648" s="0" t="inlineStr">
        <is>
          <t>N/A</t>
        </is>
      </c>
      <c r="Z648" s="0" t="inlineStr">
        <is>
          <t>N/A</t>
        </is>
      </c>
      <c r="AA648" s="0" t="inlineStr">
        <is>
          <t>N/A</t>
        </is>
      </c>
    </row>
    <row r="649" ht="15.75" customHeight="1" s="51">
      <c r="A649" s="43" t="inlineStr">
        <is>
          <t>ATH-064-07</t>
        </is>
      </c>
      <c r="B649" s="43" t="inlineStr">
        <is>
          <t>Athena</t>
        </is>
      </c>
      <c r="C649" s="43" t="inlineStr">
        <is>
          <t>Smartphones &amp; Tablets</t>
        </is>
      </c>
      <c r="D649" s="43" t="inlineStr">
        <is>
          <t>Tablet</t>
        </is>
      </c>
      <c r="E649" s="44" t="inlineStr">
        <is>
          <t>Athena Orbit Pro 11" Tablet</t>
        </is>
      </c>
      <c r="F649" s="45" t="n">
        <v>790.99</v>
      </c>
      <c r="G649" s="43" t="inlineStr">
        <is>
          <t>the Orbit Pro; Athena Orbit Pro; Atheena Orbit Pro; Orbit Pro tablet</t>
        </is>
      </c>
      <c r="H649" s="43" t="inlineStr">
        <is>
          <t>2 year limited</t>
        </is>
      </c>
      <c r="I649" s="43" t="inlineStr">
        <is>
          <t>FCC, CE, Energy Star</t>
        </is>
      </c>
      <c r="J649" s="43" t="inlineStr">
        <is>
          <t>MediaTek Dimensity 8300</t>
        </is>
      </c>
      <c r="K649" s="43" t="inlineStr">
        <is>
          <t>Arm Mali-G615 MC6</t>
        </is>
      </c>
      <c r="L649" s="43" t="inlineStr">
        <is>
          <t>OLED, 120Hz</t>
        </is>
      </c>
      <c r="M649" s="43" t="inlineStr">
        <is>
          <t>1752x2800</t>
        </is>
      </c>
      <c r="N649" s="43" t="inlineStr">
        <is>
          <t>USB-C (USB 3.2), microSD slot</t>
        </is>
      </c>
      <c r="O649" s="43" t="inlineStr">
        <is>
          <t>Android 15</t>
        </is>
      </c>
      <c r="P649" s="43" t="n">
        <v>10</v>
      </c>
      <c r="Q649" s="46" t="n">
        <v>483</v>
      </c>
      <c r="R649" s="43" t="inlineStr">
        <is>
          <t>Lighter than Tyche Strata Lite 11" Tablet [TYC-055-04] (483 g vs 513 g)</t>
        </is>
      </c>
      <c r="S649" s="43" t="inlineStr">
        <is>
          <t>school, streaming, reading</t>
        </is>
      </c>
      <c r="T649" s="0" t="inlineStr">
        <is>
          <t>in_stock</t>
        </is>
      </c>
      <c r="U649" s="0" t="n">
        <v>30</v>
      </c>
      <c r="V649" s="52" t="n">
        <v>835.99</v>
      </c>
      <c r="W649" s="0" t="inlineStr">
        <is>
          <t>2026-08-19</t>
        </is>
      </c>
      <c r="X649" s="0" t="inlineStr">
        <is>
          <t>N/A</t>
        </is>
      </c>
      <c r="Y649" s="0" t="inlineStr">
        <is>
          <t>N/A</t>
        </is>
      </c>
      <c r="Z649" s="0" t="inlineStr">
        <is>
          <t>N/A</t>
        </is>
      </c>
      <c r="AA649" s="0" t="inlineStr">
        <is>
          <t>N/A</t>
        </is>
      </c>
    </row>
    <row r="650" ht="15.75" customHeight="1" s="51">
      <c r="A650" s="43" t="inlineStr">
        <is>
          <t>ATH-064-08</t>
        </is>
      </c>
      <c r="B650" s="43" t="inlineStr">
        <is>
          <t>Athena</t>
        </is>
      </c>
      <c r="C650" s="43" t="inlineStr">
        <is>
          <t>Smartphones &amp; Tablets</t>
        </is>
      </c>
      <c r="D650" s="43" t="inlineStr">
        <is>
          <t>Smartphone</t>
        </is>
      </c>
      <c r="E650" s="44" t="inlineStr">
        <is>
          <t>Athena Orbit Ultra Flip Foldable Phone</t>
        </is>
      </c>
      <c r="F650" s="45" t="n">
        <v>839.99</v>
      </c>
      <c r="G650" s="43" t="inlineStr">
        <is>
          <t>the Orbit Ultra; Athena Orbit Ultra; Atena Orbit Ultra; Orbit Ultra smartphone</t>
        </is>
      </c>
      <c r="H650" s="43" t="inlineStr">
        <is>
          <t>1 year limited</t>
        </is>
      </c>
      <c r="I650" s="43" t="inlineStr">
        <is>
          <t>FCC, CE, IPX8</t>
        </is>
      </c>
      <c r="J650" s="43" t="inlineStr">
        <is>
          <t>Qualcomm Snapdragon 8 Gen 3</t>
        </is>
      </c>
      <c r="K650" s="43" t="inlineStr">
        <is>
          <t>Qualcomm Adreno 750</t>
        </is>
      </c>
      <c r="L650" s="43" t="inlineStr">
        <is>
          <t>Foldable AMOLED inner + AMOLED cover screen</t>
        </is>
      </c>
      <c r="M650" s="43" t="inlineStr">
        <is>
          <t>1080x2640 inner / 720x748 cover</t>
        </is>
      </c>
      <c r="N650" s="43" t="inlineStr">
        <is>
          <t>USB-C (USB 3.2), nano-SIM + eSIM</t>
        </is>
      </c>
      <c r="O650" s="43" t="inlineStr">
        <is>
          <t>Android 15</t>
        </is>
      </c>
      <c r="P650" s="43" t="n">
        <v>22</v>
      </c>
      <c r="Q650" s="46" t="n">
        <v>188</v>
      </c>
      <c r="R650" s="43" t="inlineStr">
        <is>
          <t>Longer battery than Lachesis Zen Pro Flip Foldable Phone [LAC-071-07] (22 vs 16 hrs); Lower price than Pontus Drift Plus Flip Foldable Phone [PON-063-08] ($839.99 vs $931.99)</t>
        </is>
      </c>
      <c r="S650" s="43" t="inlineStr">
        <is>
          <t>style, everyday, compact</t>
        </is>
      </c>
      <c r="T650" s="0" t="inlineStr">
        <is>
          <t>low_stock</t>
        </is>
      </c>
      <c r="U650" s="0" t="n">
        <v>30</v>
      </c>
      <c r="V650" s="52" t="n">
        <v>867.99</v>
      </c>
      <c r="W650" s="0" t="inlineStr">
        <is>
          <t>2026-09-22</t>
        </is>
      </c>
      <c r="X650" s="0" t="inlineStr">
        <is>
          <t>N/A</t>
        </is>
      </c>
      <c r="Y650" s="0" t="inlineStr">
        <is>
          <t>N/A</t>
        </is>
      </c>
      <c r="Z650" s="0" t="inlineStr">
        <is>
          <t>N/A</t>
        </is>
      </c>
      <c r="AA650" s="0" t="inlineStr">
        <is>
          <t>N/A</t>
        </is>
      </c>
    </row>
    <row r="651" ht="15.75" customHeight="1" s="51">
      <c r="A651" s="43" t="inlineStr">
        <is>
          <t>ATH-064-09</t>
        </is>
      </c>
      <c r="B651" s="43" t="inlineStr">
        <is>
          <t>Athena</t>
        </is>
      </c>
      <c r="C651" s="43" t="inlineStr">
        <is>
          <t>Smartphones &amp; Tablets</t>
        </is>
      </c>
      <c r="D651" s="43" t="inlineStr">
        <is>
          <t>Smartphone</t>
        </is>
      </c>
      <c r="E651" s="44" t="inlineStr">
        <is>
          <t>Athena Apex Pro Pro Max Smartphone</t>
        </is>
      </c>
      <c r="F651" s="45" t="n">
        <v>1508.99</v>
      </c>
      <c r="G651" s="43" t="inlineStr">
        <is>
          <t>the Apex Pro; Athena Apex Pro; Ahtena Apex Pro; Apex Pro smartphone</t>
        </is>
      </c>
      <c r="H651" s="43" t="inlineStr">
        <is>
          <t>2 year limited</t>
        </is>
      </c>
      <c r="I651" s="43" t="inlineStr">
        <is>
          <t>FCC, CE, IP68, Qi2</t>
        </is>
      </c>
      <c r="J651" s="43" t="inlineStr">
        <is>
          <t>Qualcomm Snapdragon 8 Elite</t>
        </is>
      </c>
      <c r="K651" s="43" t="inlineStr">
        <is>
          <t>Qualcomm Adreno 830</t>
        </is>
      </c>
      <c r="L651" s="43" t="inlineStr">
        <is>
          <t>LTPO AMOLED, 1-120Hz</t>
        </is>
      </c>
      <c r="M651" s="43" t="inlineStr">
        <is>
          <t>1440x3120</t>
        </is>
      </c>
      <c r="N651" s="43" t="inlineStr">
        <is>
          <t>USB-C (USB 3.2), nano-SIM + eSIM</t>
        </is>
      </c>
      <c r="O651" s="43" t="inlineStr">
        <is>
          <t>Android 15</t>
        </is>
      </c>
      <c r="P651" s="43" t="n">
        <v>26</v>
      </c>
      <c r="Q651" s="46" t="n">
        <v>229</v>
      </c>
      <c r="R651" s="43" t="inlineStr">
        <is>
          <t>Lower price than Pan Zen SE Pro Max Smartphone [PAN-097-09] ($1,508.99 vs $1,533.99); Lighter than Proteus Spark Ultra Pro Max Smartphone [PRO-070-08] (229 g vs 232 g)</t>
        </is>
      </c>
      <c r="S651" s="43" t="inlineStr">
        <is>
          <t>photography, video, mobile gaming</t>
        </is>
      </c>
      <c r="T651" s="0" t="inlineStr">
        <is>
          <t>in_stock</t>
        </is>
      </c>
      <c r="U651" s="0" t="n">
        <v>30</v>
      </c>
      <c r="V651" s="52" t="n">
        <v>1616.99</v>
      </c>
      <c r="W651" s="0" t="inlineStr">
        <is>
          <t>2026-09-01</t>
        </is>
      </c>
      <c r="X651" s="0" t="inlineStr">
        <is>
          <t>N/A</t>
        </is>
      </c>
      <c r="Y651" s="0" t="inlineStr">
        <is>
          <t>N/A</t>
        </is>
      </c>
      <c r="Z651" s="0" t="inlineStr">
        <is>
          <t>N/A</t>
        </is>
      </c>
      <c r="AA651" s="0" t="inlineStr">
        <is>
          <t>N/A</t>
        </is>
      </c>
    </row>
    <row r="652" ht="15.75" customHeight="1" s="51">
      <c r="A652" s="43" t="inlineStr">
        <is>
          <t>ATH-064-10</t>
        </is>
      </c>
      <c r="B652" s="43" t="inlineStr">
        <is>
          <t>Athena</t>
        </is>
      </c>
      <c r="C652" s="43" t="inlineStr">
        <is>
          <t>Smartphones &amp; Tablets</t>
        </is>
      </c>
      <c r="D652" s="43" t="inlineStr">
        <is>
          <t>Smartphone</t>
        </is>
      </c>
      <c r="E652" s="44" t="inlineStr">
        <is>
          <t>Athena Onyx Air Foldable Phone</t>
        </is>
      </c>
      <c r="F652" s="45" t="n">
        <v>1780.99</v>
      </c>
      <c r="G652" s="43" t="inlineStr">
        <is>
          <t>the Onyx Air; Athena Onyx Air; Atthena Onyx Air; Onyx Air smartphone</t>
        </is>
      </c>
      <c r="H652" s="43" t="inlineStr">
        <is>
          <t>1 year limited</t>
        </is>
      </c>
      <c r="I652" s="43" t="inlineStr">
        <is>
          <t>FCC, CE, IPX8</t>
        </is>
      </c>
      <c r="J652" s="43" t="inlineStr">
        <is>
          <t>Qualcomm Snapdragon 8 Elite</t>
        </is>
      </c>
      <c r="K652" s="43" t="inlineStr">
        <is>
          <t>Qualcomm Adreno 830</t>
        </is>
      </c>
      <c r="L652" s="43" t="inlineStr">
        <is>
          <t>Foldable LTPO AMOLED inner + AMOLED cover, 120Hz</t>
        </is>
      </c>
      <c r="M652" s="43" t="inlineStr">
        <is>
          <t>2160x1856 inner / 1080x2376 cover</t>
        </is>
      </c>
      <c r="N652" s="43" t="inlineStr">
        <is>
          <t>USB-C (USB 3.2), nano-SIM + eSIM</t>
        </is>
      </c>
      <c r="O652" s="43" t="inlineStr">
        <is>
          <t>Android 15</t>
        </is>
      </c>
      <c r="P652" s="43" t="n">
        <v>22</v>
      </c>
      <c r="Q652" s="46" t="n">
        <v>236</v>
      </c>
      <c r="R652" s="43" t="inlineStr">
        <is>
          <t>Lower price than Epimetheus Echo Pro Foldable Phone [EPI-091-10] ($1,780.99 vs $1,959.99); Lighter than Panacea Nova Ultra Foldable Phone [PAN-069-10] (236 g vs 250 g)</t>
        </is>
      </c>
      <c r="S652" s="43" t="inlineStr">
        <is>
          <t>multitasking, business, media</t>
        </is>
      </c>
      <c r="T652" s="0" t="inlineStr">
        <is>
          <t>in_stock</t>
        </is>
      </c>
      <c r="U652" s="0" t="n">
        <v>30</v>
      </c>
      <c r="V652" s="52" t="n">
        <v>2043.99</v>
      </c>
      <c r="W652" s="0" t="inlineStr">
        <is>
          <t>2026-08-31</t>
        </is>
      </c>
      <c r="X652" s="0" t="inlineStr">
        <is>
          <t>N/A</t>
        </is>
      </c>
      <c r="Y652" s="0" t="inlineStr">
        <is>
          <t>N/A</t>
        </is>
      </c>
      <c r="Z652" s="0" t="inlineStr">
        <is>
          <t>N/A</t>
        </is>
      </c>
      <c r="AA652" s="0" t="inlineStr">
        <is>
          <t>N/A</t>
        </is>
      </c>
    </row>
    <row r="653" ht="15.75" customHeight="1" s="51">
      <c r="A653" s="43" t="inlineStr">
        <is>
          <t>AMP-065-01</t>
        </is>
      </c>
      <c r="B653" s="43" t="inlineStr">
        <is>
          <t>Amphitrite</t>
        </is>
      </c>
      <c r="C653" s="43" t="inlineStr">
        <is>
          <t>Smartphones &amp; Tablets</t>
        </is>
      </c>
      <c r="D653" s="43" t="inlineStr">
        <is>
          <t>Tablet</t>
        </is>
      </c>
      <c r="E653" s="44" t="inlineStr">
        <is>
          <t>Amphitrite Titan Ultra E-Ink Note Tablet</t>
        </is>
      </c>
      <c r="F653" s="45" t="n">
        <v>277.99</v>
      </c>
      <c r="G653" s="43" t="inlineStr">
        <is>
          <t>the Titan Ultra; Amphitrite Titan Ultra; Amphitritte Titan Ultra; Titan Ultra tablet</t>
        </is>
      </c>
      <c r="H653" s="43" t="inlineStr">
        <is>
          <t>1 year limited</t>
        </is>
      </c>
      <c r="I653" s="43" t="inlineStr">
        <is>
          <t>FCC, CE, TUV Rheinland Low Blue Light</t>
        </is>
      </c>
      <c r="J653" s="43" t="inlineStr">
        <is>
          <t>Rockchip RK3566</t>
        </is>
      </c>
      <c r="K653" s="43" t="inlineStr">
        <is>
          <t>Arm Mali-G52 2EE</t>
        </is>
      </c>
      <c r="L653" s="43" t="inlineStr">
        <is>
          <t>E Ink Carta 1300, front-lit</t>
        </is>
      </c>
      <c r="M653" s="43" t="inlineStr">
        <is>
          <t>1404x1872</t>
        </is>
      </c>
      <c r="N653" s="43" t="inlineStr">
        <is>
          <t>USB-C (USB 2.0), microSD slot</t>
        </is>
      </c>
      <c r="O653" s="43" t="inlineStr">
        <is>
          <t>Android 13 (E Ink optimized)</t>
        </is>
      </c>
      <c r="P653" s="43" t="n">
        <v>193</v>
      </c>
      <c r="Q653" s="46" t="n">
        <v>384</v>
      </c>
      <c r="R653" s="43" t="inlineStr">
        <is>
          <t>Lower price than Lachesis Lumen Pro E-Ink Note Tablet [LAC-071-03] ($277.99 vs $442.99); Lighter than Adrastea Zen Pro E-Ink Note Tablet [ADR-094-03] (384 g vs 438 g)</t>
        </is>
      </c>
      <c r="S653" s="43" t="inlineStr">
        <is>
          <t>reading, note-taking, school</t>
        </is>
      </c>
      <c r="T653" s="0" t="inlineStr">
        <is>
          <t>in_stock</t>
        </is>
      </c>
      <c r="U653" s="0" t="n">
        <v>15</v>
      </c>
      <c r="V653" s="52" t="n">
        <v>293.99</v>
      </c>
      <c r="W653" s="0" t="inlineStr">
        <is>
          <t>2026-08-02</t>
        </is>
      </c>
      <c r="X653" s="0" t="inlineStr">
        <is>
          <t>N/A</t>
        </is>
      </c>
      <c r="Y653" s="0" t="inlineStr">
        <is>
          <t>N/A</t>
        </is>
      </c>
      <c r="Z653" s="0" t="inlineStr">
        <is>
          <t>N/A</t>
        </is>
      </c>
      <c r="AA653" s="0" t="inlineStr">
        <is>
          <t>N/A</t>
        </is>
      </c>
    </row>
    <row r="654" ht="15.75" customHeight="1" s="51">
      <c r="A654" s="43" t="inlineStr">
        <is>
          <t>AMP-065-02</t>
        </is>
      </c>
      <c r="B654" s="43" t="inlineStr">
        <is>
          <t>Amphitrite</t>
        </is>
      </c>
      <c r="C654" s="43" t="inlineStr">
        <is>
          <t>Smartphones &amp; Tablets</t>
        </is>
      </c>
      <c r="D654" s="43" t="inlineStr">
        <is>
          <t>Tablet</t>
        </is>
      </c>
      <c r="E654" s="44" t="inlineStr">
        <is>
          <t>Amphitrite Lumen Ultra 8" Mini Tablet</t>
        </is>
      </c>
      <c r="F654" s="45" t="n">
        <v>565.99</v>
      </c>
      <c r="G654" s="43" t="inlineStr">
        <is>
          <t>the Lumen Ultra; Amphitrite Lumen Ultra; Amphhitrite Lumen Ultra; Lumen Ultra tablet</t>
        </is>
      </c>
      <c r="H654" s="43" t="inlineStr">
        <is>
          <t>2 year limited</t>
        </is>
      </c>
      <c r="I654" s="43" t="inlineStr">
        <is>
          <t>FCC, CE, TUV Rheinland Low Blue Light, Energy Star</t>
        </is>
      </c>
      <c r="J654" s="43" t="inlineStr">
        <is>
          <t>Qualcomm Snapdragon 7+ Gen 3</t>
        </is>
      </c>
      <c r="K654" s="43" t="inlineStr">
        <is>
          <t>Qualcomm Adreno 732</t>
        </is>
      </c>
      <c r="L654" s="43" t="inlineStr">
        <is>
          <t>OLED, 120Hz</t>
        </is>
      </c>
      <c r="M654" s="43" t="inlineStr">
        <is>
          <t>1600x2560</t>
        </is>
      </c>
      <c r="N654" s="43" t="inlineStr">
        <is>
          <t>USB-C (USB 2.0), microSD slot</t>
        </is>
      </c>
      <c r="O654" s="43" t="inlineStr">
        <is>
          <t>Android 15</t>
        </is>
      </c>
      <c r="P654" s="43" t="n">
        <v>9</v>
      </c>
      <c r="Q654" s="46" t="n">
        <v>321</v>
      </c>
      <c r="R654" s="43" t="inlineStr">
        <is>
          <t>Lighter than Lachesis Vibe Air 8" Mini Tablet [LAC-071-01] (321 g vs 333 g); Lower price than Eunomia Volt SE 8" Mini Tablet [EUN-056-06] ($565.99 vs $570.99)</t>
        </is>
      </c>
      <c r="S654" s="43" t="inlineStr">
        <is>
          <t>reading, travel, gaming</t>
        </is>
      </c>
      <c r="T654" s="0" t="inlineStr">
        <is>
          <t>in_stock</t>
        </is>
      </c>
      <c r="U654" s="0" t="n">
        <v>15</v>
      </c>
      <c r="V654" s="52" t="n">
        <v>635.99</v>
      </c>
      <c r="W654" s="0" t="inlineStr">
        <is>
          <t>2026-08-27</t>
        </is>
      </c>
      <c r="X654" s="0" t="inlineStr">
        <is>
          <t>N/A</t>
        </is>
      </c>
      <c r="Y654" s="0" t="inlineStr">
        <is>
          <t>N/A</t>
        </is>
      </c>
      <c r="Z654" s="0" t="inlineStr">
        <is>
          <t>N/A</t>
        </is>
      </c>
      <c r="AA654" s="0" t="inlineStr">
        <is>
          <t>N/A</t>
        </is>
      </c>
    </row>
    <row r="655" ht="15.75" customHeight="1" s="51">
      <c r="A655" s="43" t="inlineStr">
        <is>
          <t>AMP-065-03</t>
        </is>
      </c>
      <c r="B655" s="43" t="inlineStr">
        <is>
          <t>Amphitrite</t>
        </is>
      </c>
      <c r="C655" s="43" t="inlineStr">
        <is>
          <t>Smartphones &amp; Tablets</t>
        </is>
      </c>
      <c r="D655" s="43" t="inlineStr">
        <is>
          <t>Tablet</t>
        </is>
      </c>
      <c r="E655" s="44" t="inlineStr">
        <is>
          <t>Amphitrite Sable Max 11" Tablet</t>
        </is>
      </c>
      <c r="F655" s="45" t="n">
        <v>672.99</v>
      </c>
      <c r="G655" s="43" t="inlineStr">
        <is>
          <t>the Sable Max; Amphitrite Sable Max; Amphitrit Sable Max; Sable Max tablet</t>
        </is>
      </c>
      <c r="H655" s="43" t="inlineStr">
        <is>
          <t>2 year limited</t>
        </is>
      </c>
      <c r="I655" s="43" t="inlineStr">
        <is>
          <t>FCC, CE, Energy Star</t>
        </is>
      </c>
      <c r="J655" s="43" t="inlineStr">
        <is>
          <t>MediaTek Dimensity 8300</t>
        </is>
      </c>
      <c r="K655" s="43" t="inlineStr">
        <is>
          <t>Arm Mali-G615 MC6</t>
        </is>
      </c>
      <c r="L655" s="43" t="inlineStr">
        <is>
          <t>OLED, 120Hz</t>
        </is>
      </c>
      <c r="M655" s="43" t="inlineStr">
        <is>
          <t>1752x2800</t>
        </is>
      </c>
      <c r="N655" s="43" t="inlineStr">
        <is>
          <t>USB-C (USB 2.0), microSD slot</t>
        </is>
      </c>
      <c r="O655" s="43" t="inlineStr">
        <is>
          <t>Android 15</t>
        </is>
      </c>
      <c r="P655" s="43" t="n">
        <v>13</v>
      </c>
      <c r="Q655" s="46" t="n">
        <v>481</v>
      </c>
      <c r="R655" s="43" t="inlineStr">
        <is>
          <t>Lighter than Clotho Titan Air 11" Tablet [CLO-062-05] (481 g vs 495 g); Lower price than Proteus Crest Pro 11" Tablet [PRO-070-04] ($672.99 vs $684.99)</t>
        </is>
      </c>
      <c r="S655" s="43" t="inlineStr">
        <is>
          <t>school, streaming, reading</t>
        </is>
      </c>
      <c r="T655" s="0" t="inlineStr">
        <is>
          <t>out_of_stock</t>
        </is>
      </c>
      <c r="U655" s="0" t="n">
        <v>15</v>
      </c>
      <c r="V655" s="52" t="n">
        <v>732.99</v>
      </c>
      <c r="W655" s="0" t="inlineStr">
        <is>
          <t>2026-08-21</t>
        </is>
      </c>
      <c r="X655" s="0" t="inlineStr">
        <is>
          <t>N/A</t>
        </is>
      </c>
      <c r="Y655" s="0" t="inlineStr">
        <is>
          <t>N/A</t>
        </is>
      </c>
      <c r="Z655" s="0" t="inlineStr">
        <is>
          <t>N/A</t>
        </is>
      </c>
      <c r="AA655" s="0" t="inlineStr">
        <is>
          <t>N/A</t>
        </is>
      </c>
    </row>
    <row r="656" ht="15.75" customHeight="1" s="51">
      <c r="A656" s="43" t="inlineStr">
        <is>
          <t>AMP-065-04</t>
        </is>
      </c>
      <c r="B656" s="43" t="inlineStr">
        <is>
          <t>Amphitrite</t>
        </is>
      </c>
      <c r="C656" s="43" t="inlineStr">
        <is>
          <t>Smartphones &amp; Tablets</t>
        </is>
      </c>
      <c r="D656" s="43" t="inlineStr">
        <is>
          <t>Smartphone</t>
        </is>
      </c>
      <c r="E656" s="44" t="inlineStr">
        <is>
          <t>Amphitrite Sable Compact Smartphone</t>
        </is>
      </c>
      <c r="F656" s="45" t="n">
        <v>726.99</v>
      </c>
      <c r="G656" s="43" t="inlineStr">
        <is>
          <t>the Sable; Amphitrite Sable; Amphitrrite Sable; Sable smartphone</t>
        </is>
      </c>
      <c r="H656" s="43" t="inlineStr">
        <is>
          <t>1 year limited</t>
        </is>
      </c>
      <c r="I656" s="43" t="inlineStr">
        <is>
          <t>FCC, CE, IP68</t>
        </is>
      </c>
      <c r="J656" s="43" t="inlineStr">
        <is>
          <t>MediaTek Dimensity 8300</t>
        </is>
      </c>
      <c r="K656" s="43" t="inlineStr">
        <is>
          <t>Arm Mali-G615 MC6</t>
        </is>
      </c>
      <c r="L656" s="43" t="inlineStr">
        <is>
          <t>AMOLED, 120Hz</t>
        </is>
      </c>
      <c r="M656" s="43" t="inlineStr">
        <is>
          <t>1080x2340</t>
        </is>
      </c>
      <c r="N656" s="43" t="inlineStr">
        <is>
          <t>USB-C (USB 3.2), nano-SIM + eSIM</t>
        </is>
      </c>
      <c r="O656" s="43" t="inlineStr">
        <is>
          <t>Android 15</t>
        </is>
      </c>
      <c r="P656" s="43" t="n">
        <v>22</v>
      </c>
      <c r="Q656" s="46" t="n">
        <v>154</v>
      </c>
      <c r="R656" s="43" t="inlineStr">
        <is>
          <t>Longer battery than Phobos Lumen SE Compact Smartphone [PHO-053-05] (22 vs 18 hrs); Lower price than Clotho Quanta Lite Compact Smartphone [CLO-062-07] ($726.99 vs $750.99)</t>
        </is>
      </c>
      <c r="S656" s="43" t="inlineStr">
        <is>
          <t>everyday, one-handed use</t>
        </is>
      </c>
      <c r="T656" s="0" t="inlineStr">
        <is>
          <t>in_stock</t>
        </is>
      </c>
      <c r="U656" s="0" t="n">
        <v>15</v>
      </c>
      <c r="V656" s="52" t="n">
        <v>812.99</v>
      </c>
      <c r="W656" s="0" t="inlineStr">
        <is>
          <t>2026-08-08</t>
        </is>
      </c>
      <c r="X656" s="0" t="inlineStr">
        <is>
          <t>N/A</t>
        </is>
      </c>
      <c r="Y656" s="0" t="inlineStr">
        <is>
          <t>N/A</t>
        </is>
      </c>
      <c r="Z656" s="0" t="inlineStr">
        <is>
          <t>N/A</t>
        </is>
      </c>
      <c r="AA656" s="0" t="inlineStr">
        <is>
          <t>N/A</t>
        </is>
      </c>
    </row>
    <row r="657" ht="15.75" customHeight="1" s="51">
      <c r="A657" s="43" t="inlineStr">
        <is>
          <t>AMP-065-05</t>
        </is>
      </c>
      <c r="B657" s="43" t="inlineStr">
        <is>
          <t>Amphitrite</t>
        </is>
      </c>
      <c r="C657" s="43" t="inlineStr">
        <is>
          <t>Smartphones &amp; Tablets</t>
        </is>
      </c>
      <c r="D657" s="43" t="inlineStr">
        <is>
          <t>Tablet</t>
        </is>
      </c>
      <c r="E657" s="44" t="inlineStr">
        <is>
          <t>Amphitrite Aria 5G Tablet</t>
        </is>
      </c>
      <c r="F657" s="45" t="n">
        <v>758.99</v>
      </c>
      <c r="G657" s="43" t="inlineStr">
        <is>
          <t>the Aria; Amphitrite Aria; Amphittrite Aria; Aria tablet</t>
        </is>
      </c>
      <c r="H657" s="43" t="inlineStr">
        <is>
          <t>1 year limited</t>
        </is>
      </c>
      <c r="I657" s="43" t="inlineStr">
        <is>
          <t>FCC, CE</t>
        </is>
      </c>
      <c r="J657" s="43" t="inlineStr">
        <is>
          <t>MediaTek Dimensity 8300</t>
        </is>
      </c>
      <c r="K657" s="43" t="inlineStr">
        <is>
          <t>Arm Mali-G615 MC6</t>
        </is>
      </c>
      <c r="L657" s="43" t="inlineStr">
        <is>
          <t>IPS LCD, 90Hz</t>
        </is>
      </c>
      <c r="M657" s="43" t="inlineStr">
        <is>
          <t>1600x2560</t>
        </is>
      </c>
      <c r="N657" s="43" t="inlineStr">
        <is>
          <t>USB-C (USB 3.2), microSD slot, nano-SIM + eSIM</t>
        </is>
      </c>
      <c r="O657" s="43" t="inlineStr">
        <is>
          <t>Android 15</t>
        </is>
      </c>
      <c r="P657" s="43" t="n">
        <v>13</v>
      </c>
      <c r="Q657" s="46" t="n">
        <v>558</v>
      </c>
      <c r="R657" s="43" t="inlineStr">
        <is>
          <t>Lower price than Mnemosyne Rift Ultra 5G Tablet [MNE-061-08] ($758.99 vs $1,166.99); Longer battery than Circe Nimbus Lite 5G Tablet [CIR-068-05] (13 vs 11 hrs)</t>
        </is>
      </c>
      <c r="S657" s="43" t="inlineStr">
        <is>
          <t>travel, streaming, work on the go</t>
        </is>
      </c>
      <c r="T657" s="0" t="inlineStr">
        <is>
          <t>in_stock</t>
        </is>
      </c>
      <c r="U657" s="0" t="n">
        <v>15</v>
      </c>
      <c r="V657" s="52" t="n">
        <v>832.99</v>
      </c>
      <c r="W657" s="0" t="inlineStr">
        <is>
          <t>2026-08-30</t>
        </is>
      </c>
      <c r="X657" s="0" t="inlineStr">
        <is>
          <t>N/A</t>
        </is>
      </c>
      <c r="Y657" s="0" t="inlineStr">
        <is>
          <t>N/A</t>
        </is>
      </c>
      <c r="Z657" s="0" t="inlineStr">
        <is>
          <t>N/A</t>
        </is>
      </c>
      <c r="AA657" s="0" t="inlineStr">
        <is>
          <t>N/A</t>
        </is>
      </c>
    </row>
    <row r="658" ht="15.75" customHeight="1" s="51">
      <c r="A658" s="43" t="inlineStr">
        <is>
          <t>AMP-065-06</t>
        </is>
      </c>
      <c r="B658" s="43" t="inlineStr">
        <is>
          <t>Amphitrite</t>
        </is>
      </c>
      <c r="C658" s="43" t="inlineStr">
        <is>
          <t>Smartphones &amp; Tablets</t>
        </is>
      </c>
      <c r="D658" s="43" t="inlineStr">
        <is>
          <t>Tablet</t>
        </is>
      </c>
      <c r="E658" s="44" t="inlineStr">
        <is>
          <t>Amphitrite Vibe Air Drawing Tablet with Stylus</t>
        </is>
      </c>
      <c r="F658" s="45" t="n">
        <v>862.99</v>
      </c>
      <c r="G658" s="43" t="inlineStr">
        <is>
          <t>the Vibe Air; Amphitrite Vibe Air; Amphitritee Vibe Air; Vibe Air tablet</t>
        </is>
      </c>
      <c r="H658" s="43" t="inlineStr">
        <is>
          <t>1 year limited</t>
        </is>
      </c>
      <c r="I658" s="43" t="inlineStr">
        <is>
          <t>FCC, CE, TUV Rheinland Low Blue Light, Energy Star</t>
        </is>
      </c>
      <c r="J658" s="43" t="inlineStr">
        <is>
          <t>Qualcomm Snapdragon 8 Gen 3</t>
        </is>
      </c>
      <c r="K658" s="43" t="inlineStr">
        <is>
          <t>Qualcomm Adreno 750</t>
        </is>
      </c>
      <c r="L658" s="43" t="inlineStr">
        <is>
          <t>OLED, 120Hz, pen digitizer</t>
        </is>
      </c>
      <c r="M658" s="43" t="inlineStr">
        <is>
          <t>2560x1600</t>
        </is>
      </c>
      <c r="N658" s="43" t="inlineStr">
        <is>
          <t>USB-C (USB 3.2), microSD slot</t>
        </is>
      </c>
      <c r="O658" s="43" t="inlineStr">
        <is>
          <t>Android 15</t>
        </is>
      </c>
      <c r="P658" s="43" t="n">
        <v>11</v>
      </c>
      <c r="Q658" s="46" t="n">
        <v>527</v>
      </c>
      <c r="R658" s="43" t="inlineStr">
        <is>
          <t>Lighter than Oceanus Drift Max Drawing Tablet with Stylus [OCE-060-06] (527 g vs 552 g); Longer battery than Triton Nova Max Drawing Tablet with Stylus [TRI-092-04] (11 vs 9 hrs)</t>
        </is>
      </c>
      <c r="S658" s="43" t="inlineStr">
        <is>
          <t>drawing, design, note-taking</t>
        </is>
      </c>
      <c r="T658" s="0" t="inlineStr">
        <is>
          <t>in_stock</t>
        </is>
      </c>
      <c r="U658" s="0" t="n">
        <v>15</v>
      </c>
      <c r="V658" s="52" t="n">
        <v>898.99</v>
      </c>
      <c r="W658" s="0" t="inlineStr">
        <is>
          <t>2026-08-19</t>
        </is>
      </c>
      <c r="X658" s="0" t="inlineStr">
        <is>
          <t>N/A</t>
        </is>
      </c>
      <c r="Y658" s="0" t="inlineStr">
        <is>
          <t>N/A</t>
        </is>
      </c>
      <c r="Z658" s="0" t="inlineStr">
        <is>
          <t>N/A</t>
        </is>
      </c>
      <c r="AA658" s="0" t="inlineStr">
        <is>
          <t>N/A</t>
        </is>
      </c>
    </row>
    <row r="659" ht="15.75" customHeight="1" s="51">
      <c r="A659" s="43" t="inlineStr">
        <is>
          <t>AMP-065-07</t>
        </is>
      </c>
      <c r="B659" s="43" t="inlineStr">
        <is>
          <t>Amphitrite</t>
        </is>
      </c>
      <c r="C659" s="43" t="inlineStr">
        <is>
          <t>Smartphones &amp; Tablets</t>
        </is>
      </c>
      <c r="D659" s="43" t="inlineStr">
        <is>
          <t>Smartphone</t>
        </is>
      </c>
      <c r="E659" s="44" t="inlineStr">
        <is>
          <t>Amphitrite Aeon X Flip Foldable Phone</t>
        </is>
      </c>
      <c r="F659" s="45" t="n">
        <v>1010.99</v>
      </c>
      <c r="G659" s="43" t="inlineStr">
        <is>
          <t>the Aeon X; Amphitrite Aeon X; Amphitrrite Aeon X; Aeon X smartphone</t>
        </is>
      </c>
      <c r="H659" s="43" t="inlineStr">
        <is>
          <t>1 year limited</t>
        </is>
      </c>
      <c r="I659" s="43" t="inlineStr">
        <is>
          <t>FCC, CE, IPX8</t>
        </is>
      </c>
      <c r="J659" s="43" t="inlineStr">
        <is>
          <t>MediaTek Dimensity 9400</t>
        </is>
      </c>
      <c r="K659" s="43" t="inlineStr">
        <is>
          <t>Arm Immortalis-G925</t>
        </is>
      </c>
      <c r="L659" s="43" t="inlineStr">
        <is>
          <t>Foldable AMOLED inner + AMOLED cover screen</t>
        </is>
      </c>
      <c r="M659" s="43" t="inlineStr">
        <is>
          <t>1080x2640 inner / 720x748 cover</t>
        </is>
      </c>
      <c r="N659" s="43" t="inlineStr">
        <is>
          <t>USB-C (USB 3.2), nano-SIM + eSIM</t>
        </is>
      </c>
      <c r="O659" s="43" t="inlineStr">
        <is>
          <t>Android 15</t>
        </is>
      </c>
      <c r="P659" s="43" t="n">
        <v>20</v>
      </c>
      <c r="Q659" s="46" t="n">
        <v>190</v>
      </c>
      <c r="R659" s="43" t="inlineStr">
        <is>
          <t>Lower price than Phobos Titan Flip Foldable Phone [PHO-053-06] ($1,010.99 vs $1,112.99); Lighter than Eurus Flux Lite Flip Foldable Phone [EUR-088-06] (190 g vs 197 g)</t>
        </is>
      </c>
      <c r="S659" s="43" t="inlineStr">
        <is>
          <t>style, everyday, compact</t>
        </is>
      </c>
      <c r="T659" s="0" t="inlineStr">
        <is>
          <t>in_stock</t>
        </is>
      </c>
      <c r="U659" s="0" t="n">
        <v>15</v>
      </c>
      <c r="V659" s="52" t="n">
        <v>1134.99</v>
      </c>
      <c r="W659" s="0" t="inlineStr">
        <is>
          <t>2026-08-06</t>
        </is>
      </c>
      <c r="X659" s="0" t="inlineStr">
        <is>
          <t>N/A</t>
        </is>
      </c>
      <c r="Y659" s="0" t="inlineStr">
        <is>
          <t>N/A</t>
        </is>
      </c>
      <c r="Z659" s="0" t="inlineStr">
        <is>
          <t>N/A</t>
        </is>
      </c>
      <c r="AA659" s="0" t="inlineStr">
        <is>
          <t>N/A</t>
        </is>
      </c>
    </row>
    <row r="660" ht="15.75" customHeight="1" s="51">
      <c r="A660" s="43" t="inlineStr">
        <is>
          <t>AMP-065-08</t>
        </is>
      </c>
      <c r="B660" s="43" t="inlineStr">
        <is>
          <t>Amphitrite</t>
        </is>
      </c>
      <c r="C660" s="43" t="inlineStr">
        <is>
          <t>Smartphones &amp; Tablets</t>
        </is>
      </c>
      <c r="D660" s="43" t="inlineStr">
        <is>
          <t>Tablet</t>
        </is>
      </c>
      <c r="E660" s="44" t="inlineStr">
        <is>
          <t>Amphitrite Quanta Air 13" Pro Tablet</t>
        </is>
      </c>
      <c r="F660" s="45" t="n">
        <v>1091.99</v>
      </c>
      <c r="G660" s="43" t="inlineStr">
        <is>
          <t>the Quanta Air; Amphitrite Quanta Air; Amphittrite Quanta Air; Quanta Air tablet</t>
        </is>
      </c>
      <c r="H660" s="43" t="inlineStr">
        <is>
          <t>1 year limited</t>
        </is>
      </c>
      <c r="I660" s="43" t="inlineStr">
        <is>
          <t>FCC, CE</t>
        </is>
      </c>
      <c r="J660" s="43" t="inlineStr">
        <is>
          <t>MediaTek Dimensity 9400</t>
        </is>
      </c>
      <c r="K660" s="43" t="inlineStr">
        <is>
          <t>Arm Immortalis-G925</t>
        </is>
      </c>
      <c r="L660" s="43" t="inlineStr">
        <is>
          <t>OLED, 120Hz</t>
        </is>
      </c>
      <c r="M660" s="43" t="inlineStr">
        <is>
          <t>2800x1752</t>
        </is>
      </c>
      <c r="N660" s="43" t="inlineStr">
        <is>
          <t>USB-C (USB 3.2), magnetic keyboard connector</t>
        </is>
      </c>
      <c r="O660" s="43" t="inlineStr">
        <is>
          <t>Android 15</t>
        </is>
      </c>
      <c r="P660" s="43" t="n">
        <v>11</v>
      </c>
      <c r="Q660" s="46" t="n">
        <v>643</v>
      </c>
      <c r="R660" s="43" t="inlineStr">
        <is>
          <t>Lower price than Nemesis Titan Lite 13" Pro Tablet [NEM-051-10] ($1,091.99 vs $1,820.99); Longer battery than Aether Onyx X 13" Pro Tablet [AET-080-09] (11 vs 10 hrs)</t>
        </is>
      </c>
      <c r="S660" s="43" t="inlineStr">
        <is>
          <t>creative work, productivity, drawing</t>
        </is>
      </c>
      <c r="T660" s="0" t="inlineStr">
        <is>
          <t>in_stock</t>
        </is>
      </c>
      <c r="U660" s="0" t="n">
        <v>15</v>
      </c>
      <c r="V660" s="52" t="n">
        <v>1128.99</v>
      </c>
      <c r="W660" s="0" t="inlineStr">
        <is>
          <t>2026-08-20</t>
        </is>
      </c>
      <c r="X660" s="0" t="inlineStr">
        <is>
          <t>N/A</t>
        </is>
      </c>
      <c r="Y660" s="0" t="inlineStr">
        <is>
          <t>N/A</t>
        </is>
      </c>
      <c r="Z660" s="0" t="inlineStr">
        <is>
          <t>N/A</t>
        </is>
      </c>
      <c r="AA660" s="0" t="inlineStr">
        <is>
          <t>N/A</t>
        </is>
      </c>
    </row>
    <row r="661" ht="15.75" customHeight="1" s="51">
      <c r="A661" s="43" t="inlineStr">
        <is>
          <t>AMP-065-09</t>
        </is>
      </c>
      <c r="B661" s="43" t="inlineStr">
        <is>
          <t>Amphitrite</t>
        </is>
      </c>
      <c r="C661" s="43" t="inlineStr">
        <is>
          <t>Smartphones &amp; Tablets</t>
        </is>
      </c>
      <c r="D661" s="43" t="inlineStr">
        <is>
          <t>Smartphone</t>
        </is>
      </c>
      <c r="E661" s="44" t="inlineStr">
        <is>
          <t>Amphitrite Pulse SE Flagship Smartphone</t>
        </is>
      </c>
      <c r="F661" s="45" t="n">
        <v>1168.99</v>
      </c>
      <c r="G661" s="43" t="inlineStr">
        <is>
          <t>the Pulse SE; Amphitrite Pulse SE; Amphitritte Pulse SE; Pulse SE smartphone</t>
        </is>
      </c>
      <c r="H661" s="43" t="inlineStr">
        <is>
          <t>2 year limited</t>
        </is>
      </c>
      <c r="I661" s="43" t="inlineStr">
        <is>
          <t>FCC, CE, IP68, Qi2</t>
        </is>
      </c>
      <c r="J661" s="43" t="inlineStr">
        <is>
          <t>MediaTek Dimensity 9400</t>
        </is>
      </c>
      <c r="K661" s="43" t="inlineStr">
        <is>
          <t>Arm Immortalis-G925</t>
        </is>
      </c>
      <c r="L661" s="43" t="inlineStr">
        <is>
          <t>LTPO AMOLED, 1-120Hz</t>
        </is>
      </c>
      <c r="M661" s="43" t="inlineStr">
        <is>
          <t>1440x3120</t>
        </is>
      </c>
      <c r="N661" s="43" t="inlineStr">
        <is>
          <t>USB-C (USB 3.2), nano-SIM + eSIM</t>
        </is>
      </c>
      <c r="O661" s="43" t="inlineStr">
        <is>
          <t>Android 15</t>
        </is>
      </c>
      <c r="P661" s="43" t="n">
        <v>26</v>
      </c>
      <c r="Q661" s="46" t="n">
        <v>177</v>
      </c>
      <c r="R661" s="43" t="inlineStr">
        <is>
          <t>Lighter than Pothos Axis Lite Flagship Smartphone [POT-072-05] (177 g vs 181 g); Lower price than Plutus Axis Plus Flagship Smartphone [PLU-100-08] ($1,168.99 vs $1,198.99)</t>
        </is>
      </c>
      <c r="S661" s="43" t="inlineStr">
        <is>
          <t>photography, everyday, business</t>
        </is>
      </c>
      <c r="T661" s="0" t="inlineStr">
        <is>
          <t>in_stock</t>
        </is>
      </c>
      <c r="U661" s="0" t="n">
        <v>15</v>
      </c>
      <c r="V661" s="52" t="n">
        <v>1253.99</v>
      </c>
      <c r="W661" s="0" t="inlineStr">
        <is>
          <t>2026-08-31</t>
        </is>
      </c>
      <c r="X661" s="0" t="inlineStr">
        <is>
          <t>N/A</t>
        </is>
      </c>
      <c r="Y661" s="0" t="inlineStr">
        <is>
          <t>N/A</t>
        </is>
      </c>
      <c r="Z661" s="0" t="inlineStr">
        <is>
          <t>N/A</t>
        </is>
      </c>
      <c r="AA661" s="0" t="inlineStr">
        <is>
          <t>N/A</t>
        </is>
      </c>
    </row>
    <row r="662" ht="15.75" customHeight="1" s="51">
      <c r="A662" s="43" t="inlineStr">
        <is>
          <t>AMP-065-10</t>
        </is>
      </c>
      <c r="B662" s="43" t="inlineStr">
        <is>
          <t>Amphitrite</t>
        </is>
      </c>
      <c r="C662" s="43" t="inlineStr">
        <is>
          <t>Smartphones &amp; Tablets</t>
        </is>
      </c>
      <c r="D662" s="43" t="inlineStr">
        <is>
          <t>Smartphone</t>
        </is>
      </c>
      <c r="E662" s="44" t="inlineStr">
        <is>
          <t>Amphitrite Halo X Pro Max Smartphone</t>
        </is>
      </c>
      <c r="F662" s="45" t="n">
        <v>1479.99</v>
      </c>
      <c r="G662" s="43" t="inlineStr">
        <is>
          <t>the Halo X; Amphitrite Halo X; Amhpitrite Halo X; Halo X smartphone</t>
        </is>
      </c>
      <c r="H662" s="43" t="inlineStr">
        <is>
          <t>2 year limited</t>
        </is>
      </c>
      <c r="I662" s="43" t="inlineStr">
        <is>
          <t>FCC, CE, IP68, Qi2</t>
        </is>
      </c>
      <c r="J662" s="43" t="inlineStr">
        <is>
          <t>Qualcomm Snapdragon 8 Elite</t>
        </is>
      </c>
      <c r="K662" s="43" t="inlineStr">
        <is>
          <t>Qualcomm Adreno 830</t>
        </is>
      </c>
      <c r="L662" s="43" t="inlineStr">
        <is>
          <t>LTPO AMOLED, 1-120Hz</t>
        </is>
      </c>
      <c r="M662" s="43" t="inlineStr">
        <is>
          <t>1440x3120</t>
        </is>
      </c>
      <c r="N662" s="43" t="inlineStr">
        <is>
          <t>USB-C (USB 3.2), nano-SIM + eSIM</t>
        </is>
      </c>
      <c r="O662" s="43" t="inlineStr">
        <is>
          <t>Android 15</t>
        </is>
      </c>
      <c r="P662" s="43" t="n">
        <v>31</v>
      </c>
      <c r="Q662" s="46" t="n">
        <v>221</v>
      </c>
      <c r="R662" s="43" t="inlineStr">
        <is>
          <t>Lighter than Paean Vertex Lite Pro Max Smartphone [PAE-066-10] (221 g vs 225 g); Lower price than Theia Halo Air Pro Max Smartphone [THE-081-08] ($1,479.99 vs $1,499.99)</t>
        </is>
      </c>
      <c r="S662" s="43" t="inlineStr">
        <is>
          <t>photography, video, mobile gaming</t>
        </is>
      </c>
      <c r="T662" s="0" t="inlineStr">
        <is>
          <t>in_stock</t>
        </is>
      </c>
      <c r="U662" s="0" t="n">
        <v>15</v>
      </c>
      <c r="V662" s="52" t="n">
        <v>1579.99</v>
      </c>
      <c r="W662" s="0" t="inlineStr">
        <is>
          <t>2026-09-10</t>
        </is>
      </c>
      <c r="X662" s="0" t="inlineStr">
        <is>
          <t>N/A</t>
        </is>
      </c>
      <c r="Y662" s="0" t="inlineStr">
        <is>
          <t>N/A</t>
        </is>
      </c>
      <c r="Z662" s="0" t="inlineStr">
        <is>
          <t>N/A</t>
        </is>
      </c>
      <c r="AA662" s="0" t="inlineStr">
        <is>
          <t>N/A</t>
        </is>
      </c>
    </row>
    <row r="663" ht="15.75" customHeight="1" s="51">
      <c r="A663" s="43" t="inlineStr">
        <is>
          <t>PAE-066-01</t>
        </is>
      </c>
      <c r="B663" s="43" t="inlineStr">
        <is>
          <t>Paean</t>
        </is>
      </c>
      <c r="C663" s="43" t="inlineStr">
        <is>
          <t>Smartphones &amp; Tablets</t>
        </is>
      </c>
      <c r="D663" s="43" t="inlineStr">
        <is>
          <t>Smartphone</t>
        </is>
      </c>
      <c r="E663" s="44" t="inlineStr">
        <is>
          <t>Paean Aria Budget Smartphone</t>
        </is>
      </c>
      <c r="F663" s="45" t="n">
        <v>242.99</v>
      </c>
      <c r="G663" s="43" t="inlineStr">
        <is>
          <t>the Aria; Paean Aria; Pean Aria; Aria smartphone</t>
        </is>
      </c>
      <c r="H663" s="43" t="inlineStr">
        <is>
          <t>1 year limited</t>
        </is>
      </c>
      <c r="I663" s="43" t="inlineStr">
        <is>
          <t>FCC, CE, IP54</t>
        </is>
      </c>
      <c r="J663" s="43" t="inlineStr">
        <is>
          <t>MediaTek Helio G99</t>
        </is>
      </c>
      <c r="K663" s="43" t="inlineStr">
        <is>
          <t>Arm Mali-G57 MC2</t>
        </is>
      </c>
      <c r="L663" s="43" t="inlineStr">
        <is>
          <t>IPS LCD, 90Hz</t>
        </is>
      </c>
      <c r="M663" s="43" t="inlineStr">
        <is>
          <t>1080x2400</t>
        </is>
      </c>
      <c r="N663" s="43" t="inlineStr">
        <is>
          <t>USB-C (USB 2.0), nano-SIM + eSIM, 3.5mm headphone jack, microSD slot</t>
        </is>
      </c>
      <c r="O663" s="43" t="inlineStr">
        <is>
          <t>Android 14</t>
        </is>
      </c>
      <c r="P663" s="43" t="n">
        <v>29</v>
      </c>
      <c r="Q663" s="46" t="n">
        <v>192</v>
      </c>
      <c r="R663" s="43" t="inlineStr">
        <is>
          <t>Lighter than Hecate Prism Lite Budget Smartphone [HEC-052-02] (192 g vs 210 g); Longer battery than Lachesis Prism Lite Budget Smartphone [LAC-071-02] (29 vs 20 hrs)</t>
        </is>
      </c>
      <c r="S663" s="43" t="inlineStr">
        <is>
          <t>budget, first phone, everyday</t>
        </is>
      </c>
      <c r="T663" s="0" t="inlineStr">
        <is>
          <t>in_stock</t>
        </is>
      </c>
      <c r="U663" s="0" t="n">
        <v>15</v>
      </c>
      <c r="V663" s="52" t="n">
        <v>265.99</v>
      </c>
      <c r="W663" s="0" t="inlineStr">
        <is>
          <t>2026-09-09</t>
        </is>
      </c>
      <c r="X663" s="0" t="inlineStr">
        <is>
          <t>N/A</t>
        </is>
      </c>
      <c r="Y663" s="0" t="inlineStr">
        <is>
          <t>N/A</t>
        </is>
      </c>
      <c r="Z663" s="0" t="inlineStr">
        <is>
          <t>N/A</t>
        </is>
      </c>
      <c r="AA663" s="0" t="inlineStr">
        <is>
          <t>N/A</t>
        </is>
      </c>
    </row>
    <row r="664" ht="15.75" customHeight="1" s="51">
      <c r="A664" s="43" t="inlineStr">
        <is>
          <t>PAE-066-02</t>
        </is>
      </c>
      <c r="B664" s="43" t="inlineStr">
        <is>
          <t>Paean</t>
        </is>
      </c>
      <c r="C664" s="43" t="inlineStr">
        <is>
          <t>Smartphones &amp; Tablets</t>
        </is>
      </c>
      <c r="D664" s="43" t="inlineStr">
        <is>
          <t>Tablet</t>
        </is>
      </c>
      <c r="E664" s="44" t="inlineStr">
        <is>
          <t>Paean Wave Air E-Ink Note Tablet</t>
        </is>
      </c>
      <c r="F664" s="45" t="n">
        <v>308.99</v>
      </c>
      <c r="G664" s="43" t="inlineStr">
        <is>
          <t>the Wave Air; Paean Wave Air; Paaen Wave Air; Wave Air tablet</t>
        </is>
      </c>
      <c r="H664" s="43" t="inlineStr">
        <is>
          <t>1 year limited</t>
        </is>
      </c>
      <c r="I664" s="43" t="inlineStr">
        <is>
          <t>FCC, CE, TUV Rheinland Low Blue Light</t>
        </is>
      </c>
      <c r="J664" s="43" t="inlineStr">
        <is>
          <t>Rockchip RK3566</t>
        </is>
      </c>
      <c r="K664" s="43" t="inlineStr">
        <is>
          <t>Arm Mali-G52 2EE</t>
        </is>
      </c>
      <c r="L664" s="43" t="inlineStr">
        <is>
          <t>E Ink Carta 1300, front-lit</t>
        </is>
      </c>
      <c r="M664" s="43" t="inlineStr">
        <is>
          <t>1404x1872</t>
        </is>
      </c>
      <c r="N664" s="43" t="inlineStr">
        <is>
          <t>USB-C (USB 2.0), microSD slot</t>
        </is>
      </c>
      <c r="O664" s="43" t="inlineStr">
        <is>
          <t>Android 13 (E Ink optimized)</t>
        </is>
      </c>
      <c r="P664" s="43" t="n">
        <v>300</v>
      </c>
      <c r="Q664" s="46" t="n">
        <v>402</v>
      </c>
      <c r="R664" s="43" t="inlineStr">
        <is>
          <t>Lower price than Hypnos Axis Ultra E-Ink Note Tablet [HYP-059-05] ($308.99 vs $601.99); Longer battery than Oceanus Nova Plus E-Ink Note Tablet [OCE-060-03] (300 vs 156 hrs)</t>
        </is>
      </c>
      <c r="S664" s="43" t="inlineStr">
        <is>
          <t>reading, note-taking, school</t>
        </is>
      </c>
      <c r="T664" s="0" t="inlineStr">
        <is>
          <t>low_stock</t>
        </is>
      </c>
      <c r="U664" s="0" t="n">
        <v>15</v>
      </c>
      <c r="V664" s="52" t="n">
        <v>322.99</v>
      </c>
      <c r="W664" s="0" t="inlineStr">
        <is>
          <t>2026-09-15</t>
        </is>
      </c>
      <c r="X664" s="0" t="inlineStr">
        <is>
          <t>N/A</t>
        </is>
      </c>
      <c r="Y664" s="0" t="inlineStr">
        <is>
          <t>N/A</t>
        </is>
      </c>
      <c r="Z664" s="0" t="inlineStr">
        <is>
          <t>N/A</t>
        </is>
      </c>
      <c r="AA664" s="0" t="inlineStr">
        <is>
          <t>N/A</t>
        </is>
      </c>
    </row>
    <row r="665" ht="15.75" customHeight="1" s="51">
      <c r="A665" s="43" t="inlineStr">
        <is>
          <t>PAE-066-03</t>
        </is>
      </c>
      <c r="B665" s="43" t="inlineStr">
        <is>
          <t>Paean</t>
        </is>
      </c>
      <c r="C665" s="43" t="inlineStr">
        <is>
          <t>Smartphones &amp; Tablets</t>
        </is>
      </c>
      <c r="D665" s="43" t="inlineStr">
        <is>
          <t>Smartphone</t>
        </is>
      </c>
      <c r="E665" s="44" t="inlineStr">
        <is>
          <t>Paean Quanta SE Rugged Smartphone</t>
        </is>
      </c>
      <c r="F665" s="45" t="n">
        <v>489.99</v>
      </c>
      <c r="G665" s="43" t="inlineStr">
        <is>
          <t>the Quanta SE; Paean Quanta SE; Pean Quanta SE; Quanta SE smartphone</t>
        </is>
      </c>
      <c r="H665" s="43" t="inlineStr">
        <is>
          <t>2 year limited</t>
        </is>
      </c>
      <c r="I665" s="43" t="inlineStr">
        <is>
          <t>FCC, CE, IP69K, MIL-STD-810H</t>
        </is>
      </c>
      <c r="J665" s="43" t="inlineStr">
        <is>
          <t>MediaTek Dimensity 7300</t>
        </is>
      </c>
      <c r="K665" s="43" t="inlineStr">
        <is>
          <t>Arm Mali-G615 MC2</t>
        </is>
      </c>
      <c r="L665" s="43" t="inlineStr">
        <is>
          <t>IPS LCD, Gorilla Glass Victus, 120Hz</t>
        </is>
      </c>
      <c r="M665" s="43" t="inlineStr">
        <is>
          <t>1080x2400</t>
        </is>
      </c>
      <c r="N665" s="43" t="inlineStr">
        <is>
          <t>USB-C (USB 2.0), nano-SIM + eSIM, 3.5mm headphone jack, microSD slot</t>
        </is>
      </c>
      <c r="O665" s="43" t="inlineStr">
        <is>
          <t>Android 15</t>
        </is>
      </c>
      <c r="P665" s="43" t="n">
        <v>43</v>
      </c>
      <c r="Q665" s="46" t="n">
        <v>294</v>
      </c>
      <c r="R665" s="43" t="inlineStr">
        <is>
          <t>Lower price than Eurus Drift Lite Rugged Smartphone [EUR-088-05] ($489.99 vs $760.99); Longer battery than Alpheus Halo Pro Rugged Smartphone [ALP-082-06] (43 vs 31 hrs)</t>
        </is>
      </c>
      <c r="S665" s="43" t="inlineStr">
        <is>
          <t>outdoor, construction, fieldwork</t>
        </is>
      </c>
      <c r="T665" s="0" t="inlineStr">
        <is>
          <t>in_stock</t>
        </is>
      </c>
      <c r="U665" s="0" t="n">
        <v>15</v>
      </c>
      <c r="V665" s="52" t="n">
        <v>544.99</v>
      </c>
      <c r="W665" s="0" t="inlineStr">
        <is>
          <t>2026-09-25</t>
        </is>
      </c>
      <c r="X665" s="0" t="inlineStr">
        <is>
          <t>N/A</t>
        </is>
      </c>
      <c r="Y665" s="0" t="inlineStr">
        <is>
          <t>N/A</t>
        </is>
      </c>
      <c r="Z665" s="0" t="inlineStr">
        <is>
          <t>N/A</t>
        </is>
      </c>
      <c r="AA665" s="0" t="inlineStr">
        <is>
          <t>N/A</t>
        </is>
      </c>
    </row>
    <row r="666" ht="15.75" customHeight="1" s="51">
      <c r="A666" s="43" t="inlineStr">
        <is>
          <t>PAE-066-04</t>
        </is>
      </c>
      <c r="B666" s="43" t="inlineStr">
        <is>
          <t>Paean</t>
        </is>
      </c>
      <c r="C666" s="43" t="inlineStr">
        <is>
          <t>Smartphones &amp; Tablets</t>
        </is>
      </c>
      <c r="D666" s="43" t="inlineStr">
        <is>
          <t>Tablet</t>
        </is>
      </c>
      <c r="E666" s="44" t="inlineStr">
        <is>
          <t>Paean Orbit Lite 11" Tablet</t>
        </is>
      </c>
      <c r="F666" s="45" t="n">
        <v>529.99</v>
      </c>
      <c r="G666" s="43" t="inlineStr">
        <is>
          <t>the Orbit Lite; Paean Orbit Lite; Paea Orbit Lite; Orbit Lite tablet</t>
        </is>
      </c>
      <c r="H666" s="43" t="inlineStr">
        <is>
          <t>1 year limited</t>
        </is>
      </c>
      <c r="I666" s="43" t="inlineStr">
        <is>
          <t>FCC, CE</t>
        </is>
      </c>
      <c r="J666" s="43" t="inlineStr">
        <is>
          <t>Qualcomm Snapdragon 7+ Gen 3</t>
        </is>
      </c>
      <c r="K666" s="43" t="inlineStr">
        <is>
          <t>Qualcomm Adreno 732</t>
        </is>
      </c>
      <c r="L666" s="43" t="inlineStr">
        <is>
          <t>IPS LCD, 90Hz</t>
        </is>
      </c>
      <c r="M666" s="43" t="inlineStr">
        <is>
          <t>1600x2560</t>
        </is>
      </c>
      <c r="N666" s="43" t="inlineStr">
        <is>
          <t>USB-C (USB 2.0), microSD slot</t>
        </is>
      </c>
      <c r="O666" s="43" t="inlineStr">
        <is>
          <t>Android 15</t>
        </is>
      </c>
      <c r="P666" s="43" t="n">
        <v>14</v>
      </c>
      <c r="Q666" s="46" t="n">
        <v>482</v>
      </c>
      <c r="R666" s="43" t="inlineStr">
        <is>
          <t>Lower price than Hephaestus Zen SE 11" Tablet [HEP-076-06] ($529.99 vs $729.99); Longer battery than Epimetheus Nova 11" Tablet [EPI-091-04] (14 vs 11 hrs)</t>
        </is>
      </c>
      <c r="S666" s="43" t="inlineStr">
        <is>
          <t>school, streaming, reading</t>
        </is>
      </c>
      <c r="T666" s="0" t="inlineStr">
        <is>
          <t>in_stock</t>
        </is>
      </c>
      <c r="U666" s="0" t="n">
        <v>15</v>
      </c>
      <c r="V666" s="52" t="n">
        <v>552.99</v>
      </c>
      <c r="W666" s="0" t="inlineStr">
        <is>
          <t>2026-09-22</t>
        </is>
      </c>
      <c r="X666" s="0" t="inlineStr">
        <is>
          <t>N/A</t>
        </is>
      </c>
      <c r="Y666" s="0" t="inlineStr">
        <is>
          <t>N/A</t>
        </is>
      </c>
      <c r="Z666" s="0" t="inlineStr">
        <is>
          <t>N/A</t>
        </is>
      </c>
      <c r="AA666" s="0" t="inlineStr">
        <is>
          <t>N/A</t>
        </is>
      </c>
    </row>
    <row r="667" ht="15.75" customHeight="1" s="51">
      <c r="A667" s="43" t="inlineStr">
        <is>
          <t>PAE-066-05</t>
        </is>
      </c>
      <c r="B667" s="43" t="inlineStr">
        <is>
          <t>Paean</t>
        </is>
      </c>
      <c r="C667" s="43" t="inlineStr">
        <is>
          <t>Smartphones &amp; Tablets</t>
        </is>
      </c>
      <c r="D667" s="43" t="inlineStr">
        <is>
          <t>Tablet</t>
        </is>
      </c>
      <c r="E667" s="44" t="inlineStr">
        <is>
          <t>Paean Nova Air 5G Tablet</t>
        </is>
      </c>
      <c r="F667" s="45" t="n">
        <v>882.99</v>
      </c>
      <c r="G667" s="43" t="inlineStr">
        <is>
          <t>the Nova Air; Paean Nova Air; Paeaan Nova Air; Nova Air tablet</t>
        </is>
      </c>
      <c r="H667" s="43" t="inlineStr">
        <is>
          <t>1 year limited</t>
        </is>
      </c>
      <c r="I667" s="43" t="inlineStr">
        <is>
          <t>FCC, CE, Energy Star</t>
        </is>
      </c>
      <c r="J667" s="43" t="inlineStr">
        <is>
          <t>Qualcomm Snapdragon 8 Gen 3</t>
        </is>
      </c>
      <c r="K667" s="43" t="inlineStr">
        <is>
          <t>Qualcomm Adreno 750</t>
        </is>
      </c>
      <c r="L667" s="43" t="inlineStr">
        <is>
          <t>OLED, 120Hz</t>
        </is>
      </c>
      <c r="M667" s="43" t="inlineStr">
        <is>
          <t>1752x2800</t>
        </is>
      </c>
      <c r="N667" s="43" t="inlineStr">
        <is>
          <t>USB-C (USB 3.2), microSD slot, nano-SIM + eSIM</t>
        </is>
      </c>
      <c r="O667" s="43" t="inlineStr">
        <is>
          <t>Android 15</t>
        </is>
      </c>
      <c r="P667" s="43" t="n">
        <v>13</v>
      </c>
      <c r="Q667" s="46" t="n">
        <v>556</v>
      </c>
      <c r="R667" s="43" t="inlineStr">
        <is>
          <t>Longer battery than Eurus Aeon 5G Tablet [EUR-088-07] (13 vs 11 hrs); Lower price than Helios Aria 5G Tablet [HEL-073-08] ($882.99 vs $1,198.99)</t>
        </is>
      </c>
      <c r="S667" s="43" t="inlineStr">
        <is>
          <t>travel, streaming, work on the go</t>
        </is>
      </c>
      <c r="T667" s="0" t="inlineStr">
        <is>
          <t>in_stock</t>
        </is>
      </c>
      <c r="U667" s="0" t="n">
        <v>15</v>
      </c>
      <c r="V667" s="52" t="n">
        <v>926.99</v>
      </c>
      <c r="W667" s="0" t="inlineStr">
        <is>
          <t>2026-09-10</t>
        </is>
      </c>
      <c r="X667" s="0" t="inlineStr">
        <is>
          <t>N/A</t>
        </is>
      </c>
      <c r="Y667" s="0" t="inlineStr">
        <is>
          <t>N/A</t>
        </is>
      </c>
      <c r="Z667" s="0" t="inlineStr">
        <is>
          <t>N/A</t>
        </is>
      </c>
      <c r="AA667" s="0" t="inlineStr">
        <is>
          <t>N/A</t>
        </is>
      </c>
    </row>
    <row r="668" ht="15.75" customHeight="1" s="51">
      <c r="A668" s="43" t="inlineStr">
        <is>
          <t>PAE-066-06</t>
        </is>
      </c>
      <c r="B668" s="43" t="inlineStr">
        <is>
          <t>Paean</t>
        </is>
      </c>
      <c r="C668" s="43" t="inlineStr">
        <is>
          <t>Smartphones &amp; Tablets</t>
        </is>
      </c>
      <c r="D668" s="43" t="inlineStr">
        <is>
          <t>Smartphone</t>
        </is>
      </c>
      <c r="E668" s="44" t="inlineStr">
        <is>
          <t>Paean Strata SE Flip Foldable Phone</t>
        </is>
      </c>
      <c r="F668" s="45" t="n">
        <v>1027.99</v>
      </c>
      <c r="G668" s="43" t="inlineStr">
        <is>
          <t>the Strata SE; Paean Strata SE; Paea Strata SE; Strata SE smartphone</t>
        </is>
      </c>
      <c r="H668" s="43" t="inlineStr">
        <is>
          <t>1 year limited</t>
        </is>
      </c>
      <c r="I668" s="43" t="inlineStr">
        <is>
          <t>FCC, CE, IPX8</t>
        </is>
      </c>
      <c r="J668" s="43" t="inlineStr">
        <is>
          <t>MediaTek Dimensity 9400</t>
        </is>
      </c>
      <c r="K668" s="43" t="inlineStr">
        <is>
          <t>Arm Immortalis-G925</t>
        </is>
      </c>
      <c r="L668" s="43" t="inlineStr">
        <is>
          <t>Foldable AMOLED inner + AMOLED cover screen</t>
        </is>
      </c>
      <c r="M668" s="43" t="inlineStr">
        <is>
          <t>1080x2640 inner / 720x748 cover</t>
        </is>
      </c>
      <c r="N668" s="43" t="inlineStr">
        <is>
          <t>USB-C (USB 3.2), nano-SIM + eSIM</t>
        </is>
      </c>
      <c r="O668" s="43" t="inlineStr">
        <is>
          <t>Android 15</t>
        </is>
      </c>
      <c r="P668" s="43" t="n">
        <v>16</v>
      </c>
      <c r="Q668" s="46" t="n">
        <v>196</v>
      </c>
      <c r="R668" s="43" t="inlineStr">
        <is>
          <t>Lighter than Eurus Flux Lite Flip Foldable Phone [EUR-088-06] (196 g vs 197 g); Lower price than Comus Zen Lite Flip Foldable Phone [COM-078-07] ($1,027.99 vs $1,043.99)</t>
        </is>
      </c>
      <c r="S668" s="43" t="inlineStr">
        <is>
          <t>style, everyday, compact</t>
        </is>
      </c>
      <c r="T668" s="0" t="inlineStr">
        <is>
          <t>in_stock</t>
        </is>
      </c>
      <c r="U668" s="0" t="n">
        <v>15</v>
      </c>
      <c r="V668" s="52" t="n">
        <v>1182.99</v>
      </c>
      <c r="W668" s="0" t="inlineStr">
        <is>
          <t>2026-08-16</t>
        </is>
      </c>
      <c r="X668" s="0" t="inlineStr">
        <is>
          <t>N/A</t>
        </is>
      </c>
      <c r="Y668" s="0" t="inlineStr">
        <is>
          <t>N/A</t>
        </is>
      </c>
      <c r="Z668" s="0" t="inlineStr">
        <is>
          <t>N/A</t>
        </is>
      </c>
      <c r="AA668" s="0" t="inlineStr">
        <is>
          <t>N/A</t>
        </is>
      </c>
    </row>
    <row r="669" ht="15.75" customHeight="1" s="51">
      <c r="A669" s="43" t="inlineStr">
        <is>
          <t>PAE-066-07</t>
        </is>
      </c>
      <c r="B669" s="43" t="inlineStr">
        <is>
          <t>Paean</t>
        </is>
      </c>
      <c r="C669" s="43" t="inlineStr">
        <is>
          <t>Smartphones &amp; Tablets</t>
        </is>
      </c>
      <c r="D669" s="43" t="inlineStr">
        <is>
          <t>Tablet</t>
        </is>
      </c>
      <c r="E669" s="44" t="inlineStr">
        <is>
          <t>Paean Drift Plus 13" Pro Tablet</t>
        </is>
      </c>
      <c r="F669" s="45" t="n">
        <v>1134.99</v>
      </c>
      <c r="G669" s="43" t="inlineStr">
        <is>
          <t>the Drift Plus; Paean Drift Plus; Paeean Drift Plus; Drift Plus tablet</t>
        </is>
      </c>
      <c r="H669" s="43" t="inlineStr">
        <is>
          <t>1 year limited</t>
        </is>
      </c>
      <c r="I669" s="43" t="inlineStr">
        <is>
          <t>FCC, CE</t>
        </is>
      </c>
      <c r="J669" s="43" t="inlineStr">
        <is>
          <t>MediaTek Dimensity 9400</t>
        </is>
      </c>
      <c r="K669" s="43" t="inlineStr">
        <is>
          <t>Arm Immortalis-G925</t>
        </is>
      </c>
      <c r="L669" s="43" t="inlineStr">
        <is>
          <t>OLED, 120Hz</t>
        </is>
      </c>
      <c r="M669" s="43" t="inlineStr">
        <is>
          <t>2800x1752</t>
        </is>
      </c>
      <c r="N669" s="43" t="inlineStr">
        <is>
          <t>USB-C (USB 3.2), magnetic keyboard connector</t>
        </is>
      </c>
      <c r="O669" s="43" t="inlineStr">
        <is>
          <t>Android 15</t>
        </is>
      </c>
      <c r="P669" s="43" t="n">
        <v>13</v>
      </c>
      <c r="Q669" s="46" t="n">
        <v>638</v>
      </c>
      <c r="R669" s="43" t="inlineStr">
        <is>
          <t>Lower price than Leto Sable 13" Pro Tablet [LET-077-10] ($1,134.99 vs $1,493.99); Longer battery than Aglaea Strata SE 13" Pro Tablet [AGL-079-10] (13 vs 11 hrs)</t>
        </is>
      </c>
      <c r="S669" s="43" t="inlineStr">
        <is>
          <t>creative work, productivity, drawing</t>
        </is>
      </c>
      <c r="T669" s="0" t="inlineStr">
        <is>
          <t>in_stock</t>
        </is>
      </c>
      <c r="U669" s="0" t="n">
        <v>15</v>
      </c>
      <c r="V669" s="52" t="n">
        <v>1214.99</v>
      </c>
      <c r="W669" s="0" t="inlineStr">
        <is>
          <t>2026-09-20</t>
        </is>
      </c>
      <c r="X669" s="0" t="inlineStr">
        <is>
          <t>N/A</t>
        </is>
      </c>
      <c r="Y669" s="0" t="inlineStr">
        <is>
          <t>N/A</t>
        </is>
      </c>
      <c r="Z669" s="0" t="inlineStr">
        <is>
          <t>N/A</t>
        </is>
      </c>
      <c r="AA669" s="0" t="inlineStr">
        <is>
          <t>N/A</t>
        </is>
      </c>
    </row>
    <row r="670" ht="15.75" customHeight="1" s="51">
      <c r="A670" s="43" t="inlineStr">
        <is>
          <t>PAE-066-08</t>
        </is>
      </c>
      <c r="B670" s="43" t="inlineStr">
        <is>
          <t>Paean</t>
        </is>
      </c>
      <c r="C670" s="43" t="inlineStr">
        <is>
          <t>Smartphones &amp; Tablets</t>
        </is>
      </c>
      <c r="D670" s="43" t="inlineStr">
        <is>
          <t>Tablet</t>
        </is>
      </c>
      <c r="E670" s="44" t="inlineStr">
        <is>
          <t>Paean Pulse Max Drawing Tablet with Stylus</t>
        </is>
      </c>
      <c r="F670" s="45" t="n">
        <v>1172.99</v>
      </c>
      <c r="G670" s="43" t="inlineStr">
        <is>
          <t>the Pulse Max; Paean Pulse Max; Paea Pulse Max; Pulse Max tablet</t>
        </is>
      </c>
      <c r="H670" s="43" t="inlineStr">
        <is>
          <t>2 year limited</t>
        </is>
      </c>
      <c r="I670" s="43" t="inlineStr">
        <is>
          <t>FCC, CE, TUV Rheinland Low Blue Light, Energy Star</t>
        </is>
      </c>
      <c r="J670" s="43" t="inlineStr">
        <is>
          <t>MediaTek Dimensity 9400</t>
        </is>
      </c>
      <c r="K670" s="43" t="inlineStr">
        <is>
          <t>Arm Immortalis-G925</t>
        </is>
      </c>
      <c r="L670" s="43" t="inlineStr">
        <is>
          <t>OLED, 120Hz, pen digitizer</t>
        </is>
      </c>
      <c r="M670" s="43" t="inlineStr">
        <is>
          <t>2560x1600</t>
        </is>
      </c>
      <c r="N670" s="43" t="inlineStr">
        <is>
          <t>USB-C (USB 3.2), magnetic keyboard connector</t>
        </is>
      </c>
      <c r="O670" s="43" t="inlineStr">
        <is>
          <t>Android 15</t>
        </is>
      </c>
      <c r="P670" s="43" t="n">
        <v>9</v>
      </c>
      <c r="Q670" s="46" t="n">
        <v>559</v>
      </c>
      <c r="R670" s="43" t="inlineStr">
        <is>
          <t>Lighter than Mnemosyne Vertex Lite Drawing Tablet with Stylus [MNE-061-06] (559 g vs 639 g); Lower price than Plutus Pulse SE Drawing Tablet with Stylus [PLU-100-09] ($1,172.99 vs $1,211.99)</t>
        </is>
      </c>
      <c r="S670" s="43" t="inlineStr">
        <is>
          <t>drawing, design, note-taking</t>
        </is>
      </c>
      <c r="T670" s="0" t="inlineStr">
        <is>
          <t>in_stock</t>
        </is>
      </c>
      <c r="U670" s="0" t="n">
        <v>15</v>
      </c>
      <c r="V670" s="52" t="n">
        <v>1238.99</v>
      </c>
      <c r="W670" s="0" t="inlineStr">
        <is>
          <t>2026-09-22</t>
        </is>
      </c>
      <c r="X670" s="0" t="inlineStr">
        <is>
          <t>N/A</t>
        </is>
      </c>
      <c r="Y670" s="0" t="inlineStr">
        <is>
          <t>N/A</t>
        </is>
      </c>
      <c r="Z670" s="0" t="inlineStr">
        <is>
          <t>N/A</t>
        </is>
      </c>
      <c r="AA670" s="0" t="inlineStr">
        <is>
          <t>N/A</t>
        </is>
      </c>
    </row>
    <row r="671" ht="15.75" customHeight="1" s="51">
      <c r="A671" s="43" t="inlineStr">
        <is>
          <t>PAE-066-09</t>
        </is>
      </c>
      <c r="B671" s="43" t="inlineStr">
        <is>
          <t>Paean</t>
        </is>
      </c>
      <c r="C671" s="43" t="inlineStr">
        <is>
          <t>Smartphones &amp; Tablets</t>
        </is>
      </c>
      <c r="D671" s="43" t="inlineStr">
        <is>
          <t>Smartphone</t>
        </is>
      </c>
      <c r="E671" s="44" t="inlineStr">
        <is>
          <t>Paean Vibe SE Flagship Smartphone</t>
        </is>
      </c>
      <c r="F671" s="45" t="n">
        <v>1191.99</v>
      </c>
      <c r="G671" s="43" t="inlineStr">
        <is>
          <t>the Vibe SE; Paean Vibe SE; Paea Vibe SE; Vibe SE smartphone</t>
        </is>
      </c>
      <c r="H671" s="43" t="inlineStr">
        <is>
          <t>2 year limited</t>
        </is>
      </c>
      <c r="I671" s="43" t="inlineStr">
        <is>
          <t>FCC, CE, IP68, Qi2</t>
        </is>
      </c>
      <c r="J671" s="43" t="inlineStr">
        <is>
          <t>MediaTek Dimensity 9400</t>
        </is>
      </c>
      <c r="K671" s="43" t="inlineStr">
        <is>
          <t>Arm Immortalis-G925</t>
        </is>
      </c>
      <c r="L671" s="43" t="inlineStr">
        <is>
          <t>LTPO AMOLED, 1-120Hz</t>
        </is>
      </c>
      <c r="M671" s="43" t="inlineStr">
        <is>
          <t>1440x3120</t>
        </is>
      </c>
      <c r="N671" s="43" t="inlineStr">
        <is>
          <t>USB-C (USB 3.2), nano-SIM + eSIM</t>
        </is>
      </c>
      <c r="O671" s="43" t="inlineStr">
        <is>
          <t>Android 15</t>
        </is>
      </c>
      <c r="P671" s="43" t="n">
        <v>27</v>
      </c>
      <c r="Q671" s="46" t="n">
        <v>180</v>
      </c>
      <c r="R671" s="43" t="inlineStr">
        <is>
          <t>Longer battery than Aglaea Vertex SE Flagship Smartphone [AGL-079-09] (27 vs 22 hrs); Lower price than Plutus Axis Plus Flagship Smartphone [PLU-100-08] ($1,191.99 vs $1,198.99)</t>
        </is>
      </c>
      <c r="S671" s="43" t="inlineStr">
        <is>
          <t>photography, everyday, business</t>
        </is>
      </c>
      <c r="T671" s="0" t="inlineStr">
        <is>
          <t>low_stock</t>
        </is>
      </c>
      <c r="U671" s="0" t="n">
        <v>15</v>
      </c>
      <c r="V671" s="52" t="n">
        <v>1321.99</v>
      </c>
      <c r="W671" s="0" t="inlineStr">
        <is>
          <t>2026-08-26</t>
        </is>
      </c>
      <c r="X671" s="0" t="inlineStr">
        <is>
          <t>N/A</t>
        </is>
      </c>
      <c r="Y671" s="0" t="inlineStr">
        <is>
          <t>N/A</t>
        </is>
      </c>
      <c r="Z671" s="0" t="inlineStr">
        <is>
          <t>N/A</t>
        </is>
      </c>
      <c r="AA671" s="0" t="inlineStr">
        <is>
          <t>N/A</t>
        </is>
      </c>
    </row>
    <row r="672" ht="15.75" customHeight="1" s="51">
      <c r="A672" s="43" t="inlineStr">
        <is>
          <t>PAE-066-10</t>
        </is>
      </c>
      <c r="B672" s="43" t="inlineStr">
        <is>
          <t>Paean</t>
        </is>
      </c>
      <c r="C672" s="43" t="inlineStr">
        <is>
          <t>Smartphones &amp; Tablets</t>
        </is>
      </c>
      <c r="D672" s="43" t="inlineStr">
        <is>
          <t>Smartphone</t>
        </is>
      </c>
      <c r="E672" s="44" t="inlineStr">
        <is>
          <t>Paean Vertex Lite Pro Max Smartphone</t>
        </is>
      </c>
      <c r="F672" s="45" t="n">
        <v>1244.99</v>
      </c>
      <c r="G672" s="43" t="inlineStr">
        <is>
          <t>the Vertex Lite; Paean Vertex Lite; Pean Vertex Lite; Vertex Lite smartphone</t>
        </is>
      </c>
      <c r="H672" s="43" t="inlineStr">
        <is>
          <t>1 year limited</t>
        </is>
      </c>
      <c r="I672" s="43" t="inlineStr">
        <is>
          <t>FCC, CE, IP68, Qi2</t>
        </is>
      </c>
      <c r="J672" s="43" t="inlineStr">
        <is>
          <t>MediaTek Dimensity 9400</t>
        </is>
      </c>
      <c r="K672" s="43" t="inlineStr">
        <is>
          <t>Arm Immortalis-G925</t>
        </is>
      </c>
      <c r="L672" s="43" t="inlineStr">
        <is>
          <t>LTPO AMOLED, 1-120Hz</t>
        </is>
      </c>
      <c r="M672" s="43" t="inlineStr">
        <is>
          <t>1440x3120</t>
        </is>
      </c>
      <c r="N672" s="43" t="inlineStr">
        <is>
          <t>USB-C (USB 3.2), nano-SIM + eSIM</t>
        </is>
      </c>
      <c r="O672" s="43" t="inlineStr">
        <is>
          <t>Android 15</t>
        </is>
      </c>
      <c r="P672" s="43" t="n">
        <v>35</v>
      </c>
      <c r="Q672" s="46" t="n">
        <v>225</v>
      </c>
      <c r="R672" s="43" t="inlineStr">
        <is>
          <t>Longer battery than Aether Pulse Pro Max Smartphone [AET-080-08] (35 vs 31 hrs); Lighter than Erato Core Plus Pro Max Smartphone [ERA-085-09] (225 g vs 232 g)</t>
        </is>
      </c>
      <c r="S672" s="43" t="inlineStr">
        <is>
          <t>photography, video, mobile gaming</t>
        </is>
      </c>
      <c r="T672" s="0" t="inlineStr">
        <is>
          <t>low_stock</t>
        </is>
      </c>
      <c r="U672" s="0" t="n">
        <v>15</v>
      </c>
      <c r="V672" s="52" t="n">
        <v>1332.99</v>
      </c>
      <c r="W672" s="0" t="inlineStr">
        <is>
          <t>2026-09-03</t>
        </is>
      </c>
      <c r="X672" s="0" t="inlineStr">
        <is>
          <t>N/A</t>
        </is>
      </c>
      <c r="Y672" s="0" t="inlineStr">
        <is>
          <t>N/A</t>
        </is>
      </c>
      <c r="Z672" s="0" t="inlineStr">
        <is>
          <t>N/A</t>
        </is>
      </c>
      <c r="AA672" s="0" t="inlineStr">
        <is>
          <t>N/A</t>
        </is>
      </c>
    </row>
    <row r="673" ht="15.75" customHeight="1" s="51">
      <c r="A673" s="43" t="inlineStr">
        <is>
          <t>CLY-067-01</t>
        </is>
      </c>
      <c r="B673" s="43" t="inlineStr">
        <is>
          <t>Clymene</t>
        </is>
      </c>
      <c r="C673" s="43" t="inlineStr">
        <is>
          <t>Smartphones &amp; Tablets</t>
        </is>
      </c>
      <c r="D673" s="43" t="inlineStr">
        <is>
          <t>Tablet</t>
        </is>
      </c>
      <c r="E673" s="44" t="inlineStr">
        <is>
          <t>Clymene Halo Kids Tablet</t>
        </is>
      </c>
      <c r="F673" s="45" t="n">
        <v>113.99</v>
      </c>
      <c r="G673" s="43" t="inlineStr">
        <is>
          <t>the Halo; Clymene Halo; Clymeene Halo; Halo tablet</t>
        </is>
      </c>
      <c r="H673" s="43" t="inlineStr">
        <is>
          <t>1 year limited</t>
        </is>
      </c>
      <c r="I673" s="43" t="inlineStr">
        <is>
          <t>FCC, CE, TUV Rheinland Low Blue Light, EN 71 Toy Safety</t>
        </is>
      </c>
      <c r="J673" s="43" t="inlineStr">
        <is>
          <t>MediaTek Helio G88</t>
        </is>
      </c>
      <c r="K673" s="43" t="inlineStr">
        <is>
          <t>Arm Mali-G52 MC2</t>
        </is>
      </c>
      <c r="L673" s="43" t="inlineStr">
        <is>
          <t>IPS LCD, 60Hz</t>
        </is>
      </c>
      <c r="M673" s="43" t="inlineStr">
        <is>
          <t>800x1280</t>
        </is>
      </c>
      <c r="N673" s="43" t="inlineStr">
        <is>
          <t>USB-C (USB 2.0), microSD slot</t>
        </is>
      </c>
      <c r="O673" s="43" t="inlineStr">
        <is>
          <t>Android 14 with parental controls</t>
        </is>
      </c>
      <c r="P673" s="43" t="n">
        <v>10</v>
      </c>
      <c r="Q673" s="46" t="n">
        <v>431</v>
      </c>
      <c r="R673" s="43" t="inlineStr">
        <is>
          <t>Lighter than Oceanus Aria Air Kids Tablet [OCE-060-01] (431 g vs 440 g); Lower price than Lethe Echo Max Kids Tablet [LET-086-01] ($113.99 vs $195.99)</t>
        </is>
      </c>
      <c r="S673" s="43" t="inlineStr">
        <is>
          <t>kids, learning, games</t>
        </is>
      </c>
      <c r="T673" s="0" t="inlineStr">
        <is>
          <t>in_stock</t>
        </is>
      </c>
      <c r="U673" s="0" t="n">
        <v>15</v>
      </c>
      <c r="V673" s="52" t="n">
        <v>129.99</v>
      </c>
      <c r="W673" s="0" t="inlineStr">
        <is>
          <t>2026-09-24</t>
        </is>
      </c>
      <c r="X673" s="0" t="inlineStr">
        <is>
          <t>N/A</t>
        </is>
      </c>
      <c r="Y673" s="0" t="inlineStr">
        <is>
          <t>N/A</t>
        </is>
      </c>
      <c r="Z673" s="0" t="inlineStr">
        <is>
          <t>N/A</t>
        </is>
      </c>
      <c r="AA673" s="0" t="inlineStr">
        <is>
          <t>N/A</t>
        </is>
      </c>
    </row>
    <row r="674" ht="15.75" customHeight="1" s="51">
      <c r="A674" s="43" t="inlineStr">
        <is>
          <t>CLY-067-02</t>
        </is>
      </c>
      <c r="B674" s="43" t="inlineStr">
        <is>
          <t>Clymene</t>
        </is>
      </c>
      <c r="C674" s="43" t="inlineStr">
        <is>
          <t>Smartphones &amp; Tablets</t>
        </is>
      </c>
      <c r="D674" s="43" t="inlineStr">
        <is>
          <t>Tablet</t>
        </is>
      </c>
      <c r="E674" s="44" t="inlineStr">
        <is>
          <t>Clymene Crest E-Ink Note Tablet</t>
        </is>
      </c>
      <c r="F674" s="45" t="n">
        <v>299.99</v>
      </c>
      <c r="G674" s="43" t="inlineStr">
        <is>
          <t>the Crest; Clymene Crest; Clymenee Crest; Crest tablet</t>
        </is>
      </c>
      <c r="H674" s="43" t="inlineStr">
        <is>
          <t>1 year limited</t>
        </is>
      </c>
      <c r="I674" s="43" t="inlineStr">
        <is>
          <t>FCC, CE, TUV Rheinland Low Blue Light</t>
        </is>
      </c>
      <c r="J674" s="43" t="inlineStr">
        <is>
          <t>Rockchip RK3566</t>
        </is>
      </c>
      <c r="K674" s="43" t="inlineStr">
        <is>
          <t>Arm Mali-G52 2EE</t>
        </is>
      </c>
      <c r="L674" s="43" t="inlineStr">
        <is>
          <t>E Ink Carta 1300, front-lit</t>
        </is>
      </c>
      <c r="M674" s="43" t="inlineStr">
        <is>
          <t>1404x1872</t>
        </is>
      </c>
      <c r="N674" s="43" t="inlineStr">
        <is>
          <t>USB-C (USB 2.0), microSD slot</t>
        </is>
      </c>
      <c r="O674" s="43" t="inlineStr">
        <is>
          <t>Android 13 (E Ink optimized)</t>
        </is>
      </c>
      <c r="P674" s="43" t="n">
        <v>299</v>
      </c>
      <c r="Q674" s="46" t="n">
        <v>390</v>
      </c>
      <c r="R674" s="43" t="inlineStr">
        <is>
          <t>Lower price than Helios Aria Plus E-Ink Note Tablet [HEL-073-03] ($299.99 vs $377.99); Lighter than Athena Vertex Air E-Ink Note Tablet [ATH-064-04] (390 g vs 409 g)</t>
        </is>
      </c>
      <c r="S674" s="43" t="inlineStr">
        <is>
          <t>reading, note-taking, school</t>
        </is>
      </c>
      <c r="T674" s="0" t="inlineStr">
        <is>
          <t>in_stock</t>
        </is>
      </c>
      <c r="U674" s="0" t="n">
        <v>15</v>
      </c>
      <c r="V674" s="52" t="n">
        <v>310.99</v>
      </c>
      <c r="W674" s="0" t="inlineStr">
        <is>
          <t>2026-08-07</t>
        </is>
      </c>
      <c r="X674" s="0" t="inlineStr">
        <is>
          <t>N/A</t>
        </is>
      </c>
      <c r="Y674" s="0" t="inlineStr">
        <is>
          <t>N/A</t>
        </is>
      </c>
      <c r="Z674" s="0" t="inlineStr">
        <is>
          <t>N/A</t>
        </is>
      </c>
      <c r="AA674" s="0" t="inlineStr">
        <is>
          <t>N/A</t>
        </is>
      </c>
    </row>
    <row r="675" ht="15.75" customHeight="1" s="51">
      <c r="A675" s="43" t="inlineStr">
        <is>
          <t>CLY-067-03</t>
        </is>
      </c>
      <c r="B675" s="43" t="inlineStr">
        <is>
          <t>Clymene</t>
        </is>
      </c>
      <c r="C675" s="43" t="inlineStr">
        <is>
          <t>Smartphones &amp; Tablets</t>
        </is>
      </c>
      <c r="D675" s="43" t="inlineStr">
        <is>
          <t>Smartphone</t>
        </is>
      </c>
      <c r="E675" s="44" t="inlineStr">
        <is>
          <t>Clymene Halo Rugged Smartphone</t>
        </is>
      </c>
      <c r="F675" s="45" t="n">
        <v>421.99</v>
      </c>
      <c r="G675" s="43" t="inlineStr">
        <is>
          <t>the Halo; Clymene Halo; Clymmene Halo; Halo smartphone</t>
        </is>
      </c>
      <c r="H675" s="43" t="inlineStr">
        <is>
          <t>2 year limited</t>
        </is>
      </c>
      <c r="I675" s="43" t="inlineStr">
        <is>
          <t>FCC, CE, IP69K, MIL-STD-810H</t>
        </is>
      </c>
      <c r="J675" s="43" t="inlineStr">
        <is>
          <t>MediaTek Dimensity 7300</t>
        </is>
      </c>
      <c r="K675" s="43" t="inlineStr">
        <is>
          <t>Arm Mali-G615 MC2</t>
        </is>
      </c>
      <c r="L675" s="43" t="inlineStr">
        <is>
          <t>IPS LCD, Gorilla Glass Victus, 120Hz</t>
        </is>
      </c>
      <c r="M675" s="43" t="inlineStr">
        <is>
          <t>1080x2400</t>
        </is>
      </c>
      <c r="N675" s="43" t="inlineStr">
        <is>
          <t>USB-C (USB 2.0), nano-SIM + eSIM, 3.5mm headphone jack, microSD slot</t>
        </is>
      </c>
      <c r="O675" s="43" t="inlineStr">
        <is>
          <t>Android 15</t>
        </is>
      </c>
      <c r="P675" s="43" t="n">
        <v>42</v>
      </c>
      <c r="Q675" s="46" t="n">
        <v>277</v>
      </c>
      <c r="R675" s="43" t="inlineStr">
        <is>
          <t>Lower price than Eupheme Pulse Pro Rugged Smartphone [EUP-084-07] ($421.99 vs $587.99); Longer battery than Elpis Nova Max Rugged Smartphone [ELP-074-05] (42 vs 37 hrs)</t>
        </is>
      </c>
      <c r="S675" s="43" t="inlineStr">
        <is>
          <t>outdoor, construction, fieldwork</t>
        </is>
      </c>
      <c r="T675" s="0" t="inlineStr">
        <is>
          <t>in_stock</t>
        </is>
      </c>
      <c r="U675" s="0" t="n">
        <v>15</v>
      </c>
      <c r="V675" s="52" t="n">
        <v>474.99</v>
      </c>
      <c r="W675" s="0" t="inlineStr">
        <is>
          <t>2026-08-13</t>
        </is>
      </c>
      <c r="X675" s="0" t="inlineStr">
        <is>
          <t>N/A</t>
        </is>
      </c>
      <c r="Y675" s="0" t="inlineStr">
        <is>
          <t>N/A</t>
        </is>
      </c>
      <c r="Z675" s="0" t="inlineStr">
        <is>
          <t>N/A</t>
        </is>
      </c>
      <c r="AA675" s="0" t="inlineStr">
        <is>
          <t>N/A</t>
        </is>
      </c>
    </row>
    <row r="676" ht="15.75" customHeight="1" s="51">
      <c r="A676" s="43" t="inlineStr">
        <is>
          <t>CLY-067-04</t>
        </is>
      </c>
      <c r="B676" s="43" t="inlineStr">
        <is>
          <t>Clymene</t>
        </is>
      </c>
      <c r="C676" s="43" t="inlineStr">
        <is>
          <t>Smartphones &amp; Tablets</t>
        </is>
      </c>
      <c r="D676" s="43" t="inlineStr">
        <is>
          <t>Tablet</t>
        </is>
      </c>
      <c r="E676" s="44" t="inlineStr">
        <is>
          <t>Clymene Crest 8" Mini Tablet</t>
        </is>
      </c>
      <c r="F676" s="45" t="n">
        <v>426.99</v>
      </c>
      <c r="G676" s="43" t="inlineStr">
        <is>
          <t>the Crest; Clymene Crest; Clymen Crest; Crest tablet</t>
        </is>
      </c>
      <c r="H676" s="43" t="inlineStr">
        <is>
          <t>1 year limited</t>
        </is>
      </c>
      <c r="I676" s="43" t="inlineStr">
        <is>
          <t>FCC, CE, TUV Rheinland Low Blue Light, Energy Star</t>
        </is>
      </c>
      <c r="J676" s="43" t="inlineStr">
        <is>
          <t>MediaTek Dimensity 7300</t>
        </is>
      </c>
      <c r="K676" s="43" t="inlineStr">
        <is>
          <t>Arm Mali-G615 MC2</t>
        </is>
      </c>
      <c r="L676" s="43" t="inlineStr">
        <is>
          <t>OLED, 120Hz</t>
        </is>
      </c>
      <c r="M676" s="43" t="inlineStr">
        <is>
          <t>1600x2560</t>
        </is>
      </c>
      <c r="N676" s="43" t="inlineStr">
        <is>
          <t>USB-C (USB 2.0), microSD slot</t>
        </is>
      </c>
      <c r="O676" s="43" t="inlineStr">
        <is>
          <t>Android 15</t>
        </is>
      </c>
      <c r="P676" s="43" t="n">
        <v>12</v>
      </c>
      <c r="Q676" s="46" t="n">
        <v>291</v>
      </c>
      <c r="R676" s="43" t="inlineStr">
        <is>
          <t>Lower price than Plutus Titan Ultra 8" Mini Tablet [PLU-100-03] ($426.99 vs $443.99); Longer battery than Lethe Axis Max 8" Mini Tablet [LET-086-02] (12 vs 9 hrs)</t>
        </is>
      </c>
      <c r="S676" s="43" t="inlineStr">
        <is>
          <t>reading, travel, gaming</t>
        </is>
      </c>
      <c r="T676" s="0" t="inlineStr">
        <is>
          <t>in_stock</t>
        </is>
      </c>
      <c r="U676" s="0" t="n">
        <v>15</v>
      </c>
      <c r="V676" s="52" t="n">
        <v>455.99</v>
      </c>
      <c r="W676" s="0" t="inlineStr">
        <is>
          <t>2026-09-24</t>
        </is>
      </c>
      <c r="X676" s="0" t="inlineStr">
        <is>
          <t>N/A</t>
        </is>
      </c>
      <c r="Y676" s="0" t="inlineStr">
        <is>
          <t>N/A</t>
        </is>
      </c>
      <c r="Z676" s="0" t="inlineStr">
        <is>
          <t>N/A</t>
        </is>
      </c>
      <c r="AA676" s="0" t="inlineStr">
        <is>
          <t>N/A</t>
        </is>
      </c>
    </row>
    <row r="677" ht="15.75" customHeight="1" s="51">
      <c r="A677" s="43" t="inlineStr">
        <is>
          <t>CLY-067-05</t>
        </is>
      </c>
      <c r="B677" s="43" t="inlineStr">
        <is>
          <t>Clymene</t>
        </is>
      </c>
      <c r="C677" s="43" t="inlineStr">
        <is>
          <t>Smartphones &amp; Tablets</t>
        </is>
      </c>
      <c r="D677" s="43" t="inlineStr">
        <is>
          <t>Tablet</t>
        </is>
      </c>
      <c r="E677" s="44" t="inlineStr">
        <is>
          <t>Clymene Sable SE Drawing Tablet with Stylus</t>
        </is>
      </c>
      <c r="F677" s="45" t="n">
        <v>430.99</v>
      </c>
      <c r="G677" s="43" t="inlineStr">
        <is>
          <t>the Sable SE; Clymene Sable SE; Clymen Sable SE; Sable SE tablet</t>
        </is>
      </c>
      <c r="H677" s="43" t="inlineStr">
        <is>
          <t>1 year limited</t>
        </is>
      </c>
      <c r="I677" s="43" t="inlineStr">
        <is>
          <t>FCC, CE, TUV Rheinland Low Blue Light</t>
        </is>
      </c>
      <c r="J677" s="43" t="inlineStr">
        <is>
          <t>MediaTek Dimensity 7300</t>
        </is>
      </c>
      <c r="K677" s="43" t="inlineStr">
        <is>
          <t>Arm Mali-G615 MC2</t>
        </is>
      </c>
      <c r="L677" s="43" t="inlineStr">
        <is>
          <t>IPS LCD anti-glare, pen digitizer</t>
        </is>
      </c>
      <c r="M677" s="43" t="inlineStr">
        <is>
          <t>2000x1200</t>
        </is>
      </c>
      <c r="N677" s="43" t="inlineStr">
        <is>
          <t>USB-C (USB 2.0), microSD slot</t>
        </is>
      </c>
      <c r="O677" s="43" t="inlineStr">
        <is>
          <t>Android 15</t>
        </is>
      </c>
      <c r="P677" s="43" t="n">
        <v>9</v>
      </c>
      <c r="Q677" s="46" t="n">
        <v>628</v>
      </c>
      <c r="R677" s="43" t="inlineStr">
        <is>
          <t>Lower price than Erato Blaze Pro Drawing Tablet with Stylus [ERA-085-02] ($430.99 vs $502.99); Lighter than Mnemosyne Vertex Lite Drawing Tablet with Stylus [MNE-061-06] (628 g vs 639 g)</t>
        </is>
      </c>
      <c r="S677" s="43" t="inlineStr">
        <is>
          <t>drawing, design, note-taking</t>
        </is>
      </c>
      <c r="T677" s="0" t="inlineStr">
        <is>
          <t>in_stock</t>
        </is>
      </c>
      <c r="U677" s="0" t="n">
        <v>15</v>
      </c>
      <c r="V677" s="52" t="n">
        <v>468.99</v>
      </c>
      <c r="W677" s="0" t="inlineStr">
        <is>
          <t>2026-09-02</t>
        </is>
      </c>
      <c r="X677" s="0" t="inlineStr">
        <is>
          <t>N/A</t>
        </is>
      </c>
      <c r="Y677" s="0" t="inlineStr">
        <is>
          <t>N/A</t>
        </is>
      </c>
      <c r="Z677" s="0" t="inlineStr">
        <is>
          <t>N/A</t>
        </is>
      </c>
      <c r="AA677" s="0" t="inlineStr">
        <is>
          <t>N/A</t>
        </is>
      </c>
    </row>
    <row r="678" ht="15.75" customHeight="1" s="51">
      <c r="A678" s="43" t="inlineStr">
        <is>
          <t>CLY-067-06</t>
        </is>
      </c>
      <c r="B678" s="43" t="inlineStr">
        <is>
          <t>Clymene</t>
        </is>
      </c>
      <c r="C678" s="43" t="inlineStr">
        <is>
          <t>Smartphones &amp; Tablets</t>
        </is>
      </c>
      <c r="D678" s="43" t="inlineStr">
        <is>
          <t>Tablet</t>
        </is>
      </c>
      <c r="E678" s="44" t="inlineStr">
        <is>
          <t>Clymene Volt Lite 11" Tablet</t>
        </is>
      </c>
      <c r="F678" s="45" t="n">
        <v>563.99</v>
      </c>
      <c r="G678" s="43" t="inlineStr">
        <is>
          <t>the Volt Lite; Clymene Volt Lite; Clymeene Volt Lite; Volt Lite tablet</t>
        </is>
      </c>
      <c r="H678" s="43" t="inlineStr">
        <is>
          <t>1 year limited</t>
        </is>
      </c>
      <c r="I678" s="43" t="inlineStr">
        <is>
          <t>FCC, CE</t>
        </is>
      </c>
      <c r="J678" s="43" t="inlineStr">
        <is>
          <t>Qualcomm Snapdragon 7+ Gen 3</t>
        </is>
      </c>
      <c r="K678" s="43" t="inlineStr">
        <is>
          <t>Qualcomm Adreno 732</t>
        </is>
      </c>
      <c r="L678" s="43" t="inlineStr">
        <is>
          <t>IPS LCD, 90Hz</t>
        </is>
      </c>
      <c r="M678" s="43" t="inlineStr">
        <is>
          <t>1600x2560</t>
        </is>
      </c>
      <c r="N678" s="43" t="inlineStr">
        <is>
          <t>USB-C (USB 2.0), microSD slot</t>
        </is>
      </c>
      <c r="O678" s="43" t="inlineStr">
        <is>
          <t>Android 15</t>
        </is>
      </c>
      <c r="P678" s="43" t="n">
        <v>13</v>
      </c>
      <c r="Q678" s="46" t="n">
        <v>490</v>
      </c>
      <c r="R678" s="43" t="inlineStr">
        <is>
          <t>Lower price than Amphitrite Sable Max 11" Tablet [AMP-065-03] ($563.99 vs $672.99); Lighter than Aglaea Aeon X 11" Tablet [AGL-079-02] (490 g vs 496 g)</t>
        </is>
      </c>
      <c r="S678" s="43" t="inlineStr">
        <is>
          <t>school, streaming, reading</t>
        </is>
      </c>
      <c r="T678" s="0" t="inlineStr">
        <is>
          <t>in_stock</t>
        </is>
      </c>
      <c r="U678" s="0" t="n">
        <v>15</v>
      </c>
      <c r="V678" s="52" t="n">
        <v>590.99</v>
      </c>
      <c r="W678" s="0" t="inlineStr">
        <is>
          <t>2026-08-02</t>
        </is>
      </c>
      <c r="X678" s="0" t="inlineStr">
        <is>
          <t>N/A</t>
        </is>
      </c>
      <c r="Y678" s="0" t="inlineStr">
        <is>
          <t>N/A</t>
        </is>
      </c>
      <c r="Z678" s="0" t="inlineStr">
        <is>
          <t>N/A</t>
        </is>
      </c>
      <c r="AA678" s="0" t="inlineStr">
        <is>
          <t>N/A</t>
        </is>
      </c>
    </row>
    <row r="679" ht="15.75" customHeight="1" s="51">
      <c r="A679" s="43" t="inlineStr">
        <is>
          <t>CLY-067-07</t>
        </is>
      </c>
      <c r="B679" s="43" t="inlineStr">
        <is>
          <t>Clymene</t>
        </is>
      </c>
      <c r="C679" s="43" t="inlineStr">
        <is>
          <t>Smartphones &amp; Tablets</t>
        </is>
      </c>
      <c r="D679" s="43" t="inlineStr">
        <is>
          <t>Tablet</t>
        </is>
      </c>
      <c r="E679" s="44" t="inlineStr">
        <is>
          <t>Clymene Blaze 5G Tablet</t>
        </is>
      </c>
      <c r="F679" s="45" t="n">
        <v>748.99</v>
      </c>
      <c r="G679" s="43" t="inlineStr">
        <is>
          <t>the Blaze; Clymene Blaze; Cllymene Blaze; Blaze tablet</t>
        </is>
      </c>
      <c r="H679" s="43" t="inlineStr">
        <is>
          <t>1 year limited</t>
        </is>
      </c>
      <c r="I679" s="43" t="inlineStr">
        <is>
          <t>FCC, CE</t>
        </is>
      </c>
      <c r="J679" s="43" t="inlineStr">
        <is>
          <t>MediaTek Dimensity 8300</t>
        </is>
      </c>
      <c r="K679" s="43" t="inlineStr">
        <is>
          <t>Arm Mali-G615 MC6</t>
        </is>
      </c>
      <c r="L679" s="43" t="inlineStr">
        <is>
          <t>IPS LCD, 90Hz</t>
        </is>
      </c>
      <c r="M679" s="43" t="inlineStr">
        <is>
          <t>1600x2560</t>
        </is>
      </c>
      <c r="N679" s="43" t="inlineStr">
        <is>
          <t>USB-C (USB 3.2), microSD slot, nano-SIM + eSIM</t>
        </is>
      </c>
      <c r="O679" s="43" t="inlineStr">
        <is>
          <t>Android 15</t>
        </is>
      </c>
      <c r="P679" s="43" t="n">
        <v>13</v>
      </c>
      <c r="Q679" s="46" t="n">
        <v>522</v>
      </c>
      <c r="R679" s="43" t="inlineStr">
        <is>
          <t>Lighter than Triton Nimbus X 5G Tablet [TRI-092-06] (522 g vs 535 g); Longer battery than Anteros Blaze X 5G Tablet [ANT-090-08] (13 vs 10 hrs)</t>
        </is>
      </c>
      <c r="S679" s="43" t="inlineStr">
        <is>
          <t>travel, streaming, work on the go</t>
        </is>
      </c>
      <c r="T679" s="0" t="inlineStr">
        <is>
          <t>in_stock</t>
        </is>
      </c>
      <c r="U679" s="0" t="n">
        <v>15</v>
      </c>
      <c r="V679" s="52" t="n">
        <v>810.99</v>
      </c>
      <c r="W679" s="0" t="inlineStr">
        <is>
          <t>2026-08-24</t>
        </is>
      </c>
      <c r="X679" s="0" t="inlineStr">
        <is>
          <t>N/A</t>
        </is>
      </c>
      <c r="Y679" s="0" t="inlineStr">
        <is>
          <t>N/A</t>
        </is>
      </c>
      <c r="Z679" s="0" t="inlineStr">
        <is>
          <t>N/A</t>
        </is>
      </c>
      <c r="AA679" s="0" t="inlineStr">
        <is>
          <t>N/A</t>
        </is>
      </c>
    </row>
    <row r="680" ht="15.75" customHeight="1" s="51">
      <c r="A680" s="43" t="inlineStr">
        <is>
          <t>CLY-067-08</t>
        </is>
      </c>
      <c r="B680" s="43" t="inlineStr">
        <is>
          <t>Clymene</t>
        </is>
      </c>
      <c r="C680" s="43" t="inlineStr">
        <is>
          <t>Smartphones &amp; Tablets</t>
        </is>
      </c>
      <c r="D680" s="43" t="inlineStr">
        <is>
          <t>Smartphone</t>
        </is>
      </c>
      <c r="E680" s="44" t="inlineStr">
        <is>
          <t>Clymene Halo Flip Foldable Phone</t>
        </is>
      </c>
      <c r="F680" s="45" t="n">
        <v>1074.99</v>
      </c>
      <c r="G680" s="43" t="inlineStr">
        <is>
          <t>the Halo; Clymene Halo; Clymnee Halo; Halo smartphone</t>
        </is>
      </c>
      <c r="H680" s="43" t="inlineStr">
        <is>
          <t>1 year limited</t>
        </is>
      </c>
      <c r="I680" s="43" t="inlineStr">
        <is>
          <t>FCC, CE, IPX8</t>
        </is>
      </c>
      <c r="J680" s="43" t="inlineStr">
        <is>
          <t>MediaTek Dimensity 9400</t>
        </is>
      </c>
      <c r="K680" s="43" t="inlineStr">
        <is>
          <t>Arm Immortalis-G925</t>
        </is>
      </c>
      <c r="L680" s="43" t="inlineStr">
        <is>
          <t>Foldable AMOLED inner + AMOLED cover screen</t>
        </is>
      </c>
      <c r="M680" s="43" t="inlineStr">
        <is>
          <t>1080x2640 inner / 720x748 cover</t>
        </is>
      </c>
      <c r="N680" s="43" t="inlineStr">
        <is>
          <t>USB-C (USB 3.2), nano-SIM + eSIM</t>
        </is>
      </c>
      <c r="O680" s="43" t="inlineStr">
        <is>
          <t>Android 15</t>
        </is>
      </c>
      <c r="P680" s="43" t="n">
        <v>18</v>
      </c>
      <c r="Q680" s="46" t="n">
        <v>186</v>
      </c>
      <c r="R680" s="43" t="inlineStr">
        <is>
          <t>Lower price than Theia Flux Lite Flip Foldable Phone [THE-081-07] ($1,074.99 vs $1,129.99); Longer battery than Lethe Titan Max Flip Foldable Phone [LET-086-06] (18 vs 17 hrs)</t>
        </is>
      </c>
      <c r="S680" s="43" t="inlineStr">
        <is>
          <t>style, everyday, compact</t>
        </is>
      </c>
      <c r="T680" s="0" t="inlineStr">
        <is>
          <t>in_stock</t>
        </is>
      </c>
      <c r="U680" s="0" t="n">
        <v>15</v>
      </c>
      <c r="V680" s="52" t="n">
        <v>1235.99</v>
      </c>
      <c r="W680" s="0" t="inlineStr">
        <is>
          <t>2026-08-06</t>
        </is>
      </c>
      <c r="X680" s="0" t="inlineStr">
        <is>
          <t>N/A</t>
        </is>
      </c>
      <c r="Y680" s="0" t="inlineStr">
        <is>
          <t>N/A</t>
        </is>
      </c>
      <c r="Z680" s="0" t="inlineStr">
        <is>
          <t>N/A</t>
        </is>
      </c>
      <c r="AA680" s="0" t="inlineStr">
        <is>
          <t>N/A</t>
        </is>
      </c>
    </row>
    <row r="681" ht="15.75" customHeight="1" s="51">
      <c r="A681" s="43" t="inlineStr">
        <is>
          <t>CLY-067-09</t>
        </is>
      </c>
      <c r="B681" s="43" t="inlineStr">
        <is>
          <t>Clymene</t>
        </is>
      </c>
      <c r="C681" s="43" t="inlineStr">
        <is>
          <t>Smartphones &amp; Tablets</t>
        </is>
      </c>
      <c r="D681" s="43" t="inlineStr">
        <is>
          <t>Smartphone</t>
        </is>
      </c>
      <c r="E681" s="44" t="inlineStr">
        <is>
          <t>Clymene Aeon Pro Pro Max Smartphone</t>
        </is>
      </c>
      <c r="F681" s="45" t="n">
        <v>1303.99</v>
      </c>
      <c r="G681" s="43" t="inlineStr">
        <is>
          <t>the Aeon Pro; Clymene Aeon Pro; Clymnee Aeon Pro; Aeon Pro smartphone</t>
        </is>
      </c>
      <c r="H681" s="43" t="inlineStr">
        <is>
          <t>1 year limited</t>
        </is>
      </c>
      <c r="I681" s="43" t="inlineStr">
        <is>
          <t>FCC, CE, IP68, Qi2</t>
        </is>
      </c>
      <c r="J681" s="43" t="inlineStr">
        <is>
          <t>Qualcomm Snapdragon 8 Elite</t>
        </is>
      </c>
      <c r="K681" s="43" t="inlineStr">
        <is>
          <t>Qualcomm Adreno 830</t>
        </is>
      </c>
      <c r="L681" s="43" t="inlineStr">
        <is>
          <t>LTPO AMOLED, 1-120Hz</t>
        </is>
      </c>
      <c r="M681" s="43" t="inlineStr">
        <is>
          <t>1440x3120</t>
        </is>
      </c>
      <c r="N681" s="43" t="inlineStr">
        <is>
          <t>USB-C (USB 3.2), nano-SIM + eSIM</t>
        </is>
      </c>
      <c r="O681" s="43" t="inlineStr">
        <is>
          <t>Android 15</t>
        </is>
      </c>
      <c r="P681" s="43" t="n">
        <v>35</v>
      </c>
      <c r="Q681" s="46" t="n">
        <v>227</v>
      </c>
      <c r="R681" s="43" t="inlineStr">
        <is>
          <t>Lighter than Athena Apex Pro Pro Max Smartphone [ATH-064-09] (227 g vs 229 g); Longer battery than Arete Zen Pro Pro Max Smartphone [ARE-054-08] (35 vs 30 hrs)</t>
        </is>
      </c>
      <c r="S681" s="43" t="inlineStr">
        <is>
          <t>photography, video, mobile gaming</t>
        </is>
      </c>
      <c r="T681" s="0" t="inlineStr">
        <is>
          <t>in_stock</t>
        </is>
      </c>
      <c r="U681" s="0" t="n">
        <v>15</v>
      </c>
      <c r="V681" s="52" t="n">
        <v>1410.99</v>
      </c>
      <c r="W681" s="0" t="inlineStr">
        <is>
          <t>2026-08-16</t>
        </is>
      </c>
      <c r="X681" s="0" t="inlineStr">
        <is>
          <t>N/A</t>
        </is>
      </c>
      <c r="Y681" s="0" t="inlineStr">
        <is>
          <t>N/A</t>
        </is>
      </c>
      <c r="Z681" s="0" t="inlineStr">
        <is>
          <t>N/A</t>
        </is>
      </c>
      <c r="AA681" s="0" t="inlineStr">
        <is>
          <t>N/A</t>
        </is>
      </c>
    </row>
    <row r="682" ht="15.75" customHeight="1" s="51">
      <c r="A682" s="43" t="inlineStr">
        <is>
          <t>CLY-067-10</t>
        </is>
      </c>
      <c r="B682" s="43" t="inlineStr">
        <is>
          <t>Clymene</t>
        </is>
      </c>
      <c r="C682" s="43" t="inlineStr">
        <is>
          <t>Smartphones &amp; Tablets</t>
        </is>
      </c>
      <c r="D682" s="43" t="inlineStr">
        <is>
          <t>Tablet</t>
        </is>
      </c>
      <c r="E682" s="44" t="inlineStr">
        <is>
          <t>Clymene Onyx 13" Pro Tablet</t>
        </is>
      </c>
      <c r="F682" s="45" t="n">
        <v>1627.99</v>
      </c>
      <c r="G682" s="43" t="inlineStr">
        <is>
          <t>the Onyx; Clymene Onyx; Clymnee Onyx; Onyx tablet</t>
        </is>
      </c>
      <c r="H682" s="43" t="inlineStr">
        <is>
          <t>1 year limited</t>
        </is>
      </c>
      <c r="I682" s="43" t="inlineStr">
        <is>
          <t>FCC, CE, Energy Star</t>
        </is>
      </c>
      <c r="J682" s="43" t="inlineStr">
        <is>
          <t>Qualcomm Snapdragon 8 Elite</t>
        </is>
      </c>
      <c r="K682" s="43" t="inlineStr">
        <is>
          <t>Qualcomm Adreno 830</t>
        </is>
      </c>
      <c r="L682" s="43" t="inlineStr">
        <is>
          <t>Mini-LED, 144Hz</t>
        </is>
      </c>
      <c r="M682" s="43" t="inlineStr">
        <is>
          <t>2960x1848</t>
        </is>
      </c>
      <c r="N682" s="43" t="inlineStr">
        <is>
          <t>USB-C (USB 3.2), magnetic keyboard connector</t>
        </is>
      </c>
      <c r="O682" s="43" t="inlineStr">
        <is>
          <t>Android 15</t>
        </is>
      </c>
      <c r="P682" s="43" t="n">
        <v>9</v>
      </c>
      <c r="Q682" s="46" t="n">
        <v>669</v>
      </c>
      <c r="R682" s="43" t="inlineStr">
        <is>
          <t>Lighter than Comus Halo X 13" Pro Tablet [COM-078-09] (669 g vs 672 g); Lower price than Eurus Prism Lite 13" Pro Tablet [EUR-088-10] ($1,627.99 vs $1,663.99)</t>
        </is>
      </c>
      <c r="S682" s="43" t="inlineStr">
        <is>
          <t>creative work, productivity, drawing</t>
        </is>
      </c>
      <c r="T682" s="0" t="inlineStr">
        <is>
          <t>in_stock</t>
        </is>
      </c>
      <c r="U682" s="0" t="n">
        <v>15</v>
      </c>
      <c r="V682" s="52" t="n">
        <v>1744.99</v>
      </c>
      <c r="W682" s="0" t="inlineStr">
        <is>
          <t>2026-09-15</t>
        </is>
      </c>
      <c r="X682" s="0" t="inlineStr">
        <is>
          <t>N/A</t>
        </is>
      </c>
      <c r="Y682" s="0" t="inlineStr">
        <is>
          <t>N/A</t>
        </is>
      </c>
      <c r="Z682" s="0" t="inlineStr">
        <is>
          <t>N/A</t>
        </is>
      </c>
      <c r="AA682" s="0" t="inlineStr">
        <is>
          <t>N/A</t>
        </is>
      </c>
    </row>
    <row r="683" ht="15.75" customHeight="1" s="51">
      <c r="A683" s="43" t="inlineStr">
        <is>
          <t>CIR-068-01</t>
        </is>
      </c>
      <c r="B683" s="43" t="inlineStr">
        <is>
          <t>Circe</t>
        </is>
      </c>
      <c r="C683" s="43" t="inlineStr">
        <is>
          <t>Smartphones &amp; Tablets</t>
        </is>
      </c>
      <c r="D683" s="43" t="inlineStr">
        <is>
          <t>Smartphone</t>
        </is>
      </c>
      <c r="E683" s="44" t="inlineStr">
        <is>
          <t>Circe Drift SE Budget Smartphone</t>
        </is>
      </c>
      <c r="F683" s="45" t="n">
        <v>217.99</v>
      </c>
      <c r="G683" s="43" t="inlineStr">
        <is>
          <t>the Drift SE; Circe Drift SE; Ciirce Drift SE; Drift SE smartphone</t>
        </is>
      </c>
      <c r="H683" s="43" t="inlineStr">
        <is>
          <t>1 year limited</t>
        </is>
      </c>
      <c r="I683" s="43" t="inlineStr">
        <is>
          <t>FCC, CE, IP54</t>
        </is>
      </c>
      <c r="J683" s="43" t="inlineStr">
        <is>
          <t>MediaTek Helio G99</t>
        </is>
      </c>
      <c r="K683" s="43" t="inlineStr">
        <is>
          <t>Arm Mali-G57 MC2</t>
        </is>
      </c>
      <c r="L683" s="43" t="inlineStr">
        <is>
          <t>IPS LCD, 90Hz</t>
        </is>
      </c>
      <c r="M683" s="43" t="inlineStr">
        <is>
          <t>720x1600</t>
        </is>
      </c>
      <c r="N683" s="43" t="inlineStr">
        <is>
          <t>USB-C (USB 2.0), nano-SIM + eSIM, 3.5mm headphone jack, microSD slot</t>
        </is>
      </c>
      <c r="O683" s="43" t="inlineStr">
        <is>
          <t>Android 14</t>
        </is>
      </c>
      <c r="P683" s="43" t="n">
        <v>23</v>
      </c>
      <c r="Q683" s="46" t="n">
        <v>182</v>
      </c>
      <c r="R683" s="43" t="inlineStr">
        <is>
          <t>Lower price than Triton Nova Air Budget Smartphone [TRI-092-01] ($217.99 vs $333.99); Lighter than Coeus Sable Pro Budget Smartphone [COE-075-01] (182 g vs 209 g)</t>
        </is>
      </c>
      <c r="S683" s="43" t="inlineStr">
        <is>
          <t>budget, first phone, everyday</t>
        </is>
      </c>
      <c r="T683" s="0" t="inlineStr">
        <is>
          <t>in_stock</t>
        </is>
      </c>
      <c r="U683" s="0" t="n">
        <v>14</v>
      </c>
      <c r="V683" s="52" t="n">
        <v>249.99</v>
      </c>
      <c r="W683" s="0" t="inlineStr">
        <is>
          <t>2026-09-06</t>
        </is>
      </c>
      <c r="X683" s="0" t="inlineStr">
        <is>
          <t>N/A</t>
        </is>
      </c>
      <c r="Y683" s="0" t="inlineStr">
        <is>
          <t>N/A</t>
        </is>
      </c>
      <c r="Z683" s="0" t="inlineStr">
        <is>
          <t>N/A</t>
        </is>
      </c>
      <c r="AA683" s="0" t="inlineStr">
        <is>
          <t>N/A</t>
        </is>
      </c>
    </row>
    <row r="684" ht="15.75" customHeight="1" s="51">
      <c r="A684" s="43" t="inlineStr">
        <is>
          <t>CIR-068-02</t>
        </is>
      </c>
      <c r="B684" s="43" t="inlineStr">
        <is>
          <t>Circe</t>
        </is>
      </c>
      <c r="C684" s="43" t="inlineStr">
        <is>
          <t>Smartphones &amp; Tablets</t>
        </is>
      </c>
      <c r="D684" s="43" t="inlineStr">
        <is>
          <t>Tablet</t>
        </is>
      </c>
      <c r="E684" s="44" t="inlineStr">
        <is>
          <t>Circe Spark 8" Mini Tablet</t>
        </is>
      </c>
      <c r="F684" s="45" t="n">
        <v>482.99</v>
      </c>
      <c r="G684" s="43" t="inlineStr">
        <is>
          <t>the Spark; Circe Spark; Kirce Spark; Spark tablet</t>
        </is>
      </c>
      <c r="H684" s="43" t="inlineStr">
        <is>
          <t>2 year limited</t>
        </is>
      </c>
      <c r="I684" s="43" t="inlineStr">
        <is>
          <t>FCC, CE, TUV Rheinland Low Blue Light, Energy Star</t>
        </is>
      </c>
      <c r="J684" s="43" t="inlineStr">
        <is>
          <t>MediaTek Dimensity 7300</t>
        </is>
      </c>
      <c r="K684" s="43" t="inlineStr">
        <is>
          <t>Arm Mali-G615 MC2</t>
        </is>
      </c>
      <c r="L684" s="43" t="inlineStr">
        <is>
          <t>OLED, 120Hz</t>
        </is>
      </c>
      <c r="M684" s="43" t="inlineStr">
        <is>
          <t>1600x2560</t>
        </is>
      </c>
      <c r="N684" s="43" t="inlineStr">
        <is>
          <t>USB-C (USB 2.0), microSD slot</t>
        </is>
      </c>
      <c r="O684" s="43" t="inlineStr">
        <is>
          <t>Android 15</t>
        </is>
      </c>
      <c r="P684" s="43" t="n">
        <v>9</v>
      </c>
      <c r="Q684" s="46" t="n">
        <v>303</v>
      </c>
      <c r="R684" s="43" t="inlineStr">
        <is>
          <t>Lighter than Nemesis Arc Ultra 8" Mini Tablet [NEM-051-01] (303 g vs 304 g); Lower price than Aglaea Quanta Air 8" Mini Tablet [AGL-079-05] ($482.99 vs $557.99)</t>
        </is>
      </c>
      <c r="S684" s="43" t="inlineStr">
        <is>
          <t>reading, travel, gaming</t>
        </is>
      </c>
      <c r="T684" s="0" t="inlineStr">
        <is>
          <t>low_stock</t>
        </is>
      </c>
      <c r="U684" s="0" t="n">
        <v>14</v>
      </c>
      <c r="V684" s="52" t="n">
        <v>524.99</v>
      </c>
      <c r="W684" s="0" t="inlineStr">
        <is>
          <t>2026-09-12</t>
        </is>
      </c>
      <c r="X684" s="0" t="inlineStr">
        <is>
          <t>N/A</t>
        </is>
      </c>
      <c r="Y684" s="0" t="inlineStr">
        <is>
          <t>N/A</t>
        </is>
      </c>
      <c r="Z684" s="0" t="inlineStr">
        <is>
          <t>N/A</t>
        </is>
      </c>
      <c r="AA684" s="0" t="inlineStr">
        <is>
          <t>N/A</t>
        </is>
      </c>
    </row>
    <row r="685" ht="15.75" customHeight="1" s="51">
      <c r="A685" s="43" t="inlineStr">
        <is>
          <t>CIR-068-03</t>
        </is>
      </c>
      <c r="B685" s="43" t="inlineStr">
        <is>
          <t>Circe</t>
        </is>
      </c>
      <c r="C685" s="43" t="inlineStr">
        <is>
          <t>Smartphones &amp; Tablets</t>
        </is>
      </c>
      <c r="D685" s="43" t="inlineStr">
        <is>
          <t>Tablet</t>
        </is>
      </c>
      <c r="E685" s="44" t="inlineStr">
        <is>
          <t>Circe Orbit Plus E-Ink Note Tablet</t>
        </is>
      </c>
      <c r="F685" s="45" t="n">
        <v>650.99</v>
      </c>
      <c r="G685" s="43" t="inlineStr">
        <is>
          <t>the Orbit Plus; Circe Orbit Plus; Crice Orbit Plus; Orbit Plus tablet</t>
        </is>
      </c>
      <c r="H685" s="43" t="inlineStr">
        <is>
          <t>2 year limited</t>
        </is>
      </c>
      <c r="I685" s="43" t="inlineStr">
        <is>
          <t>FCC, CE, TUV Rheinland Low Blue Light, Energy Star</t>
        </is>
      </c>
      <c r="J685" s="43" t="inlineStr">
        <is>
          <t>Rockchip RK3566</t>
        </is>
      </c>
      <c r="K685" s="43" t="inlineStr">
        <is>
          <t>Arm Mali-G52 2EE</t>
        </is>
      </c>
      <c r="L685" s="43" t="inlineStr">
        <is>
          <t>E Ink Carta 1300, front-lit</t>
        </is>
      </c>
      <c r="M685" s="43" t="inlineStr">
        <is>
          <t>1404x1872</t>
        </is>
      </c>
      <c r="N685" s="43" t="inlineStr">
        <is>
          <t>USB-C (USB 2.0), microSD slot</t>
        </is>
      </c>
      <c r="O685" s="43" t="inlineStr">
        <is>
          <t>Android 13 (E Ink optimized)</t>
        </is>
      </c>
      <c r="P685" s="43" t="n">
        <v>240</v>
      </c>
      <c r="Q685" s="46" t="n">
        <v>414</v>
      </c>
      <c r="R685" s="43" t="inlineStr">
        <is>
          <t>Longer battery than Elpis Aria SE E-Ink Note Tablet [ELP-074-03] (240 vs 132 hrs); Lighter than Anteros Drift E-Ink Note Tablet [ANT-090-02] (414 g vs 437 g)</t>
        </is>
      </c>
      <c r="S685" s="43" t="inlineStr">
        <is>
          <t>reading, note-taking, school</t>
        </is>
      </c>
      <c r="T685" s="0" t="inlineStr">
        <is>
          <t>in_stock</t>
        </is>
      </c>
      <c r="U685" s="0" t="n">
        <v>14</v>
      </c>
      <c r="V685" s="52" t="n">
        <v>681.99</v>
      </c>
      <c r="W685" s="0" t="inlineStr">
        <is>
          <t>2026-09-17</t>
        </is>
      </c>
      <c r="X685" s="0" t="inlineStr">
        <is>
          <t>N/A</t>
        </is>
      </c>
      <c r="Y685" s="0" t="inlineStr">
        <is>
          <t>N/A</t>
        </is>
      </c>
      <c r="Z685" s="0" t="inlineStr">
        <is>
          <t>N/A</t>
        </is>
      </c>
      <c r="AA685" s="0" t="inlineStr">
        <is>
          <t>N/A</t>
        </is>
      </c>
    </row>
    <row r="686" ht="15.75" customHeight="1" s="51">
      <c r="A686" s="43" t="inlineStr">
        <is>
          <t>CIR-068-04</t>
        </is>
      </c>
      <c r="B686" s="43" t="inlineStr">
        <is>
          <t>Circe</t>
        </is>
      </c>
      <c r="C686" s="43" t="inlineStr">
        <is>
          <t>Smartphones &amp; Tablets</t>
        </is>
      </c>
      <c r="D686" s="43" t="inlineStr">
        <is>
          <t>Smartphone</t>
        </is>
      </c>
      <c r="E686" s="44" t="inlineStr">
        <is>
          <t>Circe Titan Ultra Rugged Smartphone</t>
        </is>
      </c>
      <c r="F686" s="45" t="n">
        <v>684.99</v>
      </c>
      <c r="G686" s="43" t="inlineStr">
        <is>
          <t>the Titan Ultra; Circe Titan Ultra; Circ Titan Ultra; Titan Ultra smartphone</t>
        </is>
      </c>
      <c r="H686" s="43" t="inlineStr">
        <is>
          <t>2 year limited</t>
        </is>
      </c>
      <c r="I686" s="43" t="inlineStr">
        <is>
          <t>FCC, CE, IP69K, MIL-STD-810H</t>
        </is>
      </c>
      <c r="J686" s="43" t="inlineStr">
        <is>
          <t>MediaTek Dimensity 8300</t>
        </is>
      </c>
      <c r="K686" s="43" t="inlineStr">
        <is>
          <t>Arm Mali-G615 MC6</t>
        </is>
      </c>
      <c r="L686" s="43" t="inlineStr">
        <is>
          <t>IPS LCD, Gorilla Glass Victus, 120Hz</t>
        </is>
      </c>
      <c r="M686" s="43" t="inlineStr">
        <is>
          <t>1080x2400</t>
        </is>
      </c>
      <c r="N686" s="43" t="inlineStr">
        <is>
          <t>USB-C (USB 2.0), nano-SIM + eSIM, 3.5mm headphone jack, microSD slot</t>
        </is>
      </c>
      <c r="O686" s="43" t="inlineStr">
        <is>
          <t>Android 15</t>
        </is>
      </c>
      <c r="P686" s="43" t="n">
        <v>29</v>
      </c>
      <c r="Q686" s="46" t="n">
        <v>266</v>
      </c>
      <c r="R686" s="43" t="inlineStr">
        <is>
          <t>Lighter than Clotho Prism X Rugged Smartphone [CLO-062-06] (266 g vs 307 g); Lower price than Elpis Nova Max Rugged Smartphone [ELP-074-05] ($684.99 vs $771.99)</t>
        </is>
      </c>
      <c r="S686" s="43" t="inlineStr">
        <is>
          <t>outdoor, construction, fieldwork</t>
        </is>
      </c>
      <c r="T686" s="0" t="inlineStr">
        <is>
          <t>in_stock</t>
        </is>
      </c>
      <c r="U686" s="0" t="n">
        <v>14</v>
      </c>
      <c r="V686" s="52" t="n">
        <v>775.99</v>
      </c>
      <c r="W686" s="0" t="inlineStr">
        <is>
          <t>2026-08-16</t>
        </is>
      </c>
      <c r="X686" s="0" t="inlineStr">
        <is>
          <t>N/A</t>
        </is>
      </c>
      <c r="Y686" s="0" t="inlineStr">
        <is>
          <t>N/A</t>
        </is>
      </c>
      <c r="Z686" s="0" t="inlineStr">
        <is>
          <t>N/A</t>
        </is>
      </c>
      <c r="AA686" s="0" t="inlineStr">
        <is>
          <t>N/A</t>
        </is>
      </c>
    </row>
    <row r="687" ht="15.75" customHeight="1" s="51">
      <c r="A687" s="43" t="inlineStr">
        <is>
          <t>CIR-068-05</t>
        </is>
      </c>
      <c r="B687" s="43" t="inlineStr">
        <is>
          <t>Circe</t>
        </is>
      </c>
      <c r="C687" s="43" t="inlineStr">
        <is>
          <t>Smartphones &amp; Tablets</t>
        </is>
      </c>
      <c r="D687" s="43" t="inlineStr">
        <is>
          <t>Tablet</t>
        </is>
      </c>
      <c r="E687" s="44" t="inlineStr">
        <is>
          <t>Circe Nimbus Lite 5G Tablet</t>
        </is>
      </c>
      <c r="F687" s="45" t="n">
        <v>805.99</v>
      </c>
      <c r="G687" s="43" t="inlineStr">
        <is>
          <t>the Nimbus Lite; Circe Nimbus Lite; Cirrce Nimbus Lite; Nimbus Lite tablet</t>
        </is>
      </c>
      <c r="H687" s="43" t="inlineStr">
        <is>
          <t>1 year limited</t>
        </is>
      </c>
      <c r="I687" s="43" t="inlineStr">
        <is>
          <t>FCC, CE</t>
        </is>
      </c>
      <c r="J687" s="43" t="inlineStr">
        <is>
          <t>Qualcomm Snapdragon 8 Gen 3</t>
        </is>
      </c>
      <c r="K687" s="43" t="inlineStr">
        <is>
          <t>Qualcomm Adreno 750</t>
        </is>
      </c>
      <c r="L687" s="43" t="inlineStr">
        <is>
          <t>IPS LCD, 90Hz</t>
        </is>
      </c>
      <c r="M687" s="43" t="inlineStr">
        <is>
          <t>1600x2560</t>
        </is>
      </c>
      <c r="N687" s="43" t="inlineStr">
        <is>
          <t>USB-C (USB 3.2), microSD slot, nano-SIM + eSIM</t>
        </is>
      </c>
      <c r="O687" s="43" t="inlineStr">
        <is>
          <t>Android 15</t>
        </is>
      </c>
      <c r="P687" s="43" t="n">
        <v>11</v>
      </c>
      <c r="Q687" s="46" t="n">
        <v>511</v>
      </c>
      <c r="R687" s="43" t="inlineStr">
        <is>
          <t>Lighter than Coeus Vertex Lite 5G Tablet [COE-075-05] (511 g vs 553 g); Longer battery than Panacea Halo Plus 5G Tablet [PAN-069-07] (11 vs 10 hrs)</t>
        </is>
      </c>
      <c r="S687" s="43" t="inlineStr">
        <is>
          <t>travel, streaming, work on the go</t>
        </is>
      </c>
      <c r="T687" s="0" t="inlineStr">
        <is>
          <t>low_stock</t>
        </is>
      </c>
      <c r="U687" s="0" t="n">
        <v>14</v>
      </c>
      <c r="V687" s="52" t="n">
        <v>918.99</v>
      </c>
      <c r="W687" s="0" t="inlineStr">
        <is>
          <t>2026-09-12</t>
        </is>
      </c>
      <c r="X687" s="0" t="inlineStr">
        <is>
          <t>N/A</t>
        </is>
      </c>
      <c r="Y687" s="0" t="inlineStr">
        <is>
          <t>N/A</t>
        </is>
      </c>
      <c r="Z687" s="0" t="inlineStr">
        <is>
          <t>N/A</t>
        </is>
      </c>
      <c r="AA687" s="0" t="inlineStr">
        <is>
          <t>N/A</t>
        </is>
      </c>
    </row>
    <row r="688" ht="15.75" customHeight="1" s="51">
      <c r="A688" s="43" t="inlineStr">
        <is>
          <t>CIR-068-06</t>
        </is>
      </c>
      <c r="B688" s="43" t="inlineStr">
        <is>
          <t>Circe</t>
        </is>
      </c>
      <c r="C688" s="43" t="inlineStr">
        <is>
          <t>Smartphones &amp; Tablets</t>
        </is>
      </c>
      <c r="D688" s="43" t="inlineStr">
        <is>
          <t>Smartphone</t>
        </is>
      </c>
      <c r="E688" s="44" t="inlineStr">
        <is>
          <t>Circe Orbit Pro Compact Smartphone</t>
        </is>
      </c>
      <c r="F688" s="45" t="n">
        <v>836.99</v>
      </c>
      <c r="G688" s="43" t="inlineStr">
        <is>
          <t>the Orbit Pro; Circe Orbit Pro; Cicre Orbit Pro; Orbit Pro smartphone</t>
        </is>
      </c>
      <c r="H688" s="43" t="inlineStr">
        <is>
          <t>2 year limited</t>
        </is>
      </c>
      <c r="I688" s="43" t="inlineStr">
        <is>
          <t>FCC, CE, IP68</t>
        </is>
      </c>
      <c r="J688" s="43" t="inlineStr">
        <is>
          <t>Qualcomm Snapdragon 8 Gen 3</t>
        </is>
      </c>
      <c r="K688" s="43" t="inlineStr">
        <is>
          <t>Qualcomm Adreno 750</t>
        </is>
      </c>
      <c r="L688" s="43" t="inlineStr">
        <is>
          <t>AMOLED, 120Hz</t>
        </is>
      </c>
      <c r="M688" s="43" t="inlineStr">
        <is>
          <t>1080x2340</t>
        </is>
      </c>
      <c r="N688" s="43" t="inlineStr">
        <is>
          <t>USB-C (USB 3.2), nano-SIM + eSIM</t>
        </is>
      </c>
      <c r="O688" s="43" t="inlineStr">
        <is>
          <t>Android 15</t>
        </is>
      </c>
      <c r="P688" s="43" t="n">
        <v>24</v>
      </c>
      <c r="Q688" s="46" t="n">
        <v>150</v>
      </c>
      <c r="R688" s="43" t="inlineStr">
        <is>
          <t>Lighter than Phorcys Drift Compact Smartphone [PHO-087-02] (150 g vs 152 g); Lower price than Erato Titan Plus Compact Smartphone [ERA-085-06] ($836.99 vs $894.99)</t>
        </is>
      </c>
      <c r="S688" s="43" t="inlineStr">
        <is>
          <t>everyday, one-handed use</t>
        </is>
      </c>
      <c r="T688" s="0" t="inlineStr">
        <is>
          <t>in_stock</t>
        </is>
      </c>
      <c r="U688" s="0" t="n">
        <v>14</v>
      </c>
      <c r="V688" s="52" t="n">
        <v>932.99</v>
      </c>
      <c r="W688" s="0" t="inlineStr">
        <is>
          <t>2026-09-22</t>
        </is>
      </c>
      <c r="X688" s="0" t="inlineStr">
        <is>
          <t>N/A</t>
        </is>
      </c>
      <c r="Y688" s="0" t="inlineStr">
        <is>
          <t>N/A</t>
        </is>
      </c>
      <c r="Z688" s="0" t="inlineStr">
        <is>
          <t>N/A</t>
        </is>
      </c>
      <c r="AA688" s="0" t="inlineStr">
        <is>
          <t>N/A</t>
        </is>
      </c>
    </row>
    <row r="689" ht="15.75" customHeight="1" s="51">
      <c r="A689" s="43" t="inlineStr">
        <is>
          <t>CIR-068-07</t>
        </is>
      </c>
      <c r="B689" s="43" t="inlineStr">
        <is>
          <t>Circe</t>
        </is>
      </c>
      <c r="C689" s="43" t="inlineStr">
        <is>
          <t>Smartphones &amp; Tablets</t>
        </is>
      </c>
      <c r="D689" s="43" t="inlineStr">
        <is>
          <t>Smartphone</t>
        </is>
      </c>
      <c r="E689" s="44" t="inlineStr">
        <is>
          <t>Circe Drift SE Flip Foldable Phone</t>
        </is>
      </c>
      <c r="F689" s="45" t="n">
        <v>974.99</v>
      </c>
      <c r="G689" s="43" t="inlineStr">
        <is>
          <t>the Drift SE; Circe Drift SE; Cirrce Drift SE; Drift SE smartphone</t>
        </is>
      </c>
      <c r="H689" s="43" t="inlineStr">
        <is>
          <t>1 year limited</t>
        </is>
      </c>
      <c r="I689" s="43" t="inlineStr">
        <is>
          <t>FCC, CE, IPX8</t>
        </is>
      </c>
      <c r="J689" s="43" t="inlineStr">
        <is>
          <t>Qualcomm Snapdragon 8 Gen 3</t>
        </is>
      </c>
      <c r="K689" s="43" t="inlineStr">
        <is>
          <t>Qualcomm Adreno 750</t>
        </is>
      </c>
      <c r="L689" s="43" t="inlineStr">
        <is>
          <t>Foldable AMOLED inner + AMOLED cover screen</t>
        </is>
      </c>
      <c r="M689" s="43" t="inlineStr">
        <is>
          <t>1080x2640 inner / 720x748 cover</t>
        </is>
      </c>
      <c r="N689" s="43" t="inlineStr">
        <is>
          <t>USB-C (USB 3.2), nano-SIM + eSIM</t>
        </is>
      </c>
      <c r="O689" s="43" t="inlineStr">
        <is>
          <t>Android 15</t>
        </is>
      </c>
      <c r="P689" s="43" t="n">
        <v>16</v>
      </c>
      <c r="Q689" s="46" t="n">
        <v>184</v>
      </c>
      <c r="R689" s="43" t="inlineStr">
        <is>
          <t>Lighter than Plutus Arc Max Flip Foldable Phone [PLU-100-07] (184 g vs 199 g); Lower price than Nemesis Volt Ultra Flip Foldable Phone [NEM-051-08] ($974.99 vs $1,091.99)</t>
        </is>
      </c>
      <c r="S689" s="43" t="inlineStr">
        <is>
          <t>style, everyday, compact</t>
        </is>
      </c>
      <c r="T689" s="0" t="inlineStr">
        <is>
          <t>in_stock</t>
        </is>
      </c>
      <c r="U689" s="0" t="n">
        <v>14</v>
      </c>
      <c r="V689" s="52" t="n">
        <v>1091.99</v>
      </c>
      <c r="W689" s="0" t="inlineStr">
        <is>
          <t>2026-08-05</t>
        </is>
      </c>
      <c r="X689" s="0" t="inlineStr">
        <is>
          <t>N/A</t>
        </is>
      </c>
      <c r="Y689" s="0" t="inlineStr">
        <is>
          <t>N/A</t>
        </is>
      </c>
      <c r="Z689" s="0" t="inlineStr">
        <is>
          <t>N/A</t>
        </is>
      </c>
      <c r="AA689" s="0" t="inlineStr">
        <is>
          <t>N/A</t>
        </is>
      </c>
    </row>
    <row r="690" ht="15.75" customHeight="1" s="51">
      <c r="A690" s="43" t="inlineStr">
        <is>
          <t>CIR-068-08</t>
        </is>
      </c>
      <c r="B690" s="43" t="inlineStr">
        <is>
          <t>Circe</t>
        </is>
      </c>
      <c r="C690" s="43" t="inlineStr">
        <is>
          <t>Smartphones &amp; Tablets</t>
        </is>
      </c>
      <c r="D690" s="43" t="inlineStr">
        <is>
          <t>Smartphone</t>
        </is>
      </c>
      <c r="E690" s="44" t="inlineStr">
        <is>
          <t>Circe Titan X Foldable Phone</t>
        </is>
      </c>
      <c r="F690" s="45" t="n">
        <v>1360.99</v>
      </c>
      <c r="G690" s="43" t="inlineStr">
        <is>
          <t>the Titan X; Circe Titan X; Cicre Titan X; Titan X smartphone</t>
        </is>
      </c>
      <c r="H690" s="43" t="inlineStr">
        <is>
          <t>1 year limited</t>
        </is>
      </c>
      <c r="I690" s="43" t="inlineStr">
        <is>
          <t>FCC, CE, IPX8</t>
        </is>
      </c>
      <c r="J690" s="43" t="inlineStr">
        <is>
          <t>Qualcomm Snapdragon 8 Elite</t>
        </is>
      </c>
      <c r="K690" s="43" t="inlineStr">
        <is>
          <t>Qualcomm Adreno 830</t>
        </is>
      </c>
      <c r="L690" s="43" t="inlineStr">
        <is>
          <t>Foldable LTPO AMOLED inner + AMOLED cover, 120Hz</t>
        </is>
      </c>
      <c r="M690" s="43" t="inlineStr">
        <is>
          <t>2160x1856 inner / 1080x2376 cover</t>
        </is>
      </c>
      <c r="N690" s="43" t="inlineStr">
        <is>
          <t>USB-C (USB 3.2), nano-SIM + eSIM</t>
        </is>
      </c>
      <c r="O690" s="43" t="inlineStr">
        <is>
          <t>Android 15</t>
        </is>
      </c>
      <c r="P690" s="43" t="n">
        <v>25</v>
      </c>
      <c r="Q690" s="46" t="n">
        <v>233</v>
      </c>
      <c r="R690" s="43" t="inlineStr">
        <is>
          <t>Lighter than Epimetheus Echo Pro Foldable Phone [EPI-091-10] (233 g vs 257 g); Lower price than Lachesis Echo Air Foldable Phone [LAC-071-10] ($1,360.99 vs $1,955.99)</t>
        </is>
      </c>
      <c r="S690" s="43" t="inlineStr">
        <is>
          <t>multitasking, business, media</t>
        </is>
      </c>
      <c r="T690" s="0" t="inlineStr">
        <is>
          <t>low_stock</t>
        </is>
      </c>
      <c r="U690" s="0" t="n">
        <v>14</v>
      </c>
      <c r="V690" s="52" t="n">
        <v>1485.99</v>
      </c>
      <c r="W690" s="0" t="inlineStr">
        <is>
          <t>2026-09-17</t>
        </is>
      </c>
      <c r="X690" s="0" t="inlineStr">
        <is>
          <t>N/A</t>
        </is>
      </c>
      <c r="Y690" s="0" t="inlineStr">
        <is>
          <t>N/A</t>
        </is>
      </c>
      <c r="Z690" s="0" t="inlineStr">
        <is>
          <t>N/A</t>
        </is>
      </c>
      <c r="AA690" s="0" t="inlineStr">
        <is>
          <t>N/A</t>
        </is>
      </c>
    </row>
    <row r="691" ht="15.75" customHeight="1" s="51">
      <c r="A691" s="43" t="inlineStr">
        <is>
          <t>CIR-068-09</t>
        </is>
      </c>
      <c r="B691" s="43" t="inlineStr">
        <is>
          <t>Circe</t>
        </is>
      </c>
      <c r="C691" s="43" t="inlineStr">
        <is>
          <t>Smartphones &amp; Tablets</t>
        </is>
      </c>
      <c r="D691" s="43" t="inlineStr">
        <is>
          <t>Tablet</t>
        </is>
      </c>
      <c r="E691" s="44" t="inlineStr">
        <is>
          <t>Circe Prism Max 13" Pro Tablet</t>
        </is>
      </c>
      <c r="F691" s="45" t="n">
        <v>1421.99</v>
      </c>
      <c r="G691" s="43" t="inlineStr">
        <is>
          <t>the Prism Max; Circe Prism Max; Circ Prism Max; Prism Max tablet</t>
        </is>
      </c>
      <c r="H691" s="43" t="inlineStr">
        <is>
          <t>1 year limited</t>
        </is>
      </c>
      <c r="I691" s="43" t="inlineStr">
        <is>
          <t>FCC, CE</t>
        </is>
      </c>
      <c r="J691" s="43" t="inlineStr">
        <is>
          <t>Qualcomm Snapdragon 8 Elite</t>
        </is>
      </c>
      <c r="K691" s="43" t="inlineStr">
        <is>
          <t>Qualcomm Adreno 830</t>
        </is>
      </c>
      <c r="L691" s="43" t="inlineStr">
        <is>
          <t>OLED, 120Hz</t>
        </is>
      </c>
      <c r="M691" s="43" t="inlineStr">
        <is>
          <t>2800x1752</t>
        </is>
      </c>
      <c r="N691" s="43" t="inlineStr">
        <is>
          <t>USB-C (USB 3.2), magnetic keyboard connector</t>
        </is>
      </c>
      <c r="O691" s="43" t="inlineStr">
        <is>
          <t>Android 15</t>
        </is>
      </c>
      <c r="P691" s="43" t="n">
        <v>11</v>
      </c>
      <c r="Q691" s="46" t="n">
        <v>582</v>
      </c>
      <c r="R691" s="43" t="inlineStr">
        <is>
          <t>Lighter than Pontus Lumen 13" Pro Tablet [PON-063-10] (582 g vs 636 g); Lower price than Helios Arc Max 13" Pro Tablet [HEL-073-09] ($1,421.99 vs $1,711.99)</t>
        </is>
      </c>
      <c r="S691" s="43" t="inlineStr">
        <is>
          <t>creative work, productivity, drawing</t>
        </is>
      </c>
      <c r="T691" s="0" t="inlineStr">
        <is>
          <t>low_stock</t>
        </is>
      </c>
      <c r="U691" s="0" t="n">
        <v>14</v>
      </c>
      <c r="V691" s="52" t="n">
        <v>1528.99</v>
      </c>
      <c r="W691" s="0" t="inlineStr">
        <is>
          <t>2026-08-28</t>
        </is>
      </c>
      <c r="X691" s="0" t="inlineStr">
        <is>
          <t>N/A</t>
        </is>
      </c>
      <c r="Y691" s="0" t="inlineStr">
        <is>
          <t>N/A</t>
        </is>
      </c>
      <c r="Z691" s="0" t="inlineStr">
        <is>
          <t>N/A</t>
        </is>
      </c>
      <c r="AA691" s="0" t="inlineStr">
        <is>
          <t>N/A</t>
        </is>
      </c>
    </row>
    <row r="692" ht="15.75" customHeight="1" s="51">
      <c r="A692" s="43" t="inlineStr">
        <is>
          <t>CIR-068-10</t>
        </is>
      </c>
      <c r="B692" s="43" t="inlineStr">
        <is>
          <t>Circe</t>
        </is>
      </c>
      <c r="C692" s="43" t="inlineStr">
        <is>
          <t>Smartphones &amp; Tablets</t>
        </is>
      </c>
      <c r="D692" s="43" t="inlineStr">
        <is>
          <t>Smartphone</t>
        </is>
      </c>
      <c r="E692" s="44" t="inlineStr">
        <is>
          <t>Circe Vertex SE Pro Max Smartphone</t>
        </is>
      </c>
      <c r="F692" s="45" t="n">
        <v>1454.99</v>
      </c>
      <c r="G692" s="43" t="inlineStr">
        <is>
          <t>the Vertex SE; Circe Vertex SE; Circ Vertex SE; Vertex SE smartphone</t>
        </is>
      </c>
      <c r="H692" s="43" t="inlineStr">
        <is>
          <t>2 year limited</t>
        </is>
      </c>
      <c r="I692" s="43" t="inlineStr">
        <is>
          <t>FCC, CE, IP68, Qi2</t>
        </is>
      </c>
      <c r="J692" s="43" t="inlineStr">
        <is>
          <t>Qualcomm Snapdragon 8 Elite</t>
        </is>
      </c>
      <c r="K692" s="43" t="inlineStr">
        <is>
          <t>Qualcomm Adreno 830</t>
        </is>
      </c>
      <c r="L692" s="43" t="inlineStr">
        <is>
          <t>LTPO AMOLED, 1-120Hz</t>
        </is>
      </c>
      <c r="M692" s="43" t="inlineStr">
        <is>
          <t>1440x3120</t>
        </is>
      </c>
      <c r="N692" s="43" t="inlineStr">
        <is>
          <t>USB-C (USB 3.2), nano-SIM + eSIM</t>
        </is>
      </c>
      <c r="O692" s="43" t="inlineStr">
        <is>
          <t>Android 15</t>
        </is>
      </c>
      <c r="P692" s="43" t="n">
        <v>28</v>
      </c>
      <c r="Q692" s="46" t="n">
        <v>227</v>
      </c>
      <c r="R692" s="43" t="inlineStr">
        <is>
          <t>Lighter than Erato Core Plus Pro Max Smartphone [ERA-085-09] (227 g vs 232 g); Lower price than Aletheia Flux SE Pro Max Smartphone [ALE-089-09] ($1,454.99 vs $1,516.99)</t>
        </is>
      </c>
      <c r="S692" s="43" t="inlineStr">
        <is>
          <t>photography, video, mobile gaming</t>
        </is>
      </c>
      <c r="T692" s="0" t="inlineStr">
        <is>
          <t>in_stock</t>
        </is>
      </c>
      <c r="U692" s="0" t="n">
        <v>14</v>
      </c>
      <c r="V692" s="52" t="n">
        <v>1637.99</v>
      </c>
      <c r="W692" s="0" t="inlineStr">
        <is>
          <t>2026-09-15</t>
        </is>
      </c>
      <c r="X692" s="0" t="inlineStr">
        <is>
          <t>N/A</t>
        </is>
      </c>
      <c r="Y692" s="0" t="inlineStr">
        <is>
          <t>N/A</t>
        </is>
      </c>
      <c r="Z692" s="0" t="inlineStr">
        <is>
          <t>N/A</t>
        </is>
      </c>
      <c r="AA692" s="0" t="inlineStr">
        <is>
          <t>N/A</t>
        </is>
      </c>
    </row>
    <row r="693" ht="15.75" customHeight="1" s="51">
      <c r="A693" s="43" t="inlineStr">
        <is>
          <t>PAN-069-01</t>
        </is>
      </c>
      <c r="B693" s="43" t="inlineStr">
        <is>
          <t>Panacea</t>
        </is>
      </c>
      <c r="C693" s="43" t="inlineStr">
        <is>
          <t>Smartphones &amp; Tablets</t>
        </is>
      </c>
      <c r="D693" s="43" t="inlineStr">
        <is>
          <t>Smartphone</t>
        </is>
      </c>
      <c r="E693" s="44" t="inlineStr">
        <is>
          <t>Panacea Nimbus Pro Budget Smartphone</t>
        </is>
      </c>
      <c r="F693" s="45" t="n">
        <v>196.99</v>
      </c>
      <c r="G693" s="43" t="inlineStr">
        <is>
          <t>the Nimbus Pro; Panacea Nimbus Pro; Paancea Nimbus Pro; Nimbus Pro smartphone</t>
        </is>
      </c>
      <c r="H693" s="43" t="inlineStr">
        <is>
          <t>1 year limited</t>
        </is>
      </c>
      <c r="I693" s="43" t="inlineStr">
        <is>
          <t>FCC, CE, IP54</t>
        </is>
      </c>
      <c r="J693" s="43" t="inlineStr">
        <is>
          <t>MediaTek Helio G99</t>
        </is>
      </c>
      <c r="K693" s="43" t="inlineStr">
        <is>
          <t>Arm Mali-G57 MC2</t>
        </is>
      </c>
      <c r="L693" s="43" t="inlineStr">
        <is>
          <t>IPS LCD, 90Hz</t>
        </is>
      </c>
      <c r="M693" s="43" t="inlineStr">
        <is>
          <t>720x1600</t>
        </is>
      </c>
      <c r="N693" s="43" t="inlineStr">
        <is>
          <t>USB-C (USB 2.0), nano-SIM + eSIM, 3.5mm headphone jack, microSD slot</t>
        </is>
      </c>
      <c r="O693" s="43" t="inlineStr">
        <is>
          <t>Android 14</t>
        </is>
      </c>
      <c r="P693" s="43" t="n">
        <v>29</v>
      </c>
      <c r="Q693" s="46" t="n">
        <v>195</v>
      </c>
      <c r="R693" s="43" t="inlineStr">
        <is>
          <t>Lower price than Plutus Vertex Air Budget Smartphone [PLU-100-02] ($196.99 vs $383.99); Lighter than Pallas Lumen Plus Budget Smartphone [PAL-057-02] (195 g vs 201 g)</t>
        </is>
      </c>
      <c r="S693" s="43" t="inlineStr">
        <is>
          <t>budget, first phone, everyday</t>
        </is>
      </c>
      <c r="T693" s="0" t="inlineStr">
        <is>
          <t>in_stock</t>
        </is>
      </c>
      <c r="U693" s="0" t="n">
        <v>30</v>
      </c>
      <c r="V693" s="52" t="n">
        <v>219.99</v>
      </c>
      <c r="W693" s="0" t="inlineStr">
        <is>
          <t>2026-08-03</t>
        </is>
      </c>
      <c r="X693" s="0" t="inlineStr">
        <is>
          <t>N/A</t>
        </is>
      </c>
      <c r="Y693" s="0" t="inlineStr">
        <is>
          <t>N/A</t>
        </is>
      </c>
      <c r="Z693" s="0" t="inlineStr">
        <is>
          <t>N/A</t>
        </is>
      </c>
      <c r="AA693" s="0" t="inlineStr">
        <is>
          <t>N/A</t>
        </is>
      </c>
    </row>
    <row r="694" ht="15.75" customHeight="1" s="51">
      <c r="A694" s="43" t="inlineStr">
        <is>
          <t>PAN-069-02</t>
        </is>
      </c>
      <c r="B694" s="43" t="inlineStr">
        <is>
          <t>Panacea</t>
        </is>
      </c>
      <c r="C694" s="43" t="inlineStr">
        <is>
          <t>Smartphones &amp; Tablets</t>
        </is>
      </c>
      <c r="D694" s="43" t="inlineStr">
        <is>
          <t>Tablet</t>
        </is>
      </c>
      <c r="E694" s="44" t="inlineStr">
        <is>
          <t>Panacea Strata E-Ink Note Tablet</t>
        </is>
      </c>
      <c r="F694" s="45" t="n">
        <v>268.99</v>
      </c>
      <c r="G694" s="43" t="inlineStr">
        <is>
          <t>the Strata; Panacea Strata; Paancea Strata; Strata tablet</t>
        </is>
      </c>
      <c r="H694" s="43" t="inlineStr">
        <is>
          <t>1 year limited</t>
        </is>
      </c>
      <c r="I694" s="43" t="inlineStr">
        <is>
          <t>FCC, CE, TUV Rheinland Low Blue Light</t>
        </is>
      </c>
      <c r="J694" s="43" t="inlineStr">
        <is>
          <t>Rockchip RK3566</t>
        </is>
      </c>
      <c r="K694" s="43" t="inlineStr">
        <is>
          <t>Arm Mali-G52 2EE</t>
        </is>
      </c>
      <c r="L694" s="43" t="inlineStr">
        <is>
          <t>E Ink Carta 1300, front-lit</t>
        </is>
      </c>
      <c r="M694" s="43" t="inlineStr">
        <is>
          <t>1404x1872</t>
        </is>
      </c>
      <c r="N694" s="43" t="inlineStr">
        <is>
          <t>USB-C (USB 2.0), microSD slot</t>
        </is>
      </c>
      <c r="O694" s="43" t="inlineStr">
        <is>
          <t>Android 13 (E Ink optimized)</t>
        </is>
      </c>
      <c r="P694" s="43" t="n">
        <v>138</v>
      </c>
      <c r="Q694" s="46" t="n">
        <v>418</v>
      </c>
      <c r="R694" s="43" t="inlineStr">
        <is>
          <t>Longer battery than Hypnos Axis Ultra E-Ink Note Tablet [HYP-059-05] (138 vs 127 hrs); Lighter than Alpheus Apex Ultra E-Ink Note Tablet [ALP-082-04] (418 g vs 437 g)</t>
        </is>
      </c>
      <c r="S694" s="43" t="inlineStr">
        <is>
          <t>reading, note-taking, school</t>
        </is>
      </c>
      <c r="T694" s="0" t="inlineStr">
        <is>
          <t>out_of_stock</t>
        </is>
      </c>
      <c r="U694" s="0" t="n">
        <v>30</v>
      </c>
      <c r="V694" s="52" t="n">
        <v>296.99</v>
      </c>
      <c r="W694" s="0" t="inlineStr">
        <is>
          <t>2026-09-10</t>
        </is>
      </c>
      <c r="X694" s="0" t="inlineStr">
        <is>
          <t>N/A</t>
        </is>
      </c>
      <c r="Y694" s="0" t="inlineStr">
        <is>
          <t>N/A</t>
        </is>
      </c>
      <c r="Z694" s="0" t="inlineStr">
        <is>
          <t>N/A</t>
        </is>
      </c>
      <c r="AA694" s="0" t="inlineStr">
        <is>
          <t>N/A</t>
        </is>
      </c>
    </row>
    <row r="695" ht="15.75" customHeight="1" s="51">
      <c r="A695" s="43" t="inlineStr">
        <is>
          <t>PAN-069-03</t>
        </is>
      </c>
      <c r="B695" s="43" t="inlineStr">
        <is>
          <t>Panacea</t>
        </is>
      </c>
      <c r="C695" s="43" t="inlineStr">
        <is>
          <t>Smartphones &amp; Tablets</t>
        </is>
      </c>
      <c r="D695" s="43" t="inlineStr">
        <is>
          <t>Tablet</t>
        </is>
      </c>
      <c r="E695" s="44" t="inlineStr">
        <is>
          <t>Panacea Sable X Drawing Tablet with Stylus</t>
        </is>
      </c>
      <c r="F695" s="45" t="n">
        <v>590.99</v>
      </c>
      <c r="G695" s="43" t="inlineStr">
        <is>
          <t>the Sable X; Panacea Sable X; Panaeca Sable X; Sable X tablet</t>
        </is>
      </c>
      <c r="H695" s="43" t="inlineStr">
        <is>
          <t>1 year limited</t>
        </is>
      </c>
      <c r="I695" s="43" t="inlineStr">
        <is>
          <t>FCC, CE, TUV Rheinland Low Blue Light</t>
        </is>
      </c>
      <c r="J695" s="43" t="inlineStr">
        <is>
          <t>Qualcomm Snapdragon 7+ Gen 3</t>
        </is>
      </c>
      <c r="K695" s="43" t="inlineStr">
        <is>
          <t>Qualcomm Adreno 732</t>
        </is>
      </c>
      <c r="L695" s="43" t="inlineStr">
        <is>
          <t>IPS LCD anti-glare, pen digitizer</t>
        </is>
      </c>
      <c r="M695" s="43" t="inlineStr">
        <is>
          <t>2000x1200</t>
        </is>
      </c>
      <c r="N695" s="43" t="inlineStr">
        <is>
          <t>USB-C (USB 2.0), microSD slot</t>
        </is>
      </c>
      <c r="O695" s="43" t="inlineStr">
        <is>
          <t>Android 15</t>
        </is>
      </c>
      <c r="P695" s="43" t="n">
        <v>10</v>
      </c>
      <c r="Q695" s="46" t="n">
        <v>521</v>
      </c>
      <c r="R695" s="43" t="inlineStr">
        <is>
          <t>Longer battery than Athena Aeon X Drawing Tablet with Stylus [ATH-064-05] (10 vs 8 hrs); Lower price than Proteus Volt Air Drawing Tablet with Stylus [PRO-070-03] ($590.99 vs $665.99)</t>
        </is>
      </c>
      <c r="S695" s="43" t="inlineStr">
        <is>
          <t>drawing, design, note-taking</t>
        </is>
      </c>
      <c r="T695" s="0" t="inlineStr">
        <is>
          <t>in_stock</t>
        </is>
      </c>
      <c r="U695" s="0" t="n">
        <v>30</v>
      </c>
      <c r="V695" s="52" t="n">
        <v>645.99</v>
      </c>
      <c r="W695" s="0" t="inlineStr">
        <is>
          <t>2026-08-29</t>
        </is>
      </c>
      <c r="X695" s="0" t="inlineStr">
        <is>
          <t>N/A</t>
        </is>
      </c>
      <c r="Y695" s="0" t="inlineStr">
        <is>
          <t>N/A</t>
        </is>
      </c>
      <c r="Z695" s="0" t="inlineStr">
        <is>
          <t>N/A</t>
        </is>
      </c>
      <c r="AA695" s="0" t="inlineStr">
        <is>
          <t>N/A</t>
        </is>
      </c>
    </row>
    <row r="696" ht="15.75" customHeight="1" s="51">
      <c r="A696" s="43" t="inlineStr">
        <is>
          <t>PAN-069-04</t>
        </is>
      </c>
      <c r="B696" s="43" t="inlineStr">
        <is>
          <t>Panacea</t>
        </is>
      </c>
      <c r="C696" s="43" t="inlineStr">
        <is>
          <t>Smartphones &amp; Tablets</t>
        </is>
      </c>
      <c r="D696" s="43" t="inlineStr">
        <is>
          <t>Smartphone</t>
        </is>
      </c>
      <c r="E696" s="44" t="inlineStr">
        <is>
          <t>Panacea Crest X Rugged Smartphone</t>
        </is>
      </c>
      <c r="F696" s="45" t="n">
        <v>642.99</v>
      </c>
      <c r="G696" s="43" t="inlineStr">
        <is>
          <t>the Crest X; Panacea Crest X; Pnaacea Crest X; Crest X smartphone</t>
        </is>
      </c>
      <c r="H696" s="43" t="inlineStr">
        <is>
          <t>2 year limited</t>
        </is>
      </c>
      <c r="I696" s="43" t="inlineStr">
        <is>
          <t>FCC, CE, IP69K, MIL-STD-810H</t>
        </is>
      </c>
      <c r="J696" s="43" t="inlineStr">
        <is>
          <t>Qualcomm Snapdragon 7+ Gen 3</t>
        </is>
      </c>
      <c r="K696" s="43" t="inlineStr">
        <is>
          <t>Qualcomm Adreno 732</t>
        </is>
      </c>
      <c r="L696" s="43" t="inlineStr">
        <is>
          <t>IPS LCD, Gorilla Glass Victus, 120Hz</t>
        </is>
      </c>
      <c r="M696" s="43" t="inlineStr">
        <is>
          <t>1080x2400</t>
        </is>
      </c>
      <c r="N696" s="43" t="inlineStr">
        <is>
          <t>USB-C (USB 2.0), nano-SIM + eSIM, 3.5mm headphone jack, microSD slot</t>
        </is>
      </c>
      <c r="O696" s="43" t="inlineStr">
        <is>
          <t>Android 15</t>
        </is>
      </c>
      <c r="P696" s="43" t="n">
        <v>39</v>
      </c>
      <c r="Q696" s="46" t="n">
        <v>315</v>
      </c>
      <c r="R696" s="43" t="inlineStr">
        <is>
          <t>Lower price than Clotho Prism X Rugged Smartphone [CLO-062-06] ($642.99 vs $702.99); Longer battery than Leucothea Arc Air Rugged Smartphone [LEU-095-03] (39 vs 38 hrs)</t>
        </is>
      </c>
      <c r="S696" s="43" t="inlineStr">
        <is>
          <t>outdoor, construction, fieldwork</t>
        </is>
      </c>
      <c r="T696" s="0" t="inlineStr">
        <is>
          <t>in_stock</t>
        </is>
      </c>
      <c r="U696" s="0" t="n">
        <v>30</v>
      </c>
      <c r="V696" s="52" t="n">
        <v>697.99</v>
      </c>
      <c r="W696" s="0" t="inlineStr">
        <is>
          <t>2026-08-06</t>
        </is>
      </c>
      <c r="X696" s="0" t="inlineStr">
        <is>
          <t>N/A</t>
        </is>
      </c>
      <c r="Y696" s="0" t="inlineStr">
        <is>
          <t>N/A</t>
        </is>
      </c>
      <c r="Z696" s="0" t="inlineStr">
        <is>
          <t>N/A</t>
        </is>
      </c>
      <c r="AA696" s="0" t="inlineStr">
        <is>
          <t>N/A</t>
        </is>
      </c>
    </row>
    <row r="697" ht="15.75" customHeight="1" s="51">
      <c r="A697" s="43" t="inlineStr">
        <is>
          <t>PAN-069-05</t>
        </is>
      </c>
      <c r="B697" s="43" t="inlineStr">
        <is>
          <t>Panacea</t>
        </is>
      </c>
      <c r="C697" s="43" t="inlineStr">
        <is>
          <t>Smartphones &amp; Tablets</t>
        </is>
      </c>
      <c r="D697" s="43" t="inlineStr">
        <is>
          <t>Smartphone</t>
        </is>
      </c>
      <c r="E697" s="44" t="inlineStr">
        <is>
          <t>Panacea Nova Air Compact Smartphone</t>
        </is>
      </c>
      <c r="F697" s="45" t="n">
        <v>687.99</v>
      </c>
      <c r="G697" s="43" t="inlineStr">
        <is>
          <t>the Nova Air; Panacea Nova Air; Panaeca Nova Air; Nova Air smartphone</t>
        </is>
      </c>
      <c r="H697" s="43" t="inlineStr">
        <is>
          <t>1 year limited</t>
        </is>
      </c>
      <c r="I697" s="43" t="inlineStr">
        <is>
          <t>FCC, CE, IP68</t>
        </is>
      </c>
      <c r="J697" s="43" t="inlineStr">
        <is>
          <t>MediaTek Dimensity 8300</t>
        </is>
      </c>
      <c r="K697" s="43" t="inlineStr">
        <is>
          <t>Arm Mali-G615 MC6</t>
        </is>
      </c>
      <c r="L697" s="43" t="inlineStr">
        <is>
          <t>AMOLED, 120Hz</t>
        </is>
      </c>
      <c r="M697" s="43" t="inlineStr">
        <is>
          <t>1080x2340</t>
        </is>
      </c>
      <c r="N697" s="43" t="inlineStr">
        <is>
          <t>USB-C (USB 2.0), nano-SIM + eSIM</t>
        </is>
      </c>
      <c r="O697" s="43" t="inlineStr">
        <is>
          <t>Android 15</t>
        </is>
      </c>
      <c r="P697" s="43" t="n">
        <v>18</v>
      </c>
      <c r="Q697" s="46" t="n">
        <v>165</v>
      </c>
      <c r="R697" s="43" t="inlineStr">
        <is>
          <t>Lower price than Plutus Echo Compact Smartphone [PLU-100-05] ($687.99 vs $743.99); Lighter than Coeus Drift Max Compact Smartphone [COE-075-04] (165 g vs 169 g)</t>
        </is>
      </c>
      <c r="S697" s="43" t="inlineStr">
        <is>
          <t>everyday, one-handed use</t>
        </is>
      </c>
      <c r="T697" s="0" t="inlineStr">
        <is>
          <t>in_stock</t>
        </is>
      </c>
      <c r="U697" s="0" t="n">
        <v>30</v>
      </c>
      <c r="V697" s="52" t="n">
        <v>738.99</v>
      </c>
      <c r="W697" s="0" t="inlineStr">
        <is>
          <t>2026-08-20</t>
        </is>
      </c>
      <c r="X697" s="0" t="inlineStr">
        <is>
          <t>N/A</t>
        </is>
      </c>
      <c r="Y697" s="0" t="inlineStr">
        <is>
          <t>N/A</t>
        </is>
      </c>
      <c r="Z697" s="0" t="inlineStr">
        <is>
          <t>N/A</t>
        </is>
      </c>
      <c r="AA697" s="0" t="inlineStr">
        <is>
          <t>N/A</t>
        </is>
      </c>
    </row>
    <row r="698" ht="15.75" customHeight="1" s="51">
      <c r="A698" s="43" t="inlineStr">
        <is>
          <t>PAN-069-06</t>
        </is>
      </c>
      <c r="B698" s="43" t="inlineStr">
        <is>
          <t>Panacea</t>
        </is>
      </c>
      <c r="C698" s="43" t="inlineStr">
        <is>
          <t>Smartphones &amp; Tablets</t>
        </is>
      </c>
      <c r="D698" s="43" t="inlineStr">
        <is>
          <t>Tablet</t>
        </is>
      </c>
      <c r="E698" s="44" t="inlineStr">
        <is>
          <t>Panacea Aria Pro 11" Tablet</t>
        </is>
      </c>
      <c r="F698" s="45" t="n">
        <v>698.99</v>
      </c>
      <c r="G698" s="43" t="inlineStr">
        <is>
          <t>the Aria Pro; Panacea Aria Pro; Pnaacea Aria Pro; Aria Pro tablet</t>
        </is>
      </c>
      <c r="H698" s="43" t="inlineStr">
        <is>
          <t>2 year limited</t>
        </is>
      </c>
      <c r="I698" s="43" t="inlineStr">
        <is>
          <t>FCC, CE, Energy Star</t>
        </is>
      </c>
      <c r="J698" s="43" t="inlineStr">
        <is>
          <t>MediaTek Dimensity 8300</t>
        </is>
      </c>
      <c r="K698" s="43" t="inlineStr">
        <is>
          <t>Arm Mali-G615 MC6</t>
        </is>
      </c>
      <c r="L698" s="43" t="inlineStr">
        <is>
          <t>OLED, 120Hz</t>
        </is>
      </c>
      <c r="M698" s="43" t="inlineStr">
        <is>
          <t>1752x2800</t>
        </is>
      </c>
      <c r="N698" s="43" t="inlineStr">
        <is>
          <t>USB-C (USB 2.0), microSD slot</t>
        </is>
      </c>
      <c r="O698" s="43" t="inlineStr">
        <is>
          <t>Android 15</t>
        </is>
      </c>
      <c r="P698" s="43" t="n">
        <v>10</v>
      </c>
      <c r="Q698" s="46" t="n">
        <v>482</v>
      </c>
      <c r="R698" s="43" t="inlineStr">
        <is>
          <t>Lighter than Aglaea Aeon X 11" Tablet [AGL-079-02] (482 g vs 496 g); Lower price than Phorcys Aeon Plus 11" Tablet [PHO-087-05] ($698.99 vs $702.99)</t>
        </is>
      </c>
      <c r="S698" s="43" t="inlineStr">
        <is>
          <t>school, streaming, reading</t>
        </is>
      </c>
      <c r="T698" s="0" t="inlineStr">
        <is>
          <t>in_stock</t>
        </is>
      </c>
      <c r="U698" s="0" t="n">
        <v>30</v>
      </c>
      <c r="V698" s="52" t="n">
        <v>762.99</v>
      </c>
      <c r="W698" s="0" t="inlineStr">
        <is>
          <t>2026-09-14</t>
        </is>
      </c>
      <c r="X698" s="0" t="inlineStr">
        <is>
          <t>N/A</t>
        </is>
      </c>
      <c r="Y698" s="0" t="inlineStr">
        <is>
          <t>N/A</t>
        </is>
      </c>
      <c r="Z698" s="0" t="inlineStr">
        <is>
          <t>N/A</t>
        </is>
      </c>
      <c r="AA698" s="0" t="inlineStr">
        <is>
          <t>N/A</t>
        </is>
      </c>
    </row>
    <row r="699" ht="15.75" customHeight="1" s="51">
      <c r="A699" s="43" t="inlineStr">
        <is>
          <t>PAN-069-07</t>
        </is>
      </c>
      <c r="B699" s="43" t="inlineStr">
        <is>
          <t>Panacea</t>
        </is>
      </c>
      <c r="C699" s="43" t="inlineStr">
        <is>
          <t>Smartphones &amp; Tablets</t>
        </is>
      </c>
      <c r="D699" s="43" t="inlineStr">
        <is>
          <t>Tablet</t>
        </is>
      </c>
      <c r="E699" s="44" t="inlineStr">
        <is>
          <t>Panacea Halo Plus 5G Tablet</t>
        </is>
      </c>
      <c r="F699" s="45" t="n">
        <v>759.99</v>
      </c>
      <c r="G699" s="43" t="inlineStr">
        <is>
          <t>the Halo Plus; Panacea Halo Plus; Panaccea Halo Plus; Halo Plus tablet</t>
        </is>
      </c>
      <c r="H699" s="43" t="inlineStr">
        <is>
          <t>1 year limited</t>
        </is>
      </c>
      <c r="I699" s="43" t="inlineStr">
        <is>
          <t>FCC, CE</t>
        </is>
      </c>
      <c r="J699" s="43" t="inlineStr">
        <is>
          <t>MediaTek Dimensity 8300</t>
        </is>
      </c>
      <c r="K699" s="43" t="inlineStr">
        <is>
          <t>Arm Mali-G615 MC6</t>
        </is>
      </c>
      <c r="L699" s="43" t="inlineStr">
        <is>
          <t>IPS LCD, 90Hz</t>
        </is>
      </c>
      <c r="M699" s="43" t="inlineStr">
        <is>
          <t>1600x2560</t>
        </is>
      </c>
      <c r="N699" s="43" t="inlineStr">
        <is>
          <t>USB-C (USB 3.2), microSD slot, nano-SIM + eSIM</t>
        </is>
      </c>
      <c r="O699" s="43" t="inlineStr">
        <is>
          <t>Android 15</t>
        </is>
      </c>
      <c r="P699" s="43" t="n">
        <v>10</v>
      </c>
      <c r="Q699" s="46" t="n">
        <v>548</v>
      </c>
      <c r="R699" s="43" t="inlineStr">
        <is>
          <t>Lower price than Peitho Vertex Lite 5G Tablet [PEI-083-07] ($759.99 vs $890.99); Lighter than Amphitrite Aria 5G Tablet [AMP-065-05] (548 g vs 558 g)</t>
        </is>
      </c>
      <c r="S699" s="43" t="inlineStr">
        <is>
          <t>travel, streaming, work on the go</t>
        </is>
      </c>
      <c r="T699" s="0" t="inlineStr">
        <is>
          <t>in_stock</t>
        </is>
      </c>
      <c r="U699" s="0" t="n">
        <v>30</v>
      </c>
      <c r="V699" s="52" t="n">
        <v>861.99</v>
      </c>
      <c r="W699" s="0" t="inlineStr">
        <is>
          <t>2026-08-29</t>
        </is>
      </c>
      <c r="X699" s="0" t="inlineStr">
        <is>
          <t>N/A</t>
        </is>
      </c>
      <c r="Y699" s="0" t="inlineStr">
        <is>
          <t>N/A</t>
        </is>
      </c>
      <c r="Z699" s="0" t="inlineStr">
        <is>
          <t>N/A</t>
        </is>
      </c>
      <c r="AA699" s="0" t="inlineStr">
        <is>
          <t>N/A</t>
        </is>
      </c>
    </row>
    <row r="700" ht="15.75" customHeight="1" s="51">
      <c r="A700" s="43" t="inlineStr">
        <is>
          <t>PAN-069-08</t>
        </is>
      </c>
      <c r="B700" s="43" t="inlineStr">
        <is>
          <t>Panacea</t>
        </is>
      </c>
      <c r="C700" s="43" t="inlineStr">
        <is>
          <t>Smartphones &amp; Tablets</t>
        </is>
      </c>
      <c r="D700" s="43" t="inlineStr">
        <is>
          <t>Smartphone</t>
        </is>
      </c>
      <c r="E700" s="44" t="inlineStr">
        <is>
          <t>Panacea Core SE Flagship Smartphone</t>
        </is>
      </c>
      <c r="F700" s="45" t="n">
        <v>824.99</v>
      </c>
      <c r="G700" s="43" t="inlineStr">
        <is>
          <t>the Core SE; Panacea Core SE; Pannacea Core SE; Core SE smartphone</t>
        </is>
      </c>
      <c r="H700" s="43" t="inlineStr">
        <is>
          <t>1 year limited</t>
        </is>
      </c>
      <c r="I700" s="43" t="inlineStr">
        <is>
          <t>FCC, CE, IP68, Qi2</t>
        </is>
      </c>
      <c r="J700" s="43" t="inlineStr">
        <is>
          <t>Qualcomm Snapdragon 8 Gen 3</t>
        </is>
      </c>
      <c r="K700" s="43" t="inlineStr">
        <is>
          <t>Qualcomm Adreno 750</t>
        </is>
      </c>
      <c r="L700" s="43" t="inlineStr">
        <is>
          <t>AMOLED, 120Hz</t>
        </is>
      </c>
      <c r="M700" s="43" t="inlineStr">
        <is>
          <t>1080x2400</t>
        </is>
      </c>
      <c r="N700" s="43" t="inlineStr">
        <is>
          <t>USB-C (USB 3.2), nano-SIM + eSIM</t>
        </is>
      </c>
      <c r="O700" s="43" t="inlineStr">
        <is>
          <t>Android 15</t>
        </is>
      </c>
      <c r="P700" s="43" t="n">
        <v>31</v>
      </c>
      <c r="Q700" s="46" t="n">
        <v>196</v>
      </c>
      <c r="R700" s="43" t="inlineStr">
        <is>
          <t>Lower price than Erato Strata Flagship Smartphone [ERA-085-07] ($824.99 vs $1,022.99); Longer battery than Lachesis Onyx Ultra Flagship Smartphone [LAC-071-08] (31 vs 27 hrs)</t>
        </is>
      </c>
      <c r="S700" s="43" t="inlineStr">
        <is>
          <t>photography, everyday, business</t>
        </is>
      </c>
      <c r="T700" s="0" t="inlineStr">
        <is>
          <t>in_stock</t>
        </is>
      </c>
      <c r="U700" s="0" t="n">
        <v>30</v>
      </c>
      <c r="V700" s="52" t="n">
        <v>926.99</v>
      </c>
      <c r="W700" s="0" t="inlineStr">
        <is>
          <t>2026-08-27</t>
        </is>
      </c>
      <c r="X700" s="0" t="inlineStr">
        <is>
          <t>N/A</t>
        </is>
      </c>
      <c r="Y700" s="0" t="inlineStr">
        <is>
          <t>N/A</t>
        </is>
      </c>
      <c r="Z700" s="0" t="inlineStr">
        <is>
          <t>N/A</t>
        </is>
      </c>
      <c r="AA700" s="0" t="inlineStr">
        <is>
          <t>N/A</t>
        </is>
      </c>
    </row>
    <row r="701" ht="15.75" customHeight="1" s="51">
      <c r="A701" s="43" t="inlineStr">
        <is>
          <t>PAN-069-09</t>
        </is>
      </c>
      <c r="B701" s="43" t="inlineStr">
        <is>
          <t>Panacea</t>
        </is>
      </c>
      <c r="C701" s="43" t="inlineStr">
        <is>
          <t>Smartphones &amp; Tablets</t>
        </is>
      </c>
      <c r="D701" s="43" t="inlineStr">
        <is>
          <t>Smartphone</t>
        </is>
      </c>
      <c r="E701" s="44" t="inlineStr">
        <is>
          <t>Panacea Apex Air Flip Foldable Phone</t>
        </is>
      </c>
      <c r="F701" s="45" t="n">
        <v>1168.99</v>
      </c>
      <c r="G701" s="43" t="inlineStr">
        <is>
          <t>the Apex Air; Panacea Apex Air; Panaceaa Apex Air; Apex Air smartphone</t>
        </is>
      </c>
      <c r="H701" s="43" t="inlineStr">
        <is>
          <t>2 year limited</t>
        </is>
      </c>
      <c r="I701" s="43" t="inlineStr">
        <is>
          <t>FCC, CE, IPX8</t>
        </is>
      </c>
      <c r="J701" s="43" t="inlineStr">
        <is>
          <t>MediaTek Dimensity 9400</t>
        </is>
      </c>
      <c r="K701" s="43" t="inlineStr">
        <is>
          <t>Arm Immortalis-G925</t>
        </is>
      </c>
      <c r="L701" s="43" t="inlineStr">
        <is>
          <t>Foldable AMOLED inner + AMOLED cover screen</t>
        </is>
      </c>
      <c r="M701" s="43" t="inlineStr">
        <is>
          <t>1080x2640 inner / 720x748 cover</t>
        </is>
      </c>
      <c r="N701" s="43" t="inlineStr">
        <is>
          <t>USB-C (USB 3.2), nano-SIM + eSIM</t>
        </is>
      </c>
      <c r="O701" s="43" t="inlineStr">
        <is>
          <t>Android 15</t>
        </is>
      </c>
      <c r="P701" s="43" t="n">
        <v>21</v>
      </c>
      <c r="Q701" s="46" t="n">
        <v>191</v>
      </c>
      <c r="R701" s="43" t="inlineStr">
        <is>
          <t>Lower price than Mnemosyne Nova X Flip Foldable Phone [MNE-061-09] ($1,168.99 vs $1,191.99); Lighter than Paean Strata SE Flip Foldable Phone [PAE-066-06] (191 g vs 196 g)</t>
        </is>
      </c>
      <c r="S701" s="43" t="inlineStr">
        <is>
          <t>style, everyday, compact</t>
        </is>
      </c>
      <c r="T701" s="0" t="inlineStr">
        <is>
          <t>in_stock</t>
        </is>
      </c>
      <c r="U701" s="0" t="n">
        <v>30</v>
      </c>
      <c r="V701" s="52" t="n">
        <v>1301.99</v>
      </c>
      <c r="W701" s="0" t="inlineStr">
        <is>
          <t>2026-08-14</t>
        </is>
      </c>
      <c r="X701" s="0" t="inlineStr">
        <is>
          <t>N/A</t>
        </is>
      </c>
      <c r="Y701" s="0" t="inlineStr">
        <is>
          <t>N/A</t>
        </is>
      </c>
      <c r="Z701" s="0" t="inlineStr">
        <is>
          <t>N/A</t>
        </is>
      </c>
      <c r="AA701" s="0" t="inlineStr">
        <is>
          <t>N/A</t>
        </is>
      </c>
    </row>
    <row r="702" ht="15.75" customHeight="1" s="51">
      <c r="A702" s="43" t="inlineStr">
        <is>
          <t>PAN-069-10</t>
        </is>
      </c>
      <c r="B702" s="43" t="inlineStr">
        <is>
          <t>Panacea</t>
        </is>
      </c>
      <c r="C702" s="43" t="inlineStr">
        <is>
          <t>Smartphones &amp; Tablets</t>
        </is>
      </c>
      <c r="D702" s="43" t="inlineStr">
        <is>
          <t>Smartphone</t>
        </is>
      </c>
      <c r="E702" s="44" t="inlineStr">
        <is>
          <t>Panacea Nova Ultra Foldable Phone</t>
        </is>
      </c>
      <c r="F702" s="45" t="n">
        <v>1960.99</v>
      </c>
      <c r="G702" s="43" t="inlineStr">
        <is>
          <t>the Nova Ultra; Panacea Nova Ultra; Panaceaa Nova Ultra; Nova Ultra smartphone</t>
        </is>
      </c>
      <c r="H702" s="43" t="inlineStr">
        <is>
          <t>2 year limited</t>
        </is>
      </c>
      <c r="I702" s="43" t="inlineStr">
        <is>
          <t>FCC, CE, IPX8</t>
        </is>
      </c>
      <c r="J702" s="43" t="inlineStr">
        <is>
          <t>Qualcomm Snapdragon 8 Elite</t>
        </is>
      </c>
      <c r="K702" s="43" t="inlineStr">
        <is>
          <t>Qualcomm Adreno 830</t>
        </is>
      </c>
      <c r="L702" s="43" t="inlineStr">
        <is>
          <t>Foldable LTPO AMOLED inner + AMOLED cover, 120Hz</t>
        </is>
      </c>
      <c r="M702" s="43" t="inlineStr">
        <is>
          <t>2160x1856 inner / 1080x2376 cover</t>
        </is>
      </c>
      <c r="N702" s="43" t="inlineStr">
        <is>
          <t>USB-C (USB 3.2), nano-SIM + eSIM</t>
        </is>
      </c>
      <c r="O702" s="43" t="inlineStr">
        <is>
          <t>Android 15</t>
        </is>
      </c>
      <c r="P702" s="43" t="n">
        <v>25</v>
      </c>
      <c r="Q702" s="46" t="n">
        <v>250</v>
      </c>
      <c r="R702" s="43" t="inlineStr">
        <is>
          <t>Lighter than Epimetheus Echo Pro Foldable Phone [EPI-091-10] (250 g vs 257 g); Longer battery than Leto Core Max Foldable Phone [LET-077-09] (25 vs 24 hrs)</t>
        </is>
      </c>
      <c r="S702" s="43" t="inlineStr">
        <is>
          <t>multitasking, business, media</t>
        </is>
      </c>
      <c r="T702" s="0" t="inlineStr">
        <is>
          <t>low_stock</t>
        </is>
      </c>
      <c r="U702" s="0" t="n">
        <v>30</v>
      </c>
      <c r="V702" s="52" t="n">
        <v>2155.99</v>
      </c>
      <c r="W702" s="0" t="inlineStr">
        <is>
          <t>2026-09-24</t>
        </is>
      </c>
      <c r="X702" s="0" t="inlineStr">
        <is>
          <t>N/A</t>
        </is>
      </c>
      <c r="Y702" s="0" t="inlineStr">
        <is>
          <t>N/A</t>
        </is>
      </c>
      <c r="Z702" s="0" t="inlineStr">
        <is>
          <t>N/A</t>
        </is>
      </c>
      <c r="AA702" s="0" t="inlineStr">
        <is>
          <t>N/A</t>
        </is>
      </c>
    </row>
    <row r="703" ht="15.75" customHeight="1" s="51">
      <c r="A703" s="43" t="inlineStr">
        <is>
          <t>PRO-070-01</t>
        </is>
      </c>
      <c r="B703" s="43" t="inlineStr">
        <is>
          <t>Proteus</t>
        </is>
      </c>
      <c r="C703" s="43" t="inlineStr">
        <is>
          <t>Smartphones &amp; Tablets</t>
        </is>
      </c>
      <c r="D703" s="43" t="inlineStr">
        <is>
          <t>Tablet</t>
        </is>
      </c>
      <c r="E703" s="44" t="inlineStr">
        <is>
          <t>Proteus Sable Ultra Kids Tablet</t>
        </is>
      </c>
      <c r="F703" s="45" t="n">
        <v>90.98999999999999</v>
      </c>
      <c r="G703" s="43" t="inlineStr">
        <is>
          <t>the Sable Ultra; Proteus Sable Ultra; Proteos Sable Ultra; Sable Ultra tablet</t>
        </is>
      </c>
      <c r="H703" s="43" t="inlineStr">
        <is>
          <t>1 year limited</t>
        </is>
      </c>
      <c r="I703" s="43" t="inlineStr">
        <is>
          <t>FCC, CE, TUV Rheinland Low Blue Light, EN 71 Toy Safety</t>
        </is>
      </c>
      <c r="J703" s="43" t="inlineStr">
        <is>
          <t>MediaTek Helio G88</t>
        </is>
      </c>
      <c r="K703" s="43" t="inlineStr">
        <is>
          <t>Arm Mali-G52 MC2</t>
        </is>
      </c>
      <c r="L703" s="43" t="inlineStr">
        <is>
          <t>IPS LCD, 60Hz</t>
        </is>
      </c>
      <c r="M703" s="43" t="inlineStr">
        <is>
          <t>800x1280</t>
        </is>
      </c>
      <c r="N703" s="43" t="inlineStr">
        <is>
          <t>USB-C (USB 2.0), microSD slot</t>
        </is>
      </c>
      <c r="O703" s="43" t="inlineStr">
        <is>
          <t>Android 14 with parental controls</t>
        </is>
      </c>
      <c r="P703" s="43" t="n">
        <v>9</v>
      </c>
      <c r="Q703" s="46" t="n">
        <v>395</v>
      </c>
      <c r="R703" s="43" t="inlineStr">
        <is>
          <t>Lower price than Peitho Axis Lite Kids Tablet [PEI-083-01] ($90.99 vs $125.99); Longer battery than Alpheus Onyx Kids Tablet [ALP-082-01] (9 vs 8 hrs)</t>
        </is>
      </c>
      <c r="S703" s="43" t="inlineStr">
        <is>
          <t>kids, learning, games</t>
        </is>
      </c>
      <c r="T703" s="0" t="inlineStr">
        <is>
          <t>in_stock</t>
        </is>
      </c>
      <c r="U703" s="0" t="n">
        <v>30</v>
      </c>
      <c r="V703" s="52" t="n">
        <v>98.98999999999999</v>
      </c>
      <c r="W703" s="0" t="inlineStr">
        <is>
          <t>2026-08-23</t>
        </is>
      </c>
      <c r="X703" s="0" t="inlineStr">
        <is>
          <t>N/A</t>
        </is>
      </c>
      <c r="Y703" s="0" t="inlineStr">
        <is>
          <t>N/A</t>
        </is>
      </c>
      <c r="Z703" s="0" t="inlineStr">
        <is>
          <t>N/A</t>
        </is>
      </c>
      <c r="AA703" s="0" t="inlineStr">
        <is>
          <t>N/A</t>
        </is>
      </c>
    </row>
    <row r="704" ht="15.75" customHeight="1" s="51">
      <c r="A704" s="43" t="inlineStr">
        <is>
          <t>PRO-070-02</t>
        </is>
      </c>
      <c r="B704" s="43" t="inlineStr">
        <is>
          <t>Proteus</t>
        </is>
      </c>
      <c r="C704" s="43" t="inlineStr">
        <is>
          <t>Smartphones &amp; Tablets</t>
        </is>
      </c>
      <c r="D704" s="43" t="inlineStr">
        <is>
          <t>Smartphone</t>
        </is>
      </c>
      <c r="E704" s="44" t="inlineStr">
        <is>
          <t>Proteus Rift Pro Budget Smartphone</t>
        </is>
      </c>
      <c r="F704" s="45" t="n">
        <v>373.99</v>
      </c>
      <c r="G704" s="43" t="inlineStr">
        <is>
          <t>the Rift Pro; Proteus Rift Pro; Proteos Rift Pro; Rift Pro smartphone</t>
        </is>
      </c>
      <c r="H704" s="43" t="inlineStr">
        <is>
          <t>2 year limited</t>
        </is>
      </c>
      <c r="I704" s="43" t="inlineStr">
        <is>
          <t>FCC, CE, IP54</t>
        </is>
      </c>
      <c r="J704" s="43" t="inlineStr">
        <is>
          <t>MediaTek Dimensity 7300</t>
        </is>
      </c>
      <c r="K704" s="43" t="inlineStr">
        <is>
          <t>Arm Mali-G615 MC2</t>
        </is>
      </c>
      <c r="L704" s="43" t="inlineStr">
        <is>
          <t>AMOLED, 120Hz</t>
        </is>
      </c>
      <c r="M704" s="43" t="inlineStr">
        <is>
          <t>1080x2400</t>
        </is>
      </c>
      <c r="N704" s="43" t="inlineStr">
        <is>
          <t>USB-C (USB 2.0), nano-SIM + eSIM, 3.5mm headphone jack, microSD slot</t>
        </is>
      </c>
      <c r="O704" s="43" t="inlineStr">
        <is>
          <t>Android 15</t>
        </is>
      </c>
      <c r="P704" s="43" t="n">
        <v>26</v>
      </c>
      <c r="Q704" s="46" t="n">
        <v>209</v>
      </c>
      <c r="R704" s="43" t="inlineStr">
        <is>
          <t>Longer battery than Leto Core Pro Budget Smartphone [LET-077-02] (26 vs 21 hrs); Lower price than Aether Titan X Budget Smartphone [AET-080-02] ($373.99 vs $393.99)</t>
        </is>
      </c>
      <c r="S704" s="43" t="inlineStr">
        <is>
          <t>budget, first phone, everyday</t>
        </is>
      </c>
      <c r="T704" s="0" t="inlineStr">
        <is>
          <t>in_stock</t>
        </is>
      </c>
      <c r="U704" s="0" t="n">
        <v>30</v>
      </c>
      <c r="V704" s="52" t="n">
        <v>414.99</v>
      </c>
      <c r="W704" s="0" t="inlineStr">
        <is>
          <t>2026-09-05</t>
        </is>
      </c>
      <c r="X704" s="0" t="inlineStr">
        <is>
          <t>N/A</t>
        </is>
      </c>
      <c r="Y704" s="0" t="inlineStr">
        <is>
          <t>N/A</t>
        </is>
      </c>
      <c r="Z704" s="0" t="inlineStr">
        <is>
          <t>N/A</t>
        </is>
      </c>
      <c r="AA704" s="0" t="inlineStr">
        <is>
          <t>N/A</t>
        </is>
      </c>
    </row>
    <row r="705" ht="15.75" customHeight="1" s="51">
      <c r="A705" s="43" t="inlineStr">
        <is>
          <t>PRO-070-03</t>
        </is>
      </c>
      <c r="B705" s="43" t="inlineStr">
        <is>
          <t>Proteus</t>
        </is>
      </c>
      <c r="C705" s="43" t="inlineStr">
        <is>
          <t>Smartphones &amp; Tablets</t>
        </is>
      </c>
      <c r="D705" s="43" t="inlineStr">
        <is>
          <t>Tablet</t>
        </is>
      </c>
      <c r="E705" s="44" t="inlineStr">
        <is>
          <t>Proteus Volt Air Drawing Tablet with Stylus</t>
        </is>
      </c>
      <c r="F705" s="45" t="n">
        <v>665.99</v>
      </c>
      <c r="G705" s="43" t="inlineStr">
        <is>
          <t>the Volt Air; Proteus Volt Air; Proteuus Volt Air; Volt Air tablet</t>
        </is>
      </c>
      <c r="H705" s="43" t="inlineStr">
        <is>
          <t>1 year limited</t>
        </is>
      </c>
      <c r="I705" s="43" t="inlineStr">
        <is>
          <t>FCC, CE, TUV Rheinland Low Blue Light</t>
        </is>
      </c>
      <c r="J705" s="43" t="inlineStr">
        <is>
          <t>MediaTek Dimensity 8300</t>
        </is>
      </c>
      <c r="K705" s="43" t="inlineStr">
        <is>
          <t>Arm Mali-G615 MC6</t>
        </is>
      </c>
      <c r="L705" s="43" t="inlineStr">
        <is>
          <t>IPS LCD anti-glare, pen digitizer</t>
        </is>
      </c>
      <c r="M705" s="43" t="inlineStr">
        <is>
          <t>2000x1200</t>
        </is>
      </c>
      <c r="N705" s="43" t="inlineStr">
        <is>
          <t>USB-C (USB 2.0), microSD slot</t>
        </is>
      </c>
      <c r="O705" s="43" t="inlineStr">
        <is>
          <t>Android 15</t>
        </is>
      </c>
      <c r="P705" s="43" t="n">
        <v>9</v>
      </c>
      <c r="Q705" s="46" t="n">
        <v>580</v>
      </c>
      <c r="R705" s="43" t="inlineStr">
        <is>
          <t>Lower price than Hephaestus Flux Drawing Tablet with Stylus [HEP-076-07] ($665.99 vs $767.99); Lighter than Iapetus Aria Drawing Tablet with Stylus [IAP-096-06] (580 g vs 605 g)</t>
        </is>
      </c>
      <c r="S705" s="43" t="inlineStr">
        <is>
          <t>drawing, design, note-taking</t>
        </is>
      </c>
      <c r="T705" s="0" t="inlineStr">
        <is>
          <t>in_stock</t>
        </is>
      </c>
      <c r="U705" s="0" t="n">
        <v>30</v>
      </c>
      <c r="V705" s="52" t="n">
        <v>731.99</v>
      </c>
      <c r="W705" s="0" t="inlineStr">
        <is>
          <t>2026-09-13</t>
        </is>
      </c>
      <c r="X705" s="0" t="inlineStr">
        <is>
          <t>N/A</t>
        </is>
      </c>
      <c r="Y705" s="0" t="inlineStr">
        <is>
          <t>N/A</t>
        </is>
      </c>
      <c r="Z705" s="0" t="inlineStr">
        <is>
          <t>N/A</t>
        </is>
      </c>
      <c r="AA705" s="0" t="inlineStr">
        <is>
          <t>N/A</t>
        </is>
      </c>
    </row>
    <row r="706" ht="15.75" customHeight="1" s="51">
      <c r="A706" s="43" t="inlineStr">
        <is>
          <t>PRO-070-04</t>
        </is>
      </c>
      <c r="B706" s="43" t="inlineStr">
        <is>
          <t>Proteus</t>
        </is>
      </c>
      <c r="C706" s="43" t="inlineStr">
        <is>
          <t>Smartphones &amp; Tablets</t>
        </is>
      </c>
      <c r="D706" s="43" t="inlineStr">
        <is>
          <t>Tablet</t>
        </is>
      </c>
      <c r="E706" s="44" t="inlineStr">
        <is>
          <t>Proteus Crest Pro 11" Tablet</t>
        </is>
      </c>
      <c r="F706" s="45" t="n">
        <v>684.99</v>
      </c>
      <c r="G706" s="43" t="inlineStr">
        <is>
          <t>the Crest Pro; Proteus Crest Pro; Proteuus Crest Pro; Crest Pro tablet</t>
        </is>
      </c>
      <c r="H706" s="43" t="inlineStr">
        <is>
          <t>2 year limited</t>
        </is>
      </c>
      <c r="I706" s="43" t="inlineStr">
        <is>
          <t>FCC, CE, Energy Star</t>
        </is>
      </c>
      <c r="J706" s="43" t="inlineStr">
        <is>
          <t>MediaTek Dimensity 8300</t>
        </is>
      </c>
      <c r="K706" s="43" t="inlineStr">
        <is>
          <t>Arm Mali-G615 MC6</t>
        </is>
      </c>
      <c r="L706" s="43" t="inlineStr">
        <is>
          <t>OLED, 120Hz</t>
        </is>
      </c>
      <c r="M706" s="43" t="inlineStr">
        <is>
          <t>1752x2800</t>
        </is>
      </c>
      <c r="N706" s="43" t="inlineStr">
        <is>
          <t>USB-C (USB 2.0), microSD slot</t>
        </is>
      </c>
      <c r="O706" s="43" t="inlineStr">
        <is>
          <t>Android 15</t>
        </is>
      </c>
      <c r="P706" s="43" t="n">
        <v>14</v>
      </c>
      <c r="Q706" s="46" t="n">
        <v>468</v>
      </c>
      <c r="R706" s="43" t="inlineStr">
        <is>
          <t>Lighter than Adrastea Blaze 11" Tablet [ADR-094-05] (468 g vs 508 g); Lower price than Phorcys Aeon Plus 11" Tablet [PHO-087-05] ($684.99 vs $702.99)</t>
        </is>
      </c>
      <c r="S706" s="43" t="inlineStr">
        <is>
          <t>school, streaming, reading</t>
        </is>
      </c>
      <c r="T706" s="0" t="inlineStr">
        <is>
          <t>in_stock</t>
        </is>
      </c>
      <c r="U706" s="0" t="n">
        <v>30</v>
      </c>
      <c r="V706" s="52" t="n">
        <v>780.99</v>
      </c>
      <c r="W706" s="0" t="inlineStr">
        <is>
          <t>2026-09-24</t>
        </is>
      </c>
      <c r="X706" s="0" t="inlineStr">
        <is>
          <t>N/A</t>
        </is>
      </c>
      <c r="Y706" s="0" t="inlineStr">
        <is>
          <t>N/A</t>
        </is>
      </c>
      <c r="Z706" s="0" t="inlineStr">
        <is>
          <t>N/A</t>
        </is>
      </c>
      <c r="AA706" s="0" t="inlineStr">
        <is>
          <t>N/A</t>
        </is>
      </c>
    </row>
    <row r="707" ht="15.75" customHeight="1" s="51">
      <c r="A707" s="43" t="inlineStr">
        <is>
          <t>PRO-070-05</t>
        </is>
      </c>
      <c r="B707" s="43" t="inlineStr">
        <is>
          <t>Proteus</t>
        </is>
      </c>
      <c r="C707" s="43" t="inlineStr">
        <is>
          <t>Smartphones &amp; Tablets</t>
        </is>
      </c>
      <c r="D707" s="43" t="inlineStr">
        <is>
          <t>Tablet</t>
        </is>
      </c>
      <c r="E707" s="44" t="inlineStr">
        <is>
          <t>Proteus Rift Pro 5G Tablet</t>
        </is>
      </c>
      <c r="F707" s="45" t="n">
        <v>904.99</v>
      </c>
      <c r="G707" s="43" t="inlineStr">
        <is>
          <t>the Rift Pro; Proteus Rift Pro; Proteuss Rift Pro; Rift Pro tablet</t>
        </is>
      </c>
      <c r="H707" s="43" t="inlineStr">
        <is>
          <t>1 year limited</t>
        </is>
      </c>
      <c r="I707" s="43" t="inlineStr">
        <is>
          <t>FCC, CE, Energy Star</t>
        </is>
      </c>
      <c r="J707" s="43" t="inlineStr">
        <is>
          <t>Qualcomm Snapdragon 8 Gen 3</t>
        </is>
      </c>
      <c r="K707" s="43" t="inlineStr">
        <is>
          <t>Qualcomm Adreno 750</t>
        </is>
      </c>
      <c r="L707" s="43" t="inlineStr">
        <is>
          <t>OLED, 120Hz</t>
        </is>
      </c>
      <c r="M707" s="43" t="inlineStr">
        <is>
          <t>1752x2800</t>
        </is>
      </c>
      <c r="N707" s="43" t="inlineStr">
        <is>
          <t>USB-C (USB 3.2), magnetic keyboard connector, nano-SIM + eSIM</t>
        </is>
      </c>
      <c r="O707" s="43" t="inlineStr">
        <is>
          <t>Android 15</t>
        </is>
      </c>
      <c r="P707" s="43" t="n">
        <v>14</v>
      </c>
      <c r="Q707" s="46" t="n">
        <v>488</v>
      </c>
      <c r="R707" s="43" t="inlineStr">
        <is>
          <t>Lower price than Hecate Rift 5G Tablet [HEC-052-07] ($904.99 vs $1,012.99); Lighter than Eunomia Volt Air 5G Tablet [EUN-056-08] (488 g vs 495 g)</t>
        </is>
      </c>
      <c r="S707" s="43" t="inlineStr">
        <is>
          <t>travel, streaming, work on the go</t>
        </is>
      </c>
      <c r="T707" s="0" t="inlineStr">
        <is>
          <t>in_stock</t>
        </is>
      </c>
      <c r="U707" s="0" t="n">
        <v>30</v>
      </c>
      <c r="V707" s="52" t="n">
        <v>1019.99</v>
      </c>
      <c r="W707" s="0" t="inlineStr">
        <is>
          <t>2026-09-01</t>
        </is>
      </c>
      <c r="X707" s="0" t="inlineStr">
        <is>
          <t>N/A</t>
        </is>
      </c>
      <c r="Y707" s="0" t="inlineStr">
        <is>
          <t>N/A</t>
        </is>
      </c>
      <c r="Z707" s="0" t="inlineStr">
        <is>
          <t>N/A</t>
        </is>
      </c>
      <c r="AA707" s="0" t="inlineStr">
        <is>
          <t>N/A</t>
        </is>
      </c>
    </row>
    <row r="708" ht="15.75" customHeight="1" s="51">
      <c r="A708" s="43" t="inlineStr">
        <is>
          <t>PRO-070-06</t>
        </is>
      </c>
      <c r="B708" s="43" t="inlineStr">
        <is>
          <t>Proteus</t>
        </is>
      </c>
      <c r="C708" s="43" t="inlineStr">
        <is>
          <t>Smartphones &amp; Tablets</t>
        </is>
      </c>
      <c r="D708" s="43" t="inlineStr">
        <is>
          <t>Smartphone</t>
        </is>
      </c>
      <c r="E708" s="44" t="inlineStr">
        <is>
          <t>Proteus Zen Max Flip Foldable Phone</t>
        </is>
      </c>
      <c r="F708" s="45" t="n">
        <v>1080.99</v>
      </c>
      <c r="G708" s="43" t="inlineStr">
        <is>
          <t>the Zen Max; Proteus Zen Max; Proteos Zen Max; Zen Max smartphone</t>
        </is>
      </c>
      <c r="H708" s="43" t="inlineStr">
        <is>
          <t>2 year limited</t>
        </is>
      </c>
      <c r="I708" s="43" t="inlineStr">
        <is>
          <t>FCC, CE, IPX8</t>
        </is>
      </c>
      <c r="J708" s="43" t="inlineStr">
        <is>
          <t>MediaTek Dimensity 9400</t>
        </is>
      </c>
      <c r="K708" s="43" t="inlineStr">
        <is>
          <t>Arm Immortalis-G925</t>
        </is>
      </c>
      <c r="L708" s="43" t="inlineStr">
        <is>
          <t>Foldable AMOLED inner + AMOLED cover screen</t>
        </is>
      </c>
      <c r="M708" s="43" t="inlineStr">
        <is>
          <t>1080x2640 inner / 720x748 cover</t>
        </is>
      </c>
      <c r="N708" s="43" t="inlineStr">
        <is>
          <t>USB-C (USB 3.2), nano-SIM + eSIM</t>
        </is>
      </c>
      <c r="O708" s="43" t="inlineStr">
        <is>
          <t>Android 15</t>
        </is>
      </c>
      <c r="P708" s="43" t="n">
        <v>16</v>
      </c>
      <c r="Q708" s="46" t="n">
        <v>186</v>
      </c>
      <c r="R708" s="43" t="inlineStr">
        <is>
          <t>Lower price than Triton Onyx Flip Foldable Phone [TRI-092-08] ($1,080.99 vs $1,122.99); Lighter than Plutus Arc Max Flip Foldable Phone [PLU-100-07] (186 g vs 199 g)</t>
        </is>
      </c>
      <c r="S708" s="43" t="inlineStr">
        <is>
          <t>style, everyday, compact</t>
        </is>
      </c>
      <c r="T708" s="0" t="inlineStr">
        <is>
          <t>in_stock</t>
        </is>
      </c>
      <c r="U708" s="0" t="n">
        <v>30</v>
      </c>
      <c r="V708" s="52" t="n">
        <v>1232.99</v>
      </c>
      <c r="W708" s="0" t="inlineStr">
        <is>
          <t>2026-08-04</t>
        </is>
      </c>
      <c r="X708" s="0" t="inlineStr">
        <is>
          <t>N/A</t>
        </is>
      </c>
      <c r="Y708" s="0" t="inlineStr">
        <is>
          <t>N/A</t>
        </is>
      </c>
      <c r="Z708" s="0" t="inlineStr">
        <is>
          <t>N/A</t>
        </is>
      </c>
      <c r="AA708" s="0" t="inlineStr">
        <is>
          <t>N/A</t>
        </is>
      </c>
    </row>
    <row r="709" ht="15.75" customHeight="1" s="51">
      <c r="A709" s="43" t="inlineStr">
        <is>
          <t>PRO-070-07</t>
        </is>
      </c>
      <c r="B709" s="43" t="inlineStr">
        <is>
          <t>Proteus</t>
        </is>
      </c>
      <c r="C709" s="43" t="inlineStr">
        <is>
          <t>Smartphones &amp; Tablets</t>
        </is>
      </c>
      <c r="D709" s="43" t="inlineStr">
        <is>
          <t>Smartphone</t>
        </is>
      </c>
      <c r="E709" s="44" t="inlineStr">
        <is>
          <t>Proteus Volt Max Flagship Smartphone</t>
        </is>
      </c>
      <c r="F709" s="45" t="n">
        <v>1130.99</v>
      </c>
      <c r="G709" s="43" t="inlineStr">
        <is>
          <t>the Volt Max; Proteus Volt Max; Proteuus Volt Max; Volt Max smartphone</t>
        </is>
      </c>
      <c r="H709" s="43" t="inlineStr">
        <is>
          <t>1 year limited</t>
        </is>
      </c>
      <c r="I709" s="43" t="inlineStr">
        <is>
          <t>FCC, CE, IP68, Qi2</t>
        </is>
      </c>
      <c r="J709" s="43" t="inlineStr">
        <is>
          <t>MediaTek Dimensity 9400</t>
        </is>
      </c>
      <c r="K709" s="43" t="inlineStr">
        <is>
          <t>Arm Immortalis-G925</t>
        </is>
      </c>
      <c r="L709" s="43" t="inlineStr">
        <is>
          <t>LTPO AMOLED, 1-120Hz</t>
        </is>
      </c>
      <c r="M709" s="43" t="inlineStr">
        <is>
          <t>1440x3120</t>
        </is>
      </c>
      <c r="N709" s="43" t="inlineStr">
        <is>
          <t>USB-C (USB 3.2), nano-SIM + eSIM</t>
        </is>
      </c>
      <c r="O709" s="43" t="inlineStr">
        <is>
          <t>Android 15</t>
        </is>
      </c>
      <c r="P709" s="43" t="n">
        <v>28</v>
      </c>
      <c r="Q709" s="46" t="n">
        <v>176</v>
      </c>
      <c r="R709" s="43" t="inlineStr">
        <is>
          <t>Lighter than Pothos Axis Lite Flagship Smartphone [POT-072-05] (176 g vs 181 g); Longer battery than Triton Crest Lite Flagship Smartphone [TRI-092-07] (28 vs 22 hrs)</t>
        </is>
      </c>
      <c r="S709" s="43" t="inlineStr">
        <is>
          <t>photography, everyday, business</t>
        </is>
      </c>
      <c r="T709" s="0" t="inlineStr">
        <is>
          <t>in_stock</t>
        </is>
      </c>
      <c r="U709" s="0" t="n">
        <v>30</v>
      </c>
      <c r="V709" s="52" t="n">
        <v>1290.99</v>
      </c>
      <c r="W709" s="0" t="inlineStr">
        <is>
          <t>2026-09-06</t>
        </is>
      </c>
      <c r="X709" s="0" t="inlineStr">
        <is>
          <t>N/A</t>
        </is>
      </c>
      <c r="Y709" s="0" t="inlineStr">
        <is>
          <t>N/A</t>
        </is>
      </c>
      <c r="Z709" s="0" t="inlineStr">
        <is>
          <t>N/A</t>
        </is>
      </c>
      <c r="AA709" s="0" t="inlineStr">
        <is>
          <t>N/A</t>
        </is>
      </c>
    </row>
    <row r="710" ht="15.75" customHeight="1" s="51">
      <c r="A710" s="43" t="inlineStr">
        <is>
          <t>PRO-070-08</t>
        </is>
      </c>
      <c r="B710" s="43" t="inlineStr">
        <is>
          <t>Proteus</t>
        </is>
      </c>
      <c r="C710" s="43" t="inlineStr">
        <is>
          <t>Smartphones &amp; Tablets</t>
        </is>
      </c>
      <c r="D710" s="43" t="inlineStr">
        <is>
          <t>Smartphone</t>
        </is>
      </c>
      <c r="E710" s="44" t="inlineStr">
        <is>
          <t>Proteus Spark Ultra Pro Max Smartphone</t>
        </is>
      </c>
      <c r="F710" s="45" t="n">
        <v>1549.99</v>
      </c>
      <c r="G710" s="43" t="inlineStr">
        <is>
          <t>the Spark Ultra; Proteus Spark Ultra; Porteus Spark Ultra; Spark Ultra smartphone</t>
        </is>
      </c>
      <c r="H710" s="43" t="inlineStr">
        <is>
          <t>2 year limited</t>
        </is>
      </c>
      <c r="I710" s="43" t="inlineStr">
        <is>
          <t>FCC, CE, IP68, Qi2</t>
        </is>
      </c>
      <c r="J710" s="43" t="inlineStr">
        <is>
          <t>Qualcomm Snapdragon 8 Elite</t>
        </is>
      </c>
      <c r="K710" s="43" t="inlineStr">
        <is>
          <t>Qualcomm Adreno 830</t>
        </is>
      </c>
      <c r="L710" s="43" t="inlineStr">
        <is>
          <t>LTPO AMOLED, 1-120Hz</t>
        </is>
      </c>
      <c r="M710" s="43" t="inlineStr">
        <is>
          <t>1440x3120</t>
        </is>
      </c>
      <c r="N710" s="43" t="inlineStr">
        <is>
          <t>USB-C (USB 3.2), nano-SIM + eSIM</t>
        </is>
      </c>
      <c r="O710" s="43" t="inlineStr">
        <is>
          <t>Android 15</t>
        </is>
      </c>
      <c r="P710" s="43" t="n">
        <v>33</v>
      </c>
      <c r="Q710" s="46" t="n">
        <v>232</v>
      </c>
      <c r="R710" s="43" t="inlineStr">
        <is>
          <t>Longer battery than Nemesis Titan Max Pro Max Smartphone [NEM-051-09] (33 vs 32 hrs); Lighter than Coeus Aeon Ultra Pro Max Smartphone [COE-075-10] (232 g vs 234 g)</t>
        </is>
      </c>
      <c r="S710" s="43" t="inlineStr">
        <is>
          <t>photography, video, mobile gaming</t>
        </is>
      </c>
      <c r="T710" s="0" t="inlineStr">
        <is>
          <t>out_of_stock</t>
        </is>
      </c>
      <c r="U710" s="0" t="n">
        <v>30</v>
      </c>
      <c r="V710" s="52" t="n">
        <v>1678.99</v>
      </c>
      <c r="W710" s="0" t="inlineStr">
        <is>
          <t>2026-08-30</t>
        </is>
      </c>
      <c r="X710" s="0" t="inlineStr">
        <is>
          <t>N/A</t>
        </is>
      </c>
      <c r="Y710" s="0" t="inlineStr">
        <is>
          <t>N/A</t>
        </is>
      </c>
      <c r="Z710" s="0" t="inlineStr">
        <is>
          <t>N/A</t>
        </is>
      </c>
      <c r="AA710" s="0" t="inlineStr">
        <is>
          <t>N/A</t>
        </is>
      </c>
    </row>
    <row r="711" ht="15.75" customHeight="1" s="51">
      <c r="A711" s="43" t="inlineStr">
        <is>
          <t>PRO-070-09</t>
        </is>
      </c>
      <c r="B711" s="43" t="inlineStr">
        <is>
          <t>Proteus</t>
        </is>
      </c>
      <c r="C711" s="43" t="inlineStr">
        <is>
          <t>Smartphones &amp; Tablets</t>
        </is>
      </c>
      <c r="D711" s="43" t="inlineStr">
        <is>
          <t>Smartphone</t>
        </is>
      </c>
      <c r="E711" s="44" t="inlineStr">
        <is>
          <t>Proteus Aeon Air Foldable Phone</t>
        </is>
      </c>
      <c r="F711" s="45" t="n">
        <v>1687.99</v>
      </c>
      <c r="G711" s="43" t="inlineStr">
        <is>
          <t>the Aeon Air; Proteus Aeon Air; Porteus Aeon Air; Aeon Air smartphone</t>
        </is>
      </c>
      <c r="H711" s="43" t="inlineStr">
        <is>
          <t>1 year limited</t>
        </is>
      </c>
      <c r="I711" s="43" t="inlineStr">
        <is>
          <t>FCC, CE, IPX8</t>
        </is>
      </c>
      <c r="J711" s="43" t="inlineStr">
        <is>
          <t>Qualcomm Snapdragon 8 Elite</t>
        </is>
      </c>
      <c r="K711" s="43" t="inlineStr">
        <is>
          <t>Qualcomm Adreno 830</t>
        </is>
      </c>
      <c r="L711" s="43" t="inlineStr">
        <is>
          <t>Foldable LTPO AMOLED inner + AMOLED cover, 120Hz</t>
        </is>
      </c>
      <c r="M711" s="43" t="inlineStr">
        <is>
          <t>2160x1856 inner / 1080x2376 cover</t>
        </is>
      </c>
      <c r="N711" s="43" t="inlineStr">
        <is>
          <t>USB-C (USB 3.2), nano-SIM + eSIM</t>
        </is>
      </c>
      <c r="O711" s="43" t="inlineStr">
        <is>
          <t>Android 15</t>
        </is>
      </c>
      <c r="P711" s="43" t="n">
        <v>20</v>
      </c>
      <c r="Q711" s="46" t="n">
        <v>260</v>
      </c>
      <c r="R711" s="43" t="inlineStr">
        <is>
          <t>Lower price than Theia Volt Ultra Foldable Phone [THE-081-10] ($1,687.99 vs $1,792.99); Lighter than Arete Axis Plus Foldable Phone [ARE-054-10] (260 g vs 267 g)</t>
        </is>
      </c>
      <c r="S711" s="43" t="inlineStr">
        <is>
          <t>multitasking, business, media</t>
        </is>
      </c>
      <c r="T711" s="0" t="inlineStr">
        <is>
          <t>in_stock</t>
        </is>
      </c>
      <c r="U711" s="0" t="n">
        <v>30</v>
      </c>
      <c r="V711" s="52" t="n">
        <v>1739.99</v>
      </c>
      <c r="W711" s="0" t="inlineStr">
        <is>
          <t>2026-09-05</t>
        </is>
      </c>
      <c r="X711" s="0" t="inlineStr">
        <is>
          <t>N/A</t>
        </is>
      </c>
      <c r="Y711" s="0" t="inlineStr">
        <is>
          <t>N/A</t>
        </is>
      </c>
      <c r="Z711" s="0" t="inlineStr">
        <is>
          <t>N/A</t>
        </is>
      </c>
      <c r="AA711" s="0" t="inlineStr">
        <is>
          <t>N/A</t>
        </is>
      </c>
    </row>
    <row r="712" ht="15.75" customHeight="1" s="51">
      <c r="A712" s="43" t="inlineStr">
        <is>
          <t>PRO-070-10</t>
        </is>
      </c>
      <c r="B712" s="43" t="inlineStr">
        <is>
          <t>Proteus</t>
        </is>
      </c>
      <c r="C712" s="43" t="inlineStr">
        <is>
          <t>Smartphones &amp; Tablets</t>
        </is>
      </c>
      <c r="D712" s="43" t="inlineStr">
        <is>
          <t>Tablet</t>
        </is>
      </c>
      <c r="E712" s="44" t="inlineStr">
        <is>
          <t>Proteus Aria Plus 13" Pro Tablet</t>
        </is>
      </c>
      <c r="F712" s="45" t="n">
        <v>1777.99</v>
      </c>
      <c r="G712" s="43" t="inlineStr">
        <is>
          <t>the Aria Plus; Proteus Aria Plus; Proetus Aria Plus; Aria Plus tablet</t>
        </is>
      </c>
      <c r="H712" s="43" t="inlineStr">
        <is>
          <t>2 year limited</t>
        </is>
      </c>
      <c r="I712" s="43" t="inlineStr">
        <is>
          <t>FCC, CE, Energy Star</t>
        </is>
      </c>
      <c r="J712" s="43" t="inlineStr">
        <is>
          <t>Qualcomm Snapdragon 8 Elite</t>
        </is>
      </c>
      <c r="K712" s="43" t="inlineStr">
        <is>
          <t>Qualcomm Adreno 830</t>
        </is>
      </c>
      <c r="L712" s="43" t="inlineStr">
        <is>
          <t>Mini-LED, 144Hz</t>
        </is>
      </c>
      <c r="M712" s="43" t="inlineStr">
        <is>
          <t>2960x1848</t>
        </is>
      </c>
      <c r="N712" s="43" t="inlineStr">
        <is>
          <t>USB-C (USB 3.2), magnetic keyboard connector</t>
        </is>
      </c>
      <c r="O712" s="43" t="inlineStr">
        <is>
          <t>Android 15</t>
        </is>
      </c>
      <c r="P712" s="43" t="n">
        <v>10</v>
      </c>
      <c r="Q712" s="46" t="n">
        <v>597</v>
      </c>
      <c r="R712" s="43" t="inlineStr">
        <is>
          <t>Lighter than Hypnos Aeon Air 13" Pro Tablet [HYP-059-09] (597 g vs 655 g); Longer battery than Leucothea Aeon Plus 13" Pro Tablet [LEU-095-08] (10 vs 9 hrs)</t>
        </is>
      </c>
      <c r="S712" s="43" t="inlineStr">
        <is>
          <t>creative work, productivity, drawing</t>
        </is>
      </c>
      <c r="T712" s="0" t="inlineStr">
        <is>
          <t>in_stock</t>
        </is>
      </c>
      <c r="U712" s="0" t="n">
        <v>30</v>
      </c>
      <c r="V712" s="52" t="n">
        <v>1927.99</v>
      </c>
      <c r="W712" s="0" t="inlineStr">
        <is>
          <t>2026-09-17</t>
        </is>
      </c>
      <c r="X712" s="0" t="inlineStr">
        <is>
          <t>N/A</t>
        </is>
      </c>
      <c r="Y712" s="0" t="inlineStr">
        <is>
          <t>N/A</t>
        </is>
      </c>
      <c r="Z712" s="0" t="inlineStr">
        <is>
          <t>N/A</t>
        </is>
      </c>
      <c r="AA712" s="0" t="inlineStr">
        <is>
          <t>N/A</t>
        </is>
      </c>
    </row>
    <row r="713" ht="15.75" customHeight="1" s="51">
      <c r="A713" s="43" t="inlineStr">
        <is>
          <t>LAC-071-01</t>
        </is>
      </c>
      <c r="B713" s="43" t="inlineStr">
        <is>
          <t>Lachesis</t>
        </is>
      </c>
      <c r="C713" s="43" t="inlineStr">
        <is>
          <t>Smartphones &amp; Tablets</t>
        </is>
      </c>
      <c r="D713" s="43" t="inlineStr">
        <is>
          <t>Tablet</t>
        </is>
      </c>
      <c r="E713" s="44" t="inlineStr">
        <is>
          <t>Lachesis Vibe Air 8" Mini Tablet</t>
        </is>
      </c>
      <c r="F713" s="45" t="n">
        <v>284.99</v>
      </c>
      <c r="G713" s="43" t="inlineStr">
        <is>
          <t>the Vibe Air; Lachesis Vibe Air; Lachesiss Vibe Air; Vibe Air tablet</t>
        </is>
      </c>
      <c r="H713" s="43" t="inlineStr">
        <is>
          <t>1 year limited</t>
        </is>
      </c>
      <c r="I713" s="43" t="inlineStr">
        <is>
          <t>FCC, CE, TUV Rheinland Low Blue Light</t>
        </is>
      </c>
      <c r="J713" s="43" t="inlineStr">
        <is>
          <t>Qualcomm Snapdragon 6 Gen 1</t>
        </is>
      </c>
      <c r="K713" s="43" t="inlineStr">
        <is>
          <t>Qualcomm Adreno 710</t>
        </is>
      </c>
      <c r="L713" s="43" t="inlineStr">
        <is>
          <t>IPS LCD, 60Hz</t>
        </is>
      </c>
      <c r="M713" s="43" t="inlineStr">
        <is>
          <t>1200x1920</t>
        </is>
      </c>
      <c r="N713" s="43" t="inlineStr">
        <is>
          <t>USB-C (USB 2.0), microSD slot</t>
        </is>
      </c>
      <c r="O713" s="43" t="inlineStr">
        <is>
          <t>Android 15</t>
        </is>
      </c>
      <c r="P713" s="43" t="n">
        <v>10</v>
      </c>
      <c r="Q713" s="46" t="n">
        <v>333</v>
      </c>
      <c r="R713" s="43" t="inlineStr">
        <is>
          <t>Longer battery than Nemesis Arc Ultra 8" Mini Tablet [NEM-051-01] (10 vs 9 hrs); Lower price than Circe Spark 8" Mini Tablet [CIR-068-02] ($284.99 vs $482.99)</t>
        </is>
      </c>
      <c r="S713" s="43" t="inlineStr">
        <is>
          <t>reading, travel, gaming</t>
        </is>
      </c>
      <c r="T713" s="0" t="inlineStr">
        <is>
          <t>in_stock</t>
        </is>
      </c>
      <c r="U713" s="0" t="n">
        <v>30</v>
      </c>
      <c r="V713" s="52" t="n">
        <v>295.99</v>
      </c>
      <c r="W713" s="0" t="inlineStr">
        <is>
          <t>2026-09-20</t>
        </is>
      </c>
      <c r="X713" s="0" t="inlineStr">
        <is>
          <t>N/A</t>
        </is>
      </c>
      <c r="Y713" s="0" t="inlineStr">
        <is>
          <t>N/A</t>
        </is>
      </c>
      <c r="Z713" s="0" t="inlineStr">
        <is>
          <t>N/A</t>
        </is>
      </c>
      <c r="AA713" s="0" t="inlineStr">
        <is>
          <t>N/A</t>
        </is>
      </c>
    </row>
    <row r="714" ht="15.75" customHeight="1" s="51">
      <c r="A714" s="43" t="inlineStr">
        <is>
          <t>LAC-071-02</t>
        </is>
      </c>
      <c r="B714" s="43" t="inlineStr">
        <is>
          <t>Lachesis</t>
        </is>
      </c>
      <c r="C714" s="43" t="inlineStr">
        <is>
          <t>Smartphones &amp; Tablets</t>
        </is>
      </c>
      <c r="D714" s="43" t="inlineStr">
        <is>
          <t>Smartphone</t>
        </is>
      </c>
      <c r="E714" s="44" t="inlineStr">
        <is>
          <t>Lachesis Prism Lite Budget Smartphone</t>
        </is>
      </c>
      <c r="F714" s="45" t="n">
        <v>341.99</v>
      </c>
      <c r="G714" s="43" t="inlineStr">
        <is>
          <t>the Prism Lite; Lachesis Prism Lite; Lachesi Prism Lite; Prism Lite smartphone</t>
        </is>
      </c>
      <c r="H714" s="43" t="inlineStr">
        <is>
          <t>2 year limited</t>
        </is>
      </c>
      <c r="I714" s="43" t="inlineStr">
        <is>
          <t>FCC, CE, IP54</t>
        </is>
      </c>
      <c r="J714" s="43" t="inlineStr">
        <is>
          <t>Qualcomm Snapdragon 6 Gen 1</t>
        </is>
      </c>
      <c r="K714" s="43" t="inlineStr">
        <is>
          <t>Qualcomm Adreno 710</t>
        </is>
      </c>
      <c r="L714" s="43" t="inlineStr">
        <is>
          <t>AMOLED, 120Hz</t>
        </is>
      </c>
      <c r="M714" s="43" t="inlineStr">
        <is>
          <t>1080x2400</t>
        </is>
      </c>
      <c r="N714" s="43" t="inlineStr">
        <is>
          <t>USB-C (USB 2.0), nano-SIM + eSIM, 3.5mm headphone jack, microSD slot</t>
        </is>
      </c>
      <c r="O714" s="43" t="inlineStr">
        <is>
          <t>Android 14</t>
        </is>
      </c>
      <c r="P714" s="43" t="n">
        <v>20</v>
      </c>
      <c r="Q714" s="46" t="n">
        <v>189</v>
      </c>
      <c r="R714" s="43" t="inlineStr">
        <is>
          <t>Lighter than Theia Titan SE Budget Smartphone [THE-081-02] (189 g vs 192 g); Lower price than Dike Sable Lite Budget Smartphone [DIK-099-04] ($341.99 vs $355.99)</t>
        </is>
      </c>
      <c r="S714" s="43" t="inlineStr">
        <is>
          <t>budget, first phone, everyday</t>
        </is>
      </c>
      <c r="T714" s="0" t="inlineStr">
        <is>
          <t>low_stock</t>
        </is>
      </c>
      <c r="U714" s="0" t="n">
        <v>30</v>
      </c>
      <c r="V714" s="52" t="n">
        <v>376.99</v>
      </c>
      <c r="W714" s="0" t="inlineStr">
        <is>
          <t>2026-09-18</t>
        </is>
      </c>
      <c r="X714" s="0" t="inlineStr">
        <is>
          <t>N/A</t>
        </is>
      </c>
      <c r="Y714" s="0" t="inlineStr">
        <is>
          <t>N/A</t>
        </is>
      </c>
      <c r="Z714" s="0" t="inlineStr">
        <is>
          <t>N/A</t>
        </is>
      </c>
      <c r="AA714" s="0" t="inlineStr">
        <is>
          <t>N/A</t>
        </is>
      </c>
    </row>
    <row r="715" ht="15.75" customHeight="1" s="51">
      <c r="A715" s="43" t="inlineStr">
        <is>
          <t>LAC-071-03</t>
        </is>
      </c>
      <c r="B715" s="43" t="inlineStr">
        <is>
          <t>Lachesis</t>
        </is>
      </c>
      <c r="C715" s="43" t="inlineStr">
        <is>
          <t>Smartphones &amp; Tablets</t>
        </is>
      </c>
      <c r="D715" s="43" t="inlineStr">
        <is>
          <t>Tablet</t>
        </is>
      </c>
      <c r="E715" s="44" t="inlineStr">
        <is>
          <t>Lachesis Lumen Pro E-Ink Note Tablet</t>
        </is>
      </c>
      <c r="F715" s="45" t="n">
        <v>442.99</v>
      </c>
      <c r="G715" s="43" t="inlineStr">
        <is>
          <t>the Lumen Pro; Lachesis Lumen Pro; Lachessis Lumen Pro; Lumen Pro tablet</t>
        </is>
      </c>
      <c r="H715" s="43" t="inlineStr">
        <is>
          <t>1 year limited</t>
        </is>
      </c>
      <c r="I715" s="43" t="inlineStr">
        <is>
          <t>FCC, CE, TUV Rheinland Low Blue Light</t>
        </is>
      </c>
      <c r="J715" s="43" t="inlineStr">
        <is>
          <t>Rockchip RK3566</t>
        </is>
      </c>
      <c r="K715" s="43" t="inlineStr">
        <is>
          <t>Arm Mali-G52 2EE</t>
        </is>
      </c>
      <c r="L715" s="43" t="inlineStr">
        <is>
          <t>E Ink Carta 1300, front-lit</t>
        </is>
      </c>
      <c r="M715" s="43" t="inlineStr">
        <is>
          <t>1404x1872</t>
        </is>
      </c>
      <c r="N715" s="43" t="inlineStr">
        <is>
          <t>USB-C (USB 2.0), microSD slot</t>
        </is>
      </c>
      <c r="O715" s="43" t="inlineStr">
        <is>
          <t>Android 13 (E Ink optimized)</t>
        </is>
      </c>
      <c r="P715" s="43" t="n">
        <v>248</v>
      </c>
      <c r="Q715" s="46" t="n">
        <v>395</v>
      </c>
      <c r="R715" s="43" t="inlineStr">
        <is>
          <t>Lower price than Eupheme Apex Ultra E-Ink Note Tablet [EUP-084-05] ($442.99 vs $457.99); Lighter than Panacea Strata E-Ink Note Tablet [PAN-069-02] (395 g vs 418 g)</t>
        </is>
      </c>
      <c r="S715" s="43" t="inlineStr">
        <is>
          <t>reading, note-taking, school</t>
        </is>
      </c>
      <c r="T715" s="0" t="inlineStr">
        <is>
          <t>in_stock</t>
        </is>
      </c>
      <c r="U715" s="0" t="n">
        <v>30</v>
      </c>
      <c r="V715" s="52" t="n">
        <v>469.99</v>
      </c>
      <c r="W715" s="0" t="inlineStr">
        <is>
          <t>2026-08-12</t>
        </is>
      </c>
      <c r="X715" s="0" t="inlineStr">
        <is>
          <t>N/A</t>
        </is>
      </c>
      <c r="Y715" s="0" t="inlineStr">
        <is>
          <t>N/A</t>
        </is>
      </c>
      <c r="Z715" s="0" t="inlineStr">
        <is>
          <t>N/A</t>
        </is>
      </c>
      <c r="AA715" s="0" t="inlineStr">
        <is>
          <t>N/A</t>
        </is>
      </c>
    </row>
    <row r="716" ht="15.75" customHeight="1" s="51">
      <c r="A716" s="43" t="inlineStr">
        <is>
          <t>LAC-071-04</t>
        </is>
      </c>
      <c r="B716" s="43" t="inlineStr">
        <is>
          <t>Lachesis</t>
        </is>
      </c>
      <c r="C716" s="43" t="inlineStr">
        <is>
          <t>Smartphones &amp; Tablets</t>
        </is>
      </c>
      <c r="D716" s="43" t="inlineStr">
        <is>
          <t>Smartphone</t>
        </is>
      </c>
      <c r="E716" s="44" t="inlineStr">
        <is>
          <t>Lachesis Titan Plus Rugged Smartphone</t>
        </is>
      </c>
      <c r="F716" s="45" t="n">
        <v>553.99</v>
      </c>
      <c r="G716" s="43" t="inlineStr">
        <is>
          <t>the Titan Plus; Lachesis Titan Plus; Lachesi Titan Plus; Titan Plus smartphone</t>
        </is>
      </c>
      <c r="H716" s="43" t="inlineStr">
        <is>
          <t>2 year limited</t>
        </is>
      </c>
      <c r="I716" s="43" t="inlineStr">
        <is>
          <t>FCC, CE, IP69K, MIL-STD-810H</t>
        </is>
      </c>
      <c r="J716" s="43" t="inlineStr">
        <is>
          <t>Qualcomm Snapdragon 7+ Gen 3</t>
        </is>
      </c>
      <c r="K716" s="43" t="inlineStr">
        <is>
          <t>Qualcomm Adreno 732</t>
        </is>
      </c>
      <c r="L716" s="43" t="inlineStr">
        <is>
          <t>IPS LCD, Gorilla Glass Victus, 120Hz</t>
        </is>
      </c>
      <c r="M716" s="43" t="inlineStr">
        <is>
          <t>1080x2400</t>
        </is>
      </c>
      <c r="N716" s="43" t="inlineStr">
        <is>
          <t>USB-C (USB 2.0), nano-SIM + eSIM, 3.5mm headphone jack, microSD slot</t>
        </is>
      </c>
      <c r="O716" s="43" t="inlineStr">
        <is>
          <t>Android 15</t>
        </is>
      </c>
      <c r="P716" s="43" t="n">
        <v>30</v>
      </c>
      <c r="Q716" s="46" t="n">
        <v>340</v>
      </c>
      <c r="R716" s="43" t="inlineStr">
        <is>
          <t>Lower price than Circe Titan Ultra Rugged Smartphone [CIR-068-04] ($553.99 vs $684.99); Longer battery than Leto Spark Lite Rugged Smartphone [LET-077-04] (30 vs 29 hrs)</t>
        </is>
      </c>
      <c r="S716" s="43" t="inlineStr">
        <is>
          <t>outdoor, construction, fieldwork</t>
        </is>
      </c>
      <c r="T716" s="0" t="inlineStr">
        <is>
          <t>in_stock</t>
        </is>
      </c>
      <c r="U716" s="0" t="n">
        <v>30</v>
      </c>
      <c r="V716" s="52" t="n">
        <v>605.99</v>
      </c>
      <c r="W716" s="0" t="inlineStr">
        <is>
          <t>2026-08-08</t>
        </is>
      </c>
      <c r="X716" s="0" t="inlineStr">
        <is>
          <t>N/A</t>
        </is>
      </c>
      <c r="Y716" s="0" t="inlineStr">
        <is>
          <t>N/A</t>
        </is>
      </c>
      <c r="Z716" s="0" t="inlineStr">
        <is>
          <t>N/A</t>
        </is>
      </c>
      <c r="AA716" s="0" t="inlineStr">
        <is>
          <t>N/A</t>
        </is>
      </c>
    </row>
    <row r="717" ht="15.75" customHeight="1" s="51">
      <c r="A717" s="43" t="inlineStr">
        <is>
          <t>LAC-071-05</t>
        </is>
      </c>
      <c r="B717" s="43" t="inlineStr">
        <is>
          <t>Lachesis</t>
        </is>
      </c>
      <c r="C717" s="43" t="inlineStr">
        <is>
          <t>Smartphones &amp; Tablets</t>
        </is>
      </c>
      <c r="D717" s="43" t="inlineStr">
        <is>
          <t>Tablet</t>
        </is>
      </c>
      <c r="E717" s="44" t="inlineStr">
        <is>
          <t>Lachesis Wave Air 11" Tablet</t>
        </is>
      </c>
      <c r="F717" s="45" t="n">
        <v>578.99</v>
      </c>
      <c r="G717" s="43" t="inlineStr">
        <is>
          <t>the Wave Air; Lachesis Wave Air; Lachseis Wave Air; Wave Air tablet</t>
        </is>
      </c>
      <c r="H717" s="43" t="inlineStr">
        <is>
          <t>1 year limited</t>
        </is>
      </c>
      <c r="I717" s="43" t="inlineStr">
        <is>
          <t>FCC, CE, Energy Star</t>
        </is>
      </c>
      <c r="J717" s="43" t="inlineStr">
        <is>
          <t>Qualcomm Snapdragon 7+ Gen 3</t>
        </is>
      </c>
      <c r="K717" s="43" t="inlineStr">
        <is>
          <t>Qualcomm Adreno 732</t>
        </is>
      </c>
      <c r="L717" s="43" t="inlineStr">
        <is>
          <t>OLED, 120Hz</t>
        </is>
      </c>
      <c r="M717" s="43" t="inlineStr">
        <is>
          <t>1752x2800</t>
        </is>
      </c>
      <c r="N717" s="43" t="inlineStr">
        <is>
          <t>USB-C (USB 2.0), microSD slot</t>
        </is>
      </c>
      <c r="O717" s="43" t="inlineStr">
        <is>
          <t>Android 15</t>
        </is>
      </c>
      <c r="P717" s="43" t="n">
        <v>10</v>
      </c>
      <c r="Q717" s="46" t="n">
        <v>487</v>
      </c>
      <c r="R717" s="43" t="inlineStr">
        <is>
          <t>Lower price than Anteros Vibe Pro 11" Tablet [ANT-090-04] ($578.99 vs $733.99); Lighter than Aletheia Zen Plus 11" Tablet [ALE-089-04] (487 g vs 490 g)</t>
        </is>
      </c>
      <c r="S717" s="43" t="inlineStr">
        <is>
          <t>school, streaming, reading</t>
        </is>
      </c>
      <c r="T717" s="0" t="inlineStr">
        <is>
          <t>in_stock</t>
        </is>
      </c>
      <c r="U717" s="0" t="n">
        <v>30</v>
      </c>
      <c r="V717" s="52" t="n">
        <v>633.99</v>
      </c>
      <c r="W717" s="0" t="inlineStr">
        <is>
          <t>2026-09-19</t>
        </is>
      </c>
      <c r="X717" s="0" t="inlineStr">
        <is>
          <t>N/A</t>
        </is>
      </c>
      <c r="Y717" s="0" t="inlineStr">
        <is>
          <t>N/A</t>
        </is>
      </c>
      <c r="Z717" s="0" t="inlineStr">
        <is>
          <t>N/A</t>
        </is>
      </c>
      <c r="AA717" s="0" t="inlineStr">
        <is>
          <t>N/A</t>
        </is>
      </c>
    </row>
    <row r="718" ht="15.75" customHeight="1" s="51">
      <c r="A718" s="43" t="inlineStr">
        <is>
          <t>LAC-071-06</t>
        </is>
      </c>
      <c r="B718" s="43" t="inlineStr">
        <is>
          <t>Lachesis</t>
        </is>
      </c>
      <c r="C718" s="43" t="inlineStr">
        <is>
          <t>Smartphones &amp; Tablets</t>
        </is>
      </c>
      <c r="D718" s="43" t="inlineStr">
        <is>
          <t>Smartphone</t>
        </is>
      </c>
      <c r="E718" s="44" t="inlineStr">
        <is>
          <t>Lachesis Wave Plus Compact Smartphone</t>
        </is>
      </c>
      <c r="F718" s="45" t="n">
        <v>733.99</v>
      </c>
      <c r="G718" s="43" t="inlineStr">
        <is>
          <t>the Wave Plus; Lachesis Wave Plus; Lacheiss Wave Plus; Wave Plus smartphone</t>
        </is>
      </c>
      <c r="H718" s="43" t="inlineStr">
        <is>
          <t>1 year limited</t>
        </is>
      </c>
      <c r="I718" s="43" t="inlineStr">
        <is>
          <t>FCC, CE, IP68</t>
        </is>
      </c>
      <c r="J718" s="43" t="inlineStr">
        <is>
          <t>MediaTek Dimensity 8300</t>
        </is>
      </c>
      <c r="K718" s="43" t="inlineStr">
        <is>
          <t>Arm Mali-G615 MC6</t>
        </is>
      </c>
      <c r="L718" s="43" t="inlineStr">
        <is>
          <t>AMOLED, 120Hz</t>
        </is>
      </c>
      <c r="M718" s="43" t="inlineStr">
        <is>
          <t>1080x2340</t>
        </is>
      </c>
      <c r="N718" s="43" t="inlineStr">
        <is>
          <t>USB-C (USB 3.2), nano-SIM + eSIM</t>
        </is>
      </c>
      <c r="O718" s="43" t="inlineStr">
        <is>
          <t>Android 15</t>
        </is>
      </c>
      <c r="P718" s="43" t="n">
        <v>22</v>
      </c>
      <c r="Q718" s="46" t="n">
        <v>149</v>
      </c>
      <c r="R718" s="43" t="inlineStr">
        <is>
          <t>Longer battery than Dike Quanta Plus Compact Smartphone [DIK-099-06] (22 vs 21 hrs); Lower price than Tyche Zen Pro Compact Smartphone [TYC-055-05] ($733.99 vs $867.99)</t>
        </is>
      </c>
      <c r="S718" s="43" t="inlineStr">
        <is>
          <t>everyday, one-handed use</t>
        </is>
      </c>
      <c r="T718" s="0" t="inlineStr">
        <is>
          <t>in_stock</t>
        </is>
      </c>
      <c r="U718" s="0" t="n">
        <v>30</v>
      </c>
      <c r="V718" s="52" t="n">
        <v>764.99</v>
      </c>
      <c r="W718" s="0" t="inlineStr">
        <is>
          <t>2026-09-21</t>
        </is>
      </c>
      <c r="X718" s="0" t="inlineStr">
        <is>
          <t>N/A</t>
        </is>
      </c>
      <c r="Y718" s="0" t="inlineStr">
        <is>
          <t>N/A</t>
        </is>
      </c>
      <c r="Z718" s="0" t="inlineStr">
        <is>
          <t>N/A</t>
        </is>
      </c>
      <c r="AA718" s="0" t="inlineStr">
        <is>
          <t>N/A</t>
        </is>
      </c>
    </row>
    <row r="719" ht="15.75" customHeight="1" s="51">
      <c r="A719" s="43" t="inlineStr">
        <is>
          <t>LAC-071-07</t>
        </is>
      </c>
      <c r="B719" s="43" t="inlineStr">
        <is>
          <t>Lachesis</t>
        </is>
      </c>
      <c r="C719" s="43" t="inlineStr">
        <is>
          <t>Smartphones &amp; Tablets</t>
        </is>
      </c>
      <c r="D719" s="43" t="inlineStr">
        <is>
          <t>Smartphone</t>
        </is>
      </c>
      <c r="E719" s="44" t="inlineStr">
        <is>
          <t>Lachesis Zen Pro Flip Foldable Phone</t>
        </is>
      </c>
      <c r="F719" s="45" t="n">
        <v>898.99</v>
      </c>
      <c r="G719" s="43" t="inlineStr">
        <is>
          <t>the Zen Pro; Lachesis Zen Pro; Lachesiis Zen Pro; Zen Pro smartphone</t>
        </is>
      </c>
      <c r="H719" s="43" t="inlineStr">
        <is>
          <t>1 year limited</t>
        </is>
      </c>
      <c r="I719" s="43" t="inlineStr">
        <is>
          <t>FCC, CE, IPX8</t>
        </is>
      </c>
      <c r="J719" s="43" t="inlineStr">
        <is>
          <t>Qualcomm Snapdragon 8 Gen 3</t>
        </is>
      </c>
      <c r="K719" s="43" t="inlineStr">
        <is>
          <t>Qualcomm Adreno 750</t>
        </is>
      </c>
      <c r="L719" s="43" t="inlineStr">
        <is>
          <t>Foldable AMOLED inner + AMOLED cover screen</t>
        </is>
      </c>
      <c r="M719" s="43" t="inlineStr">
        <is>
          <t>1080x2640 inner / 720x748 cover</t>
        </is>
      </c>
      <c r="N719" s="43" t="inlineStr">
        <is>
          <t>USB-C (USB 3.2), nano-SIM + eSIM</t>
        </is>
      </c>
      <c r="O719" s="43" t="inlineStr">
        <is>
          <t>Android 15</t>
        </is>
      </c>
      <c r="P719" s="43" t="n">
        <v>16</v>
      </c>
      <c r="Q719" s="46" t="n">
        <v>183</v>
      </c>
      <c r="R719" s="43" t="inlineStr">
        <is>
          <t>Lower price than Clymene Halo Flip Foldable Phone [CLY-067-08] ($898.99 vs $1,074.99); Lighter than Amphitrite Aeon X Flip Foldable Phone [AMP-065-07] (183 g vs 190 g)</t>
        </is>
      </c>
      <c r="S719" s="43" t="inlineStr">
        <is>
          <t>style, everyday, compact</t>
        </is>
      </c>
      <c r="T719" s="0" t="inlineStr">
        <is>
          <t>in_stock</t>
        </is>
      </c>
      <c r="U719" s="0" t="n">
        <v>30</v>
      </c>
      <c r="V719" s="52" t="n">
        <v>1014.99</v>
      </c>
      <c r="W719" s="0" t="inlineStr">
        <is>
          <t>2026-08-11</t>
        </is>
      </c>
      <c r="X719" s="0" t="inlineStr">
        <is>
          <t>N/A</t>
        </is>
      </c>
      <c r="Y719" s="0" t="inlineStr">
        <is>
          <t>N/A</t>
        </is>
      </c>
      <c r="Z719" s="0" t="inlineStr">
        <is>
          <t>N/A</t>
        </is>
      </c>
      <c r="AA719" s="0" t="inlineStr">
        <is>
          <t>N/A</t>
        </is>
      </c>
    </row>
    <row r="720" ht="15.75" customHeight="1" s="51">
      <c r="A720" s="43" t="inlineStr">
        <is>
          <t>LAC-071-08</t>
        </is>
      </c>
      <c r="B720" s="43" t="inlineStr">
        <is>
          <t>Lachesis</t>
        </is>
      </c>
      <c r="C720" s="43" t="inlineStr">
        <is>
          <t>Smartphones &amp; Tablets</t>
        </is>
      </c>
      <c r="D720" s="43" t="inlineStr">
        <is>
          <t>Smartphone</t>
        </is>
      </c>
      <c r="E720" s="44" t="inlineStr">
        <is>
          <t>Lachesis Onyx Ultra Flagship Smartphone</t>
        </is>
      </c>
      <c r="F720" s="45" t="n">
        <v>929.99</v>
      </c>
      <c r="G720" s="43" t="inlineStr">
        <is>
          <t>the Onyx Ultra; Lachesis Onyx Ultra; Lacchesis Onyx Ultra; Onyx Ultra smartphone</t>
        </is>
      </c>
      <c r="H720" s="43" t="inlineStr">
        <is>
          <t>1 year limited</t>
        </is>
      </c>
      <c r="I720" s="43" t="inlineStr">
        <is>
          <t>FCC, CE, IP68, Qi2</t>
        </is>
      </c>
      <c r="J720" s="43" t="inlineStr">
        <is>
          <t>Qualcomm Snapdragon 8 Gen 3</t>
        </is>
      </c>
      <c r="K720" s="43" t="inlineStr">
        <is>
          <t>Qualcomm Adreno 750</t>
        </is>
      </c>
      <c r="L720" s="43" t="inlineStr">
        <is>
          <t>AMOLED, 120Hz</t>
        </is>
      </c>
      <c r="M720" s="43" t="inlineStr">
        <is>
          <t>1080x2400</t>
        </is>
      </c>
      <c r="N720" s="43" t="inlineStr">
        <is>
          <t>USB-C (USB 3.2), nano-SIM + eSIM</t>
        </is>
      </c>
      <c r="O720" s="43" t="inlineStr">
        <is>
          <t>Android 15</t>
        </is>
      </c>
      <c r="P720" s="43" t="n">
        <v>27</v>
      </c>
      <c r="Q720" s="46" t="n">
        <v>196</v>
      </c>
      <c r="R720" s="43" t="inlineStr">
        <is>
          <t>Longer battery than Comus Prism Plus Flagship Smartphone [COM-078-06] (27 vs 26 hrs); Lower price than Adrastea Nimbus Lite Flagship Smartphone [ADR-094-07] ($929.99 vs $984.99)</t>
        </is>
      </c>
      <c r="S720" s="43" t="inlineStr">
        <is>
          <t>photography, everyday, business</t>
        </is>
      </c>
      <c r="T720" s="0" t="inlineStr">
        <is>
          <t>out_of_stock</t>
        </is>
      </c>
      <c r="U720" s="0" t="n">
        <v>30</v>
      </c>
      <c r="V720" s="52" t="n">
        <v>1030.99</v>
      </c>
      <c r="W720" s="0" t="inlineStr">
        <is>
          <t>2026-09-19</t>
        </is>
      </c>
      <c r="X720" s="0" t="inlineStr">
        <is>
          <t>N/A</t>
        </is>
      </c>
      <c r="Y720" s="0" t="inlineStr">
        <is>
          <t>N/A</t>
        </is>
      </c>
      <c r="Z720" s="0" t="inlineStr">
        <is>
          <t>N/A</t>
        </is>
      </c>
      <c r="AA720" s="0" t="inlineStr">
        <is>
          <t>N/A</t>
        </is>
      </c>
    </row>
    <row r="721" ht="15.75" customHeight="1" s="51">
      <c r="A721" s="43" t="inlineStr">
        <is>
          <t>LAC-071-09</t>
        </is>
      </c>
      <c r="B721" s="43" t="inlineStr">
        <is>
          <t>Lachesis</t>
        </is>
      </c>
      <c r="C721" s="43" t="inlineStr">
        <is>
          <t>Smartphones &amp; Tablets</t>
        </is>
      </c>
      <c r="D721" s="43" t="inlineStr">
        <is>
          <t>Tablet</t>
        </is>
      </c>
      <c r="E721" s="44" t="inlineStr">
        <is>
          <t>Lachesis Blaze Ultra 5G Tablet</t>
        </is>
      </c>
      <c r="F721" s="45" t="n">
        <v>1155.99</v>
      </c>
      <c r="G721" s="43" t="inlineStr">
        <is>
          <t>the Blaze Ultra; Lachesis Blaze Ultra; Laachesis Blaze Ultra; Blaze Ultra tablet</t>
        </is>
      </c>
      <c r="H721" s="43" t="inlineStr">
        <is>
          <t>2 year limited</t>
        </is>
      </c>
      <c r="I721" s="43" t="inlineStr">
        <is>
          <t>FCC, CE, Energy Star</t>
        </is>
      </c>
      <c r="J721" s="43" t="inlineStr">
        <is>
          <t>MediaTek Dimensity 9400</t>
        </is>
      </c>
      <c r="K721" s="43" t="inlineStr">
        <is>
          <t>Arm Immortalis-G925</t>
        </is>
      </c>
      <c r="L721" s="43" t="inlineStr">
        <is>
          <t>OLED, 120Hz</t>
        </is>
      </c>
      <c r="M721" s="43" t="inlineStr">
        <is>
          <t>1752x2800</t>
        </is>
      </c>
      <c r="N721" s="43" t="inlineStr">
        <is>
          <t>USB-C (USB 3.2), magnetic keyboard connector, nano-SIM + eSIM</t>
        </is>
      </c>
      <c r="O721" s="43" t="inlineStr">
        <is>
          <t>Android 15</t>
        </is>
      </c>
      <c r="P721" s="43" t="n">
        <v>14</v>
      </c>
      <c r="Q721" s="46" t="n">
        <v>487</v>
      </c>
      <c r="R721" s="43" t="inlineStr">
        <is>
          <t>Lighter than Tyche Aeon Pro 5G Tablet [TYC-055-06] (487 g vs 512 g); Longer battery than Pallas Orbit Ultra 5G Tablet [PAL-057-07] (14 vs 10 hrs)</t>
        </is>
      </c>
      <c r="S721" s="43" t="inlineStr">
        <is>
          <t>travel, streaming, work on the go</t>
        </is>
      </c>
      <c r="T721" s="0" t="inlineStr">
        <is>
          <t>in_stock</t>
        </is>
      </c>
      <c r="U721" s="0" t="n">
        <v>30</v>
      </c>
      <c r="V721" s="52" t="n">
        <v>1211.99</v>
      </c>
      <c r="W721" s="0" t="inlineStr">
        <is>
          <t>2026-08-01</t>
        </is>
      </c>
      <c r="X721" s="0" t="inlineStr">
        <is>
          <t>N/A</t>
        </is>
      </c>
      <c r="Y721" s="0" t="inlineStr">
        <is>
          <t>N/A</t>
        </is>
      </c>
      <c r="Z721" s="0" t="inlineStr">
        <is>
          <t>N/A</t>
        </is>
      </c>
      <c r="AA721" s="0" t="inlineStr">
        <is>
          <t>N/A</t>
        </is>
      </c>
    </row>
    <row r="722" ht="15.75" customHeight="1" s="51">
      <c r="A722" s="43" t="inlineStr">
        <is>
          <t>LAC-071-10</t>
        </is>
      </c>
      <c r="B722" s="43" t="inlineStr">
        <is>
          <t>Lachesis</t>
        </is>
      </c>
      <c r="C722" s="43" t="inlineStr">
        <is>
          <t>Smartphones &amp; Tablets</t>
        </is>
      </c>
      <c r="D722" s="43" t="inlineStr">
        <is>
          <t>Smartphone</t>
        </is>
      </c>
      <c r="E722" s="44" t="inlineStr">
        <is>
          <t>Lachesis Echo Air Foldable Phone</t>
        </is>
      </c>
      <c r="F722" s="45" t="n">
        <v>1955.99</v>
      </c>
      <c r="G722" s="43" t="inlineStr">
        <is>
          <t>the Echo Air; Lachesis Echo Air; Laachesis Echo Air; Echo Air smartphone</t>
        </is>
      </c>
      <c r="H722" s="43" t="inlineStr">
        <is>
          <t>2 year limited</t>
        </is>
      </c>
      <c r="I722" s="43" t="inlineStr">
        <is>
          <t>FCC, CE, IPX8</t>
        </is>
      </c>
      <c r="J722" s="43" t="inlineStr">
        <is>
          <t>Qualcomm Snapdragon 8 Elite</t>
        </is>
      </c>
      <c r="K722" s="43" t="inlineStr">
        <is>
          <t>Qualcomm Adreno 830</t>
        </is>
      </c>
      <c r="L722" s="43" t="inlineStr">
        <is>
          <t>Foldable LTPO AMOLED inner + AMOLED cover, 120Hz</t>
        </is>
      </c>
      <c r="M722" s="43" t="inlineStr">
        <is>
          <t>2160x1856 inner / 1080x2376 cover</t>
        </is>
      </c>
      <c r="N722" s="43" t="inlineStr">
        <is>
          <t>USB-C (USB 3.2), nano-SIM + eSIM</t>
        </is>
      </c>
      <c r="O722" s="43" t="inlineStr">
        <is>
          <t>Android 15</t>
        </is>
      </c>
      <c r="P722" s="43" t="n">
        <v>21</v>
      </c>
      <c r="Q722" s="46" t="n">
        <v>261</v>
      </c>
      <c r="R722" s="43" t="inlineStr">
        <is>
          <t>Lower price than Panacea Nova Ultra Foldable Phone [PAN-069-10] ($1,955.99 vs $1,960.99); Longer battery than Erato Aria Foldable Phone [ERA-085-10] (21 vs 20 hrs)</t>
        </is>
      </c>
      <c r="S722" s="43" t="inlineStr">
        <is>
          <t>multitasking, business, media</t>
        </is>
      </c>
      <c r="T722" s="0" t="inlineStr">
        <is>
          <t>in_stock</t>
        </is>
      </c>
      <c r="U722" s="0" t="n">
        <v>30</v>
      </c>
      <c r="V722" s="52" t="n">
        <v>2034.99</v>
      </c>
      <c r="W722" s="0" t="inlineStr">
        <is>
          <t>2026-09-06</t>
        </is>
      </c>
      <c r="X722" s="0" t="inlineStr">
        <is>
          <t>N/A</t>
        </is>
      </c>
      <c r="Y722" s="0" t="inlineStr">
        <is>
          <t>N/A</t>
        </is>
      </c>
      <c r="Z722" s="0" t="inlineStr">
        <is>
          <t>N/A</t>
        </is>
      </c>
      <c r="AA722" s="0" t="inlineStr">
        <is>
          <t>N/A</t>
        </is>
      </c>
    </row>
    <row r="723" ht="15.75" customHeight="1" s="51">
      <c r="A723" s="43" t="inlineStr">
        <is>
          <t>POT-072-01</t>
        </is>
      </c>
      <c r="B723" s="43" t="inlineStr">
        <is>
          <t>Pothos</t>
        </is>
      </c>
      <c r="C723" s="43" t="inlineStr">
        <is>
          <t>Smartphones &amp; Tablets</t>
        </is>
      </c>
      <c r="D723" s="43" t="inlineStr">
        <is>
          <t>Tablet</t>
        </is>
      </c>
      <c r="E723" s="44" t="inlineStr">
        <is>
          <t>Pothos Volt Kids Tablet</t>
        </is>
      </c>
      <c r="F723" s="45" t="n">
        <v>136.99</v>
      </c>
      <c r="G723" s="43" t="inlineStr">
        <is>
          <t>the Volt; Pothos Volt; Potos Volt; Volt tablet</t>
        </is>
      </c>
      <c r="H723" s="43" t="inlineStr">
        <is>
          <t>1 year limited</t>
        </is>
      </c>
      <c r="I723" s="43" t="inlineStr">
        <is>
          <t>FCC, CE, TUV Rheinland Low Blue Light, EN 71 Toy Safety</t>
        </is>
      </c>
      <c r="J723" s="43" t="inlineStr">
        <is>
          <t>MediaTek Helio G88</t>
        </is>
      </c>
      <c r="K723" s="43" t="inlineStr">
        <is>
          <t>Arm Mali-G52 MC2</t>
        </is>
      </c>
      <c r="L723" s="43" t="inlineStr">
        <is>
          <t>IPS LCD, 60Hz</t>
        </is>
      </c>
      <c r="M723" s="43" t="inlineStr">
        <is>
          <t>800x1280</t>
        </is>
      </c>
      <c r="N723" s="43" t="inlineStr">
        <is>
          <t>USB-C (USB 2.0), microSD slot</t>
        </is>
      </c>
      <c r="O723" s="43" t="inlineStr">
        <is>
          <t>Android 14 with parental controls</t>
        </is>
      </c>
      <c r="P723" s="43" t="n">
        <v>8</v>
      </c>
      <c r="Q723" s="46" t="n">
        <v>436</v>
      </c>
      <c r="R723" s="43" t="inlineStr">
        <is>
          <t>Lower price than Elpis Titan X Kids Tablet [ELP-074-01] ($136.99 vs $193.99); Lighter than Theia Sable Kids Tablet [THE-081-01] (436 g vs 437 g)</t>
        </is>
      </c>
      <c r="S723" s="43" t="inlineStr">
        <is>
          <t>kids, learning, games</t>
        </is>
      </c>
      <c r="T723" s="0" t="inlineStr">
        <is>
          <t>in_stock</t>
        </is>
      </c>
      <c r="U723" s="0" t="n">
        <v>30</v>
      </c>
      <c r="V723" s="52" t="n">
        <v>144.99</v>
      </c>
      <c r="W723" s="0" t="inlineStr">
        <is>
          <t>2026-08-27</t>
        </is>
      </c>
      <c r="X723" s="0" t="inlineStr">
        <is>
          <t>N/A</t>
        </is>
      </c>
      <c r="Y723" s="0" t="inlineStr">
        <is>
          <t>N/A</t>
        </is>
      </c>
      <c r="Z723" s="0" t="inlineStr">
        <is>
          <t>N/A</t>
        </is>
      </c>
      <c r="AA723" s="0" t="inlineStr">
        <is>
          <t>N/A</t>
        </is>
      </c>
    </row>
    <row r="724" ht="15.75" customHeight="1" s="51">
      <c r="A724" s="43" t="inlineStr">
        <is>
          <t>POT-072-02</t>
        </is>
      </c>
      <c r="B724" s="43" t="inlineStr">
        <is>
          <t>Pothos</t>
        </is>
      </c>
      <c r="C724" s="43" t="inlineStr">
        <is>
          <t>Smartphones &amp; Tablets</t>
        </is>
      </c>
      <c r="D724" s="43" t="inlineStr">
        <is>
          <t>Smartphone</t>
        </is>
      </c>
      <c r="E724" s="44" t="inlineStr">
        <is>
          <t>Pothos Pulse Air Rugged Smartphone</t>
        </is>
      </c>
      <c r="F724" s="45" t="n">
        <v>306.99</v>
      </c>
      <c r="G724" s="43" t="inlineStr">
        <is>
          <t>the Pulse Air; Pothos Pulse Air; Poothos Pulse Air; Pulse Air smartphone</t>
        </is>
      </c>
      <c r="H724" s="43" t="inlineStr">
        <is>
          <t>2 year limited</t>
        </is>
      </c>
      <c r="I724" s="43" t="inlineStr">
        <is>
          <t>FCC, CE, IP69K, MIL-STD-810H</t>
        </is>
      </c>
      <c r="J724" s="43" t="inlineStr">
        <is>
          <t>Qualcomm Snapdragon 6 Gen 1</t>
        </is>
      </c>
      <c r="K724" s="43" t="inlineStr">
        <is>
          <t>Qualcomm Adreno 710</t>
        </is>
      </c>
      <c r="L724" s="43" t="inlineStr">
        <is>
          <t>IPS LCD, Gorilla Glass Victus, 120Hz</t>
        </is>
      </c>
      <c r="M724" s="43" t="inlineStr">
        <is>
          <t>1080x2400</t>
        </is>
      </c>
      <c r="N724" s="43" t="inlineStr">
        <is>
          <t>USB-C (USB 2.0), nano-SIM + eSIM, 3.5mm headphone jack, microSD slot</t>
        </is>
      </c>
      <c r="O724" s="43" t="inlineStr">
        <is>
          <t>Android 14</t>
        </is>
      </c>
      <c r="P724" s="43" t="n">
        <v>33</v>
      </c>
      <c r="Q724" s="46" t="n">
        <v>307</v>
      </c>
      <c r="R724" s="43" t="inlineStr">
        <is>
          <t>Lower price than Coeus Crest X Rugged Smartphone [COE-075-03] ($306.99 vs $472.99); Longer battery than Leto Spark Lite Rugged Smartphone [LET-077-04] (33 vs 29 hrs)</t>
        </is>
      </c>
      <c r="S724" s="43" t="inlineStr">
        <is>
          <t>outdoor, construction, fieldwork</t>
        </is>
      </c>
      <c r="T724" s="0" t="inlineStr">
        <is>
          <t>in_stock</t>
        </is>
      </c>
      <c r="U724" s="0" t="n">
        <v>30</v>
      </c>
      <c r="V724" s="52" t="n">
        <v>331.99</v>
      </c>
      <c r="W724" s="0" t="inlineStr">
        <is>
          <t>2026-08-17</t>
        </is>
      </c>
      <c r="X724" s="0" t="inlineStr">
        <is>
          <t>N/A</t>
        </is>
      </c>
      <c r="Y724" s="0" t="inlineStr">
        <is>
          <t>N/A</t>
        </is>
      </c>
      <c r="Z724" s="0" t="inlineStr">
        <is>
          <t>N/A</t>
        </is>
      </c>
      <c r="AA724" s="0" t="inlineStr">
        <is>
          <t>N/A</t>
        </is>
      </c>
    </row>
    <row r="725" ht="15.75" customHeight="1" s="51">
      <c r="A725" s="43" t="inlineStr">
        <is>
          <t>POT-072-03</t>
        </is>
      </c>
      <c r="B725" s="43" t="inlineStr">
        <is>
          <t>Pothos</t>
        </is>
      </c>
      <c r="C725" s="43" t="inlineStr">
        <is>
          <t>Smartphones &amp; Tablets</t>
        </is>
      </c>
      <c r="D725" s="43" t="inlineStr">
        <is>
          <t>Tablet</t>
        </is>
      </c>
      <c r="E725" s="44" t="inlineStr">
        <is>
          <t>Pothos Aria SE E-Ink Note Tablet</t>
        </is>
      </c>
      <c r="F725" s="45" t="n">
        <v>505.99</v>
      </c>
      <c r="G725" s="43" t="inlineStr">
        <is>
          <t>the Aria SE; Pothos Aria SE; Poothos Aria SE; Aria SE tablet</t>
        </is>
      </c>
      <c r="H725" s="43" t="inlineStr">
        <is>
          <t>1 year limited</t>
        </is>
      </c>
      <c r="I725" s="43" t="inlineStr">
        <is>
          <t>FCC, CE, TUV Rheinland Low Blue Light, Energy Star</t>
        </is>
      </c>
      <c r="J725" s="43" t="inlineStr">
        <is>
          <t>Rockchip RK3566</t>
        </is>
      </c>
      <c r="K725" s="43" t="inlineStr">
        <is>
          <t>Arm Mali-G52 2EE</t>
        </is>
      </c>
      <c r="L725" s="43" t="inlineStr">
        <is>
          <t>E Ink Carta 1300, front-lit</t>
        </is>
      </c>
      <c r="M725" s="43" t="inlineStr">
        <is>
          <t>1404x1872</t>
        </is>
      </c>
      <c r="N725" s="43" t="inlineStr">
        <is>
          <t>USB-C (USB 2.0), microSD slot</t>
        </is>
      </c>
      <c r="O725" s="43" t="inlineStr">
        <is>
          <t>Android 13 (E Ink optimized)</t>
        </is>
      </c>
      <c r="P725" s="43" t="n">
        <v>288</v>
      </c>
      <c r="Q725" s="46" t="n">
        <v>405</v>
      </c>
      <c r="R725" s="43" t="inlineStr">
        <is>
          <t>Longer battery than Coeus Onyx X E-Ink Note Tablet [COE-075-02] (288 vs 153 hrs); Lighter than Erebus Nimbus Air E-Ink Note Tablet [ERE-098-02] (405 g vs 415 g)</t>
        </is>
      </c>
      <c r="S725" s="43" t="inlineStr">
        <is>
          <t>reading, note-taking, school</t>
        </is>
      </c>
      <c r="T725" s="0" t="inlineStr">
        <is>
          <t>in_stock</t>
        </is>
      </c>
      <c r="U725" s="0" t="n">
        <v>30</v>
      </c>
      <c r="V725" s="52" t="n">
        <v>526.99</v>
      </c>
      <c r="W725" s="0" t="inlineStr">
        <is>
          <t>2026-09-09</t>
        </is>
      </c>
      <c r="X725" s="0" t="inlineStr">
        <is>
          <t>N/A</t>
        </is>
      </c>
      <c r="Y725" s="0" t="inlineStr">
        <is>
          <t>N/A</t>
        </is>
      </c>
      <c r="Z725" s="0" t="inlineStr">
        <is>
          <t>N/A</t>
        </is>
      </c>
      <c r="AA725" s="0" t="inlineStr">
        <is>
          <t>N/A</t>
        </is>
      </c>
    </row>
    <row r="726" ht="15.75" customHeight="1" s="51">
      <c r="A726" s="43" t="inlineStr">
        <is>
          <t>POT-072-04</t>
        </is>
      </c>
      <c r="B726" s="43" t="inlineStr">
        <is>
          <t>Pothos</t>
        </is>
      </c>
      <c r="C726" s="43" t="inlineStr">
        <is>
          <t>Smartphones &amp; Tablets</t>
        </is>
      </c>
      <c r="D726" s="43" t="inlineStr">
        <is>
          <t>Smartphone</t>
        </is>
      </c>
      <c r="E726" s="44" t="inlineStr">
        <is>
          <t>Pothos Vertex Compact Smartphone</t>
        </is>
      </c>
      <c r="F726" s="45" t="n">
        <v>780.99</v>
      </c>
      <c r="G726" s="43" t="inlineStr">
        <is>
          <t>the Vertex; Pothos Vertex; Poothos Vertex; Vertex smartphone</t>
        </is>
      </c>
      <c r="H726" s="43" t="inlineStr">
        <is>
          <t>2 year limited</t>
        </is>
      </c>
      <c r="I726" s="43" t="inlineStr">
        <is>
          <t>FCC, CE, IP68</t>
        </is>
      </c>
      <c r="J726" s="43" t="inlineStr">
        <is>
          <t>MediaTek Dimensity 8300</t>
        </is>
      </c>
      <c r="K726" s="43" t="inlineStr">
        <is>
          <t>Arm Mali-G615 MC6</t>
        </is>
      </c>
      <c r="L726" s="43" t="inlineStr">
        <is>
          <t>AMOLED, 120Hz</t>
        </is>
      </c>
      <c r="M726" s="43" t="inlineStr">
        <is>
          <t>1080x2340</t>
        </is>
      </c>
      <c r="N726" s="43" t="inlineStr">
        <is>
          <t>USB-C (USB 3.2), nano-SIM + eSIM</t>
        </is>
      </c>
      <c r="O726" s="43" t="inlineStr">
        <is>
          <t>Android 15</t>
        </is>
      </c>
      <c r="P726" s="43" t="n">
        <v>21</v>
      </c>
      <c r="Q726" s="46" t="n">
        <v>160</v>
      </c>
      <c r="R726" s="43" t="inlineStr">
        <is>
          <t>Lower price than Aglaea Spark Lite Compact Smartphone [AGL-079-07] ($780.99 vs $842.99); Lighter than Anteros Vertex Plus Compact Smartphone [ANT-090-03] (160 g vs 162 g)</t>
        </is>
      </c>
      <c r="S726" s="43" t="inlineStr">
        <is>
          <t>everyday, one-handed use</t>
        </is>
      </c>
      <c r="T726" s="0" t="inlineStr">
        <is>
          <t>in_stock</t>
        </is>
      </c>
      <c r="U726" s="0" t="n">
        <v>30</v>
      </c>
      <c r="V726" s="52" t="n">
        <v>813.99</v>
      </c>
      <c r="W726" s="0" t="inlineStr">
        <is>
          <t>2026-08-24</t>
        </is>
      </c>
      <c r="X726" s="0" t="inlineStr">
        <is>
          <t>N/A</t>
        </is>
      </c>
      <c r="Y726" s="0" t="inlineStr">
        <is>
          <t>N/A</t>
        </is>
      </c>
      <c r="Z726" s="0" t="inlineStr">
        <is>
          <t>N/A</t>
        </is>
      </c>
      <c r="AA726" s="0" t="inlineStr">
        <is>
          <t>N/A</t>
        </is>
      </c>
    </row>
    <row r="727" ht="15.75" customHeight="1" s="51">
      <c r="A727" s="43" t="inlineStr">
        <is>
          <t>POT-072-05</t>
        </is>
      </c>
      <c r="B727" s="43" t="inlineStr">
        <is>
          <t>Pothos</t>
        </is>
      </c>
      <c r="C727" s="43" t="inlineStr">
        <is>
          <t>Smartphones &amp; Tablets</t>
        </is>
      </c>
      <c r="D727" s="43" t="inlineStr">
        <is>
          <t>Smartphone</t>
        </is>
      </c>
      <c r="E727" s="44" t="inlineStr">
        <is>
          <t>Pothos Axis Lite Flagship Smartphone</t>
        </is>
      </c>
      <c r="F727" s="45" t="n">
        <v>832.99</v>
      </c>
      <c r="G727" s="43" t="inlineStr">
        <is>
          <t>the Axis Lite; Pothos Axis Lite; Potohs Axis Lite; Axis Lite smartphone</t>
        </is>
      </c>
      <c r="H727" s="43" t="inlineStr">
        <is>
          <t>1 year limited</t>
        </is>
      </c>
      <c r="I727" s="43" t="inlineStr">
        <is>
          <t>FCC, CE, IP68, Qi2</t>
        </is>
      </c>
      <c r="J727" s="43" t="inlineStr">
        <is>
          <t>Qualcomm Snapdragon 8 Gen 3</t>
        </is>
      </c>
      <c r="K727" s="43" t="inlineStr">
        <is>
          <t>Qualcomm Adreno 750</t>
        </is>
      </c>
      <c r="L727" s="43" t="inlineStr">
        <is>
          <t>AMOLED, 120Hz</t>
        </is>
      </c>
      <c r="M727" s="43" t="inlineStr">
        <is>
          <t>1080x2400</t>
        </is>
      </c>
      <c r="N727" s="43" t="inlineStr">
        <is>
          <t>USB-C (USB 3.2), nano-SIM + eSIM</t>
        </is>
      </c>
      <c r="O727" s="43" t="inlineStr">
        <is>
          <t>Android 15</t>
        </is>
      </c>
      <c r="P727" s="43" t="n">
        <v>27</v>
      </c>
      <c r="Q727" s="46" t="n">
        <v>181</v>
      </c>
      <c r="R727" s="43" t="inlineStr">
        <is>
          <t>Lower price than Eurus Axis Pro Flagship Smartphone [EUR-088-08] ($832.99 vs $1,169.99); Lighter than Mnemosyne Drift Pro Flagship Smartphone [MNE-061-07] (181 g vs 196 g)</t>
        </is>
      </c>
      <c r="S727" s="43" t="inlineStr">
        <is>
          <t>photography, everyday, business</t>
        </is>
      </c>
      <c r="T727" s="0" t="inlineStr">
        <is>
          <t>in_stock</t>
        </is>
      </c>
      <c r="U727" s="0" t="n">
        <v>30</v>
      </c>
      <c r="V727" s="52" t="n">
        <v>910.99</v>
      </c>
      <c r="W727" s="0" t="inlineStr">
        <is>
          <t>2026-08-18</t>
        </is>
      </c>
      <c r="X727" s="0" t="inlineStr">
        <is>
          <t>N/A</t>
        </is>
      </c>
      <c r="Y727" s="0" t="inlineStr">
        <is>
          <t>N/A</t>
        </is>
      </c>
      <c r="Z727" s="0" t="inlineStr">
        <is>
          <t>N/A</t>
        </is>
      </c>
      <c r="AA727" s="0" t="inlineStr">
        <is>
          <t>N/A</t>
        </is>
      </c>
    </row>
    <row r="728" ht="15.75" customHeight="1" s="51">
      <c r="A728" s="43" t="inlineStr">
        <is>
          <t>POT-072-06</t>
        </is>
      </c>
      <c r="B728" s="43" t="inlineStr">
        <is>
          <t>Pothos</t>
        </is>
      </c>
      <c r="C728" s="43" t="inlineStr">
        <is>
          <t>Smartphones &amp; Tablets</t>
        </is>
      </c>
      <c r="D728" s="43" t="inlineStr">
        <is>
          <t>Tablet</t>
        </is>
      </c>
      <c r="E728" s="44" t="inlineStr">
        <is>
          <t>Pothos Apex Ultra Drawing Tablet with Stylus</t>
        </is>
      </c>
      <c r="F728" s="45" t="n">
        <v>892.99</v>
      </c>
      <c r="G728" s="43" t="inlineStr">
        <is>
          <t>the Apex Ultra; Pothos Apex Ultra; Potho Apex Ultra; Apex Ultra tablet</t>
        </is>
      </c>
      <c r="H728" s="43" t="inlineStr">
        <is>
          <t>1 year limited</t>
        </is>
      </c>
      <c r="I728" s="43" t="inlineStr">
        <is>
          <t>FCC, CE, TUV Rheinland Low Blue Light, Energy Star</t>
        </is>
      </c>
      <c r="J728" s="43" t="inlineStr">
        <is>
          <t>Qualcomm Snapdragon 8 Gen 3</t>
        </is>
      </c>
      <c r="K728" s="43" t="inlineStr">
        <is>
          <t>Qualcomm Adreno 750</t>
        </is>
      </c>
      <c r="L728" s="43" t="inlineStr">
        <is>
          <t>OLED, 120Hz, pen digitizer</t>
        </is>
      </c>
      <c r="M728" s="43" t="inlineStr">
        <is>
          <t>2560x1600</t>
        </is>
      </c>
      <c r="N728" s="43" t="inlineStr">
        <is>
          <t>USB-C (USB 3.2), microSD slot</t>
        </is>
      </c>
      <c r="O728" s="43" t="inlineStr">
        <is>
          <t>Android 15</t>
        </is>
      </c>
      <c r="P728" s="43" t="n">
        <v>12</v>
      </c>
      <c r="Q728" s="46" t="n">
        <v>553</v>
      </c>
      <c r="R728" s="43" t="inlineStr">
        <is>
          <t>Lighter than Lethe Echo X Drawing Tablet with Stylus [LET-086-09] (553 g vs 637 g); Longer battery than Athena Aeon X Drawing Tablet with Stylus [ATH-064-05] (12 vs 8 hrs)</t>
        </is>
      </c>
      <c r="S728" s="43" t="inlineStr">
        <is>
          <t>drawing, design, note-taking</t>
        </is>
      </c>
      <c r="T728" s="0" t="inlineStr">
        <is>
          <t>low_stock</t>
        </is>
      </c>
      <c r="U728" s="0" t="n">
        <v>30</v>
      </c>
      <c r="V728" s="52" t="n">
        <v>927.99</v>
      </c>
      <c r="W728" s="0" t="inlineStr">
        <is>
          <t>2026-09-02</t>
        </is>
      </c>
      <c r="X728" s="0" t="inlineStr">
        <is>
          <t>N/A</t>
        </is>
      </c>
      <c r="Y728" s="0" t="inlineStr">
        <is>
          <t>N/A</t>
        </is>
      </c>
      <c r="Z728" s="0" t="inlineStr">
        <is>
          <t>N/A</t>
        </is>
      </c>
      <c r="AA728" s="0" t="inlineStr">
        <is>
          <t>N/A</t>
        </is>
      </c>
    </row>
    <row r="729" ht="15.75" customHeight="1" s="51">
      <c r="A729" s="43" t="inlineStr">
        <is>
          <t>POT-072-07</t>
        </is>
      </c>
      <c r="B729" s="43" t="inlineStr">
        <is>
          <t>Pothos</t>
        </is>
      </c>
      <c r="C729" s="43" t="inlineStr">
        <is>
          <t>Smartphones &amp; Tablets</t>
        </is>
      </c>
      <c r="D729" s="43" t="inlineStr">
        <is>
          <t>Tablet</t>
        </is>
      </c>
      <c r="E729" s="44" t="inlineStr">
        <is>
          <t>Pothos Orbit Max 13" Pro Tablet</t>
        </is>
      </c>
      <c r="F729" s="45" t="n">
        <v>1015.99</v>
      </c>
      <c r="G729" s="43" t="inlineStr">
        <is>
          <t>the Orbit Max; Pothos Orbit Max; Pothhos Orbit Max; Orbit Max tablet</t>
        </is>
      </c>
      <c r="H729" s="43" t="inlineStr">
        <is>
          <t>1 year limited</t>
        </is>
      </c>
      <c r="I729" s="43" t="inlineStr">
        <is>
          <t>FCC, CE</t>
        </is>
      </c>
      <c r="J729" s="43" t="inlineStr">
        <is>
          <t>MediaTek Dimensity 9400</t>
        </is>
      </c>
      <c r="K729" s="43" t="inlineStr">
        <is>
          <t>Arm Immortalis-G925</t>
        </is>
      </c>
      <c r="L729" s="43" t="inlineStr">
        <is>
          <t>OLED, 120Hz</t>
        </is>
      </c>
      <c r="M729" s="43" t="inlineStr">
        <is>
          <t>2800x1752</t>
        </is>
      </c>
      <c r="N729" s="43" t="inlineStr">
        <is>
          <t>USB-C (USB 3.2), magnetic keyboard connector</t>
        </is>
      </c>
      <c r="O729" s="43" t="inlineStr">
        <is>
          <t>Android 15</t>
        </is>
      </c>
      <c r="P729" s="43" t="n">
        <v>13</v>
      </c>
      <c r="Q729" s="46" t="n">
        <v>661</v>
      </c>
      <c r="R729" s="43" t="inlineStr">
        <is>
          <t>Lighter than Peitho Rift Lite 13" Pro Tablet [PEI-083-10] (661 g vs 670 g); Lower price than Tyche Lumen Plus 13" Pro Tablet [TYC-055-08] ($1,015.99 vs $1,218.99)</t>
        </is>
      </c>
      <c r="S729" s="43" t="inlineStr">
        <is>
          <t>creative work, productivity, drawing</t>
        </is>
      </c>
      <c r="T729" s="0" t="inlineStr">
        <is>
          <t>in_stock</t>
        </is>
      </c>
      <c r="U729" s="0" t="n">
        <v>30</v>
      </c>
      <c r="V729" s="52" t="n">
        <v>1160.99</v>
      </c>
      <c r="W729" s="0" t="inlineStr">
        <is>
          <t>2026-08-13</t>
        </is>
      </c>
      <c r="X729" s="0" t="inlineStr">
        <is>
          <t>N/A</t>
        </is>
      </c>
      <c r="Y729" s="0" t="inlineStr">
        <is>
          <t>N/A</t>
        </is>
      </c>
      <c r="Z729" s="0" t="inlineStr">
        <is>
          <t>N/A</t>
        </is>
      </c>
      <c r="AA729" s="0" t="inlineStr">
        <is>
          <t>N/A</t>
        </is>
      </c>
    </row>
    <row r="730" ht="15.75" customHeight="1" s="51">
      <c r="A730" s="43" t="inlineStr">
        <is>
          <t>POT-072-08</t>
        </is>
      </c>
      <c r="B730" s="43" t="inlineStr">
        <is>
          <t>Pothos</t>
        </is>
      </c>
      <c r="C730" s="43" t="inlineStr">
        <is>
          <t>Smartphones &amp; Tablets</t>
        </is>
      </c>
      <c r="D730" s="43" t="inlineStr">
        <is>
          <t>Smartphone</t>
        </is>
      </c>
      <c r="E730" s="44" t="inlineStr">
        <is>
          <t>Pothos Prism Flip Foldable Phone</t>
        </is>
      </c>
      <c r="F730" s="45" t="n">
        <v>1072.99</v>
      </c>
      <c r="G730" s="43" t="inlineStr">
        <is>
          <t>the Prism; Pothos Prism; Potos Prism; Prism smartphone</t>
        </is>
      </c>
      <c r="H730" s="43" t="inlineStr">
        <is>
          <t>1 year limited</t>
        </is>
      </c>
      <c r="I730" s="43" t="inlineStr">
        <is>
          <t>FCC, CE, IPX8</t>
        </is>
      </c>
      <c r="J730" s="43" t="inlineStr">
        <is>
          <t>MediaTek Dimensity 9400</t>
        </is>
      </c>
      <c r="K730" s="43" t="inlineStr">
        <is>
          <t>Arm Immortalis-G925</t>
        </is>
      </c>
      <c r="L730" s="43" t="inlineStr">
        <is>
          <t>Foldable AMOLED inner + AMOLED cover screen</t>
        </is>
      </c>
      <c r="M730" s="43" t="inlineStr">
        <is>
          <t>1080x2640 inner / 720x748 cover</t>
        </is>
      </c>
      <c r="N730" s="43" t="inlineStr">
        <is>
          <t>USB-C (USB 3.2), nano-SIM + eSIM</t>
        </is>
      </c>
      <c r="O730" s="43" t="inlineStr">
        <is>
          <t>Android 15</t>
        </is>
      </c>
      <c r="P730" s="43" t="n">
        <v>20</v>
      </c>
      <c r="Q730" s="46" t="n">
        <v>180</v>
      </c>
      <c r="R730" s="43" t="inlineStr">
        <is>
          <t>Longer battery than Clymene Halo Flip Foldable Phone [CLY-067-08] (20 vs 18 hrs); Lighter than Thetis Orbit Flip Foldable Phone [THE-093-09] (180 g vs 195 g)</t>
        </is>
      </c>
      <c r="S730" s="43" t="inlineStr">
        <is>
          <t>style, everyday, compact</t>
        </is>
      </c>
      <c r="T730" s="0" t="inlineStr">
        <is>
          <t>in_stock</t>
        </is>
      </c>
      <c r="U730" s="0" t="n">
        <v>30</v>
      </c>
      <c r="V730" s="52" t="n">
        <v>1134.99</v>
      </c>
      <c r="W730" s="0" t="inlineStr">
        <is>
          <t>2026-08-05</t>
        </is>
      </c>
      <c r="X730" s="0" t="inlineStr">
        <is>
          <t>N/A</t>
        </is>
      </c>
      <c r="Y730" s="0" t="inlineStr">
        <is>
          <t>N/A</t>
        </is>
      </c>
      <c r="Z730" s="0" t="inlineStr">
        <is>
          <t>N/A</t>
        </is>
      </c>
      <c r="AA730" s="0" t="inlineStr">
        <is>
          <t>N/A</t>
        </is>
      </c>
    </row>
    <row r="731" ht="15.75" customHeight="1" s="51">
      <c r="A731" s="43" t="inlineStr">
        <is>
          <t>POT-072-09</t>
        </is>
      </c>
      <c r="B731" s="43" t="inlineStr">
        <is>
          <t>Pothos</t>
        </is>
      </c>
      <c r="C731" s="43" t="inlineStr">
        <is>
          <t>Smartphones &amp; Tablets</t>
        </is>
      </c>
      <c r="D731" s="43" t="inlineStr">
        <is>
          <t>Smartphone</t>
        </is>
      </c>
      <c r="E731" s="44" t="inlineStr">
        <is>
          <t>Pothos Halo Air Pro Max Smartphone</t>
        </is>
      </c>
      <c r="F731" s="45" t="n">
        <v>1102.99</v>
      </c>
      <c r="G731" s="43" t="inlineStr">
        <is>
          <t>the Halo Air; Pothos Halo Air; Pohtos Halo Air; Halo Air smartphone</t>
        </is>
      </c>
      <c r="H731" s="43" t="inlineStr">
        <is>
          <t>1 year limited</t>
        </is>
      </c>
      <c r="I731" s="43" t="inlineStr">
        <is>
          <t>FCC, CE, IP68, Qi2</t>
        </is>
      </c>
      <c r="J731" s="43" t="inlineStr">
        <is>
          <t>MediaTek Dimensity 9400</t>
        </is>
      </c>
      <c r="K731" s="43" t="inlineStr">
        <is>
          <t>Arm Immortalis-G925</t>
        </is>
      </c>
      <c r="L731" s="43" t="inlineStr">
        <is>
          <t>LTPO AMOLED, 1-120Hz</t>
        </is>
      </c>
      <c r="M731" s="43" t="inlineStr">
        <is>
          <t>1440x3120</t>
        </is>
      </c>
      <c r="N731" s="43" t="inlineStr">
        <is>
          <t>USB-C (USB 3.2), nano-SIM + eSIM</t>
        </is>
      </c>
      <c r="O731" s="43" t="inlineStr">
        <is>
          <t>Android 15</t>
        </is>
      </c>
      <c r="P731" s="43" t="n">
        <v>28</v>
      </c>
      <c r="Q731" s="46" t="n">
        <v>227</v>
      </c>
      <c r="R731" s="43" t="inlineStr">
        <is>
          <t>Lighter than Helios Volt SE Pro Max Smartphone [HEL-073-06] (227 g vs 234 g); Lower price than Peitho Flux Pro Pro Max Smartphone [PEI-083-09] ($1,102.99 vs $1,258.99)</t>
        </is>
      </c>
      <c r="S731" s="43" t="inlineStr">
        <is>
          <t>photography, video, mobile gaming</t>
        </is>
      </c>
      <c r="T731" s="0" t="inlineStr">
        <is>
          <t>in_stock</t>
        </is>
      </c>
      <c r="U731" s="0" t="n">
        <v>30</v>
      </c>
      <c r="V731" s="52" t="n">
        <v>1259.99</v>
      </c>
      <c r="W731" s="0" t="inlineStr">
        <is>
          <t>2026-08-09</t>
        </is>
      </c>
      <c r="X731" s="0" t="inlineStr">
        <is>
          <t>N/A</t>
        </is>
      </c>
      <c r="Y731" s="0" t="inlineStr">
        <is>
          <t>N/A</t>
        </is>
      </c>
      <c r="Z731" s="0" t="inlineStr">
        <is>
          <t>N/A</t>
        </is>
      </c>
      <c r="AA731" s="0" t="inlineStr">
        <is>
          <t>N/A</t>
        </is>
      </c>
    </row>
    <row r="732" ht="15.75" customHeight="1" s="51">
      <c r="A732" s="43" t="inlineStr">
        <is>
          <t>POT-072-10</t>
        </is>
      </c>
      <c r="B732" s="43" t="inlineStr">
        <is>
          <t>Pothos</t>
        </is>
      </c>
      <c r="C732" s="43" t="inlineStr">
        <is>
          <t>Smartphones &amp; Tablets</t>
        </is>
      </c>
      <c r="D732" s="43" t="inlineStr">
        <is>
          <t>Tablet</t>
        </is>
      </c>
      <c r="E732" s="44" t="inlineStr">
        <is>
          <t>Pothos Drift X 5G Tablet</t>
        </is>
      </c>
      <c r="F732" s="45" t="n">
        <v>1130.99</v>
      </c>
      <c r="G732" s="43" t="inlineStr">
        <is>
          <t>the Drift X; Pothos Drift X; Pothoos Drift X; Drift X tablet</t>
        </is>
      </c>
      <c r="H732" s="43" t="inlineStr">
        <is>
          <t>2 year limited</t>
        </is>
      </c>
      <c r="I732" s="43" t="inlineStr">
        <is>
          <t>FCC, CE, Energy Star</t>
        </is>
      </c>
      <c r="J732" s="43" t="inlineStr">
        <is>
          <t>MediaTek Dimensity 9400</t>
        </is>
      </c>
      <c r="K732" s="43" t="inlineStr">
        <is>
          <t>Arm Immortalis-G925</t>
        </is>
      </c>
      <c r="L732" s="43" t="inlineStr">
        <is>
          <t>OLED, 120Hz</t>
        </is>
      </c>
      <c r="M732" s="43" t="inlineStr">
        <is>
          <t>1752x2800</t>
        </is>
      </c>
      <c r="N732" s="43" t="inlineStr">
        <is>
          <t>USB-C (USB 3.2), magnetic keyboard connector, nano-SIM + eSIM</t>
        </is>
      </c>
      <c r="O732" s="43" t="inlineStr">
        <is>
          <t>Android 15</t>
        </is>
      </c>
      <c r="P732" s="43" t="n">
        <v>11</v>
      </c>
      <c r="Q732" s="46" t="n">
        <v>484</v>
      </c>
      <c r="R732" s="43" t="inlineStr">
        <is>
          <t>Lower price than Helios Aria 5G Tablet [HEL-073-08] ($1,130.99 vs $1,198.99); Lighter than Thetis Onyx 5G Tablet [THE-093-05] (484 g vs 505 g)</t>
        </is>
      </c>
      <c r="S732" s="43" t="inlineStr">
        <is>
          <t>travel, streaming, work on the go</t>
        </is>
      </c>
      <c r="T732" s="0" t="inlineStr">
        <is>
          <t>out_of_stock</t>
        </is>
      </c>
      <c r="U732" s="0" t="n">
        <v>30</v>
      </c>
      <c r="V732" s="52" t="n">
        <v>1238.99</v>
      </c>
      <c r="W732" s="0" t="inlineStr">
        <is>
          <t>2026-09-17</t>
        </is>
      </c>
      <c r="X732" s="0" t="inlineStr">
        <is>
          <t>N/A</t>
        </is>
      </c>
      <c r="Y732" s="0" t="inlineStr">
        <is>
          <t>N/A</t>
        </is>
      </c>
      <c r="Z732" s="0" t="inlineStr">
        <is>
          <t>N/A</t>
        </is>
      </c>
      <c r="AA732" s="0" t="inlineStr">
        <is>
          <t>N/A</t>
        </is>
      </c>
    </row>
    <row r="733" ht="15.75" customHeight="1" s="51">
      <c r="A733" s="43" t="inlineStr">
        <is>
          <t>HEL-073-01</t>
        </is>
      </c>
      <c r="B733" s="43" t="inlineStr">
        <is>
          <t>Helios</t>
        </is>
      </c>
      <c r="C733" s="43" t="inlineStr">
        <is>
          <t>Smartphones &amp; Tablets</t>
        </is>
      </c>
      <c r="D733" s="43" t="inlineStr">
        <is>
          <t>Tablet</t>
        </is>
      </c>
      <c r="E733" s="44" t="inlineStr">
        <is>
          <t>Helios Nimbus Air Kids Tablet</t>
        </is>
      </c>
      <c r="F733" s="45" t="n">
        <v>126.99</v>
      </c>
      <c r="G733" s="43" t="inlineStr">
        <is>
          <t>the Nimbus Air; Helios Nimbus Air; Heilos Nimbus Air; Nimbus Air tablet</t>
        </is>
      </c>
      <c r="H733" s="43" t="inlineStr">
        <is>
          <t>1 year limited</t>
        </is>
      </c>
      <c r="I733" s="43" t="inlineStr">
        <is>
          <t>FCC, CE, TUV Rheinland Low Blue Light, EN 71 Toy Safety</t>
        </is>
      </c>
      <c r="J733" s="43" t="inlineStr">
        <is>
          <t>MediaTek Helio G88</t>
        </is>
      </c>
      <c r="K733" s="43" t="inlineStr">
        <is>
          <t>Arm Mali-G52 MC2</t>
        </is>
      </c>
      <c r="L733" s="43" t="inlineStr">
        <is>
          <t>IPS LCD, 60Hz</t>
        </is>
      </c>
      <c r="M733" s="43" t="inlineStr">
        <is>
          <t>800x1280</t>
        </is>
      </c>
      <c r="N733" s="43" t="inlineStr">
        <is>
          <t>USB-C (USB 2.0), microSD slot</t>
        </is>
      </c>
      <c r="O733" s="43" t="inlineStr">
        <is>
          <t>Android 14 with parental controls</t>
        </is>
      </c>
      <c r="P733" s="43" t="n">
        <v>10</v>
      </c>
      <c r="Q733" s="46" t="n">
        <v>438</v>
      </c>
      <c r="R733" s="43" t="inlineStr">
        <is>
          <t>Lower price than Plutus Halo Air Kids Tablet [PLU-100-01] ($126.99 vs $131.99); Lighter than Aether Zen SE Kids Tablet [AET-080-01] (438 g vs 450 g)</t>
        </is>
      </c>
      <c r="S733" s="43" t="inlineStr">
        <is>
          <t>kids, learning, games</t>
        </is>
      </c>
      <c r="T733" s="0" t="inlineStr">
        <is>
          <t>out_of_stock</t>
        </is>
      </c>
      <c r="U733" s="0" t="n">
        <v>30</v>
      </c>
      <c r="V733" s="52" t="n">
        <v>132.99</v>
      </c>
      <c r="W733" s="0" t="inlineStr">
        <is>
          <t>2026-09-13</t>
        </is>
      </c>
      <c r="X733" s="0" t="inlineStr">
        <is>
          <t>N/A</t>
        </is>
      </c>
      <c r="Y733" s="0" t="inlineStr">
        <is>
          <t>N/A</t>
        </is>
      </c>
      <c r="Z733" s="0" t="inlineStr">
        <is>
          <t>N/A</t>
        </is>
      </c>
      <c r="AA733" s="0" t="inlineStr">
        <is>
          <t>N/A</t>
        </is>
      </c>
    </row>
    <row r="734" ht="15.75" customHeight="1" s="51">
      <c r="A734" s="43" t="inlineStr">
        <is>
          <t>HEL-073-02</t>
        </is>
      </c>
      <c r="B734" s="43" t="inlineStr">
        <is>
          <t>Helios</t>
        </is>
      </c>
      <c r="C734" s="43" t="inlineStr">
        <is>
          <t>Smartphones &amp; Tablets</t>
        </is>
      </c>
      <c r="D734" s="43" t="inlineStr">
        <is>
          <t>Smartphone</t>
        </is>
      </c>
      <c r="E734" s="44" t="inlineStr">
        <is>
          <t>Helios Nova SE Budget Smartphone</t>
        </is>
      </c>
      <c r="F734" s="45" t="n">
        <v>144.99</v>
      </c>
      <c r="G734" s="43" t="inlineStr">
        <is>
          <t>the Nova SE; Helios Nova SE; Hellios Nova SE; Nova SE smartphone</t>
        </is>
      </c>
      <c r="H734" s="43" t="inlineStr">
        <is>
          <t>1 year limited</t>
        </is>
      </c>
      <c r="I734" s="43" t="inlineStr">
        <is>
          <t>FCC, CE, IP54</t>
        </is>
      </c>
      <c r="J734" s="43" t="inlineStr">
        <is>
          <t>MediaTek Dimensity 6300</t>
        </is>
      </c>
      <c r="K734" s="43" t="inlineStr">
        <is>
          <t>Arm Mali-G57 MC2</t>
        </is>
      </c>
      <c r="L734" s="43" t="inlineStr">
        <is>
          <t>IPS LCD, 90Hz</t>
        </is>
      </c>
      <c r="M734" s="43" t="inlineStr">
        <is>
          <t>720x1600</t>
        </is>
      </c>
      <c r="N734" s="43" t="inlineStr">
        <is>
          <t>USB-C (USB 2.0), nano-SIM + eSIM, 3.5mm headphone jack, microSD slot</t>
        </is>
      </c>
      <c r="O734" s="43" t="inlineStr">
        <is>
          <t>Android 14</t>
        </is>
      </c>
      <c r="P734" s="43" t="n">
        <v>22</v>
      </c>
      <c r="Q734" s="46" t="n">
        <v>191</v>
      </c>
      <c r="R734" s="43" t="inlineStr">
        <is>
          <t>Lighter than Hecate Prism Lite Budget Smartphone [HEC-052-02] (191 g vs 210 g); Lower price than Alpheus Nimbus Budget Smartphone [ALP-082-03] ($144.99 vs $347.99)</t>
        </is>
      </c>
      <c r="S734" s="43" t="inlineStr">
        <is>
          <t>budget, first phone, everyday</t>
        </is>
      </c>
      <c r="T734" s="0" t="inlineStr">
        <is>
          <t>in_stock</t>
        </is>
      </c>
      <c r="U734" s="0" t="n">
        <v>30</v>
      </c>
      <c r="V734" s="52" t="n">
        <v>157.99</v>
      </c>
      <c r="W734" s="0" t="inlineStr">
        <is>
          <t>2026-08-25</t>
        </is>
      </c>
      <c r="X734" s="0" t="inlineStr">
        <is>
          <t>N/A</t>
        </is>
      </c>
      <c r="Y734" s="0" t="inlineStr">
        <is>
          <t>N/A</t>
        </is>
      </c>
      <c r="Z734" s="0" t="inlineStr">
        <is>
          <t>N/A</t>
        </is>
      </c>
      <c r="AA734" s="0" t="inlineStr">
        <is>
          <t>N/A</t>
        </is>
      </c>
    </row>
    <row r="735" ht="15.75" customHeight="1" s="51">
      <c r="A735" s="43" t="inlineStr">
        <is>
          <t>HEL-073-03</t>
        </is>
      </c>
      <c r="B735" s="43" t="inlineStr">
        <is>
          <t>Helios</t>
        </is>
      </c>
      <c r="C735" s="43" t="inlineStr">
        <is>
          <t>Smartphones &amp; Tablets</t>
        </is>
      </c>
      <c r="D735" s="43" t="inlineStr">
        <is>
          <t>Tablet</t>
        </is>
      </c>
      <c r="E735" s="44" t="inlineStr">
        <is>
          <t>Helios Aria Plus E-Ink Note Tablet</t>
        </is>
      </c>
      <c r="F735" s="45" t="n">
        <v>377.99</v>
      </c>
      <c r="G735" s="43" t="inlineStr">
        <is>
          <t>the Aria Plus; Helios Aria Plus; Helioos Aria Plus; Aria Plus tablet</t>
        </is>
      </c>
      <c r="H735" s="43" t="inlineStr">
        <is>
          <t>1 year limited</t>
        </is>
      </c>
      <c r="I735" s="43" t="inlineStr">
        <is>
          <t>FCC, CE, TUV Rheinland Low Blue Light</t>
        </is>
      </c>
      <c r="J735" s="43" t="inlineStr">
        <is>
          <t>Rockchip RK3566</t>
        </is>
      </c>
      <c r="K735" s="43" t="inlineStr">
        <is>
          <t>Arm Mali-G52 2EE</t>
        </is>
      </c>
      <c r="L735" s="43" t="inlineStr">
        <is>
          <t>E Ink Carta 1300, front-lit</t>
        </is>
      </c>
      <c r="M735" s="43" t="inlineStr">
        <is>
          <t>1404x1872</t>
        </is>
      </c>
      <c r="N735" s="43" t="inlineStr">
        <is>
          <t>USB-C (USB 2.0), microSD slot</t>
        </is>
      </c>
      <c r="O735" s="43" t="inlineStr">
        <is>
          <t>Android 13 (E Ink optimized)</t>
        </is>
      </c>
      <c r="P735" s="43" t="n">
        <v>233</v>
      </c>
      <c r="Q735" s="46" t="n">
        <v>424</v>
      </c>
      <c r="R735" s="43" t="inlineStr">
        <is>
          <t>Lower price than Erato Aria E-Ink Note Tablet [ERA-085-03] ($377.99 vs $525.99); Lighter than Adrastea Zen Pro E-Ink Note Tablet [ADR-094-03] (424 g vs 438 g)</t>
        </is>
      </c>
      <c r="S735" s="43" t="inlineStr">
        <is>
          <t>reading, note-taking, school</t>
        </is>
      </c>
      <c r="T735" s="0" t="inlineStr">
        <is>
          <t>in_stock</t>
        </is>
      </c>
      <c r="U735" s="0" t="n">
        <v>30</v>
      </c>
      <c r="V735" s="52" t="n">
        <v>398.99</v>
      </c>
      <c r="W735" s="0" t="inlineStr">
        <is>
          <t>2026-09-24</t>
        </is>
      </c>
      <c r="X735" s="0" t="inlineStr">
        <is>
          <t>N/A</t>
        </is>
      </c>
      <c r="Y735" s="0" t="inlineStr">
        <is>
          <t>N/A</t>
        </is>
      </c>
      <c r="Z735" s="0" t="inlineStr">
        <is>
          <t>N/A</t>
        </is>
      </c>
      <c r="AA735" s="0" t="inlineStr">
        <is>
          <t>N/A</t>
        </is>
      </c>
    </row>
    <row r="736" ht="15.75" customHeight="1" s="51">
      <c r="A736" s="43" t="inlineStr">
        <is>
          <t>HEL-073-04</t>
        </is>
      </c>
      <c r="B736" s="43" t="inlineStr">
        <is>
          <t>Helios</t>
        </is>
      </c>
      <c r="C736" s="43" t="inlineStr">
        <is>
          <t>Smartphones &amp; Tablets</t>
        </is>
      </c>
      <c r="D736" s="43" t="inlineStr">
        <is>
          <t>Smartphone</t>
        </is>
      </c>
      <c r="E736" s="44" t="inlineStr">
        <is>
          <t>Helios Sable SE Compact Smartphone</t>
        </is>
      </c>
      <c r="F736" s="45" t="n">
        <v>634.99</v>
      </c>
      <c r="G736" s="43" t="inlineStr">
        <is>
          <t>the Sable SE; Helios Sable SE; Hleios Sable SE; Sable SE smartphone</t>
        </is>
      </c>
      <c r="H736" s="43" t="inlineStr">
        <is>
          <t>1 year limited</t>
        </is>
      </c>
      <c r="I736" s="43" t="inlineStr">
        <is>
          <t>FCC, CE, IP68</t>
        </is>
      </c>
      <c r="J736" s="43" t="inlineStr">
        <is>
          <t>Qualcomm Snapdragon 7+ Gen 3</t>
        </is>
      </c>
      <c r="K736" s="43" t="inlineStr">
        <is>
          <t>Qualcomm Adreno 732</t>
        </is>
      </c>
      <c r="L736" s="43" t="inlineStr">
        <is>
          <t>AMOLED, 120Hz</t>
        </is>
      </c>
      <c r="M736" s="43" t="inlineStr">
        <is>
          <t>1080x2340</t>
        </is>
      </c>
      <c r="N736" s="43" t="inlineStr">
        <is>
          <t>USB-C (USB 2.0), nano-SIM + eSIM</t>
        </is>
      </c>
      <c r="O736" s="43" t="inlineStr">
        <is>
          <t>Android 15</t>
        </is>
      </c>
      <c r="P736" s="43" t="n">
        <v>18</v>
      </c>
      <c r="Q736" s="46" t="n">
        <v>149</v>
      </c>
      <c r="R736" s="43" t="inlineStr">
        <is>
          <t>Lighter than Dike Quanta Plus Compact Smartphone [DIK-099-06] (149 g vs 163 g); Lower price than Pothos Vertex Compact Smartphone [POT-072-04] ($634.99 vs $780.99)</t>
        </is>
      </c>
      <c r="S736" s="43" t="inlineStr">
        <is>
          <t>everyday, one-handed use</t>
        </is>
      </c>
      <c r="T736" s="0" t="inlineStr">
        <is>
          <t>in_stock</t>
        </is>
      </c>
      <c r="U736" s="0" t="n">
        <v>30</v>
      </c>
      <c r="V736" s="52" t="n">
        <v>685.99</v>
      </c>
      <c r="W736" s="0" t="inlineStr">
        <is>
          <t>2026-08-24</t>
        </is>
      </c>
      <c r="X736" s="0" t="inlineStr">
        <is>
          <t>N/A</t>
        </is>
      </c>
      <c r="Y736" s="0" t="inlineStr">
        <is>
          <t>N/A</t>
        </is>
      </c>
      <c r="Z736" s="0" t="inlineStr">
        <is>
          <t>N/A</t>
        </is>
      </c>
      <c r="AA736" s="0" t="inlineStr">
        <is>
          <t>N/A</t>
        </is>
      </c>
    </row>
    <row r="737" ht="15.75" customHeight="1" s="51">
      <c r="A737" s="43" t="inlineStr">
        <is>
          <t>HEL-073-05</t>
        </is>
      </c>
      <c r="B737" s="43" t="inlineStr">
        <is>
          <t>Helios</t>
        </is>
      </c>
      <c r="C737" s="43" t="inlineStr">
        <is>
          <t>Smartphones &amp; Tablets</t>
        </is>
      </c>
      <c r="D737" s="43" t="inlineStr">
        <is>
          <t>Tablet</t>
        </is>
      </c>
      <c r="E737" s="44" t="inlineStr">
        <is>
          <t>Helios Lumen Pro Drawing Tablet with Stylus</t>
        </is>
      </c>
      <c r="F737" s="45" t="n">
        <v>868.99</v>
      </c>
      <c r="G737" s="43" t="inlineStr">
        <is>
          <t>the Lumen Pro; Helios Lumen Pro; Helio Lumen Pro; Lumen Pro tablet</t>
        </is>
      </c>
      <c r="H737" s="43" t="inlineStr">
        <is>
          <t>1 year limited</t>
        </is>
      </c>
      <c r="I737" s="43" t="inlineStr">
        <is>
          <t>FCC, CE, TUV Rheinland Low Blue Light, Energy Star</t>
        </is>
      </c>
      <c r="J737" s="43" t="inlineStr">
        <is>
          <t>Qualcomm Snapdragon 8 Gen 3</t>
        </is>
      </c>
      <c r="K737" s="43" t="inlineStr">
        <is>
          <t>Qualcomm Adreno 750</t>
        </is>
      </c>
      <c r="L737" s="43" t="inlineStr">
        <is>
          <t>OLED, 120Hz, pen digitizer</t>
        </is>
      </c>
      <c r="M737" s="43" t="inlineStr">
        <is>
          <t>2560x1600</t>
        </is>
      </c>
      <c r="N737" s="43" t="inlineStr">
        <is>
          <t>USB-C (USB 3.2), microSD slot</t>
        </is>
      </c>
      <c r="O737" s="43" t="inlineStr">
        <is>
          <t>Android 15</t>
        </is>
      </c>
      <c r="P737" s="43" t="n">
        <v>9</v>
      </c>
      <c r="Q737" s="46" t="n">
        <v>616</v>
      </c>
      <c r="R737" s="43" t="inlineStr">
        <is>
          <t>Lower price than Aletheia Vibe Ultra Drawing Tablet with Stylus [ALE-089-08] ($868.99 vs $1,108.99); Longer battery than Alpheus Aeon Drawing Tablet with Stylus [ALP-082-05] (9 vs 8 hrs)</t>
        </is>
      </c>
      <c r="S737" s="43" t="inlineStr">
        <is>
          <t>drawing, design, note-taking</t>
        </is>
      </c>
      <c r="T737" s="0" t="inlineStr">
        <is>
          <t>in_stock</t>
        </is>
      </c>
      <c r="U737" s="0" t="n">
        <v>30</v>
      </c>
      <c r="V737" s="52" t="n">
        <v>938.99</v>
      </c>
      <c r="W737" s="0" t="inlineStr">
        <is>
          <t>2026-09-13</t>
        </is>
      </c>
      <c r="X737" s="0" t="inlineStr">
        <is>
          <t>N/A</t>
        </is>
      </c>
      <c r="Y737" s="0" t="inlineStr">
        <is>
          <t>N/A</t>
        </is>
      </c>
      <c r="Z737" s="0" t="inlineStr">
        <is>
          <t>N/A</t>
        </is>
      </c>
      <c r="AA737" s="0" t="inlineStr">
        <is>
          <t>N/A</t>
        </is>
      </c>
    </row>
    <row r="738" ht="15.75" customHeight="1" s="51">
      <c r="A738" s="43" t="inlineStr">
        <is>
          <t>HEL-073-06</t>
        </is>
      </c>
      <c r="B738" s="43" t="inlineStr">
        <is>
          <t>Helios</t>
        </is>
      </c>
      <c r="C738" s="43" t="inlineStr">
        <is>
          <t>Smartphones &amp; Tablets</t>
        </is>
      </c>
      <c r="D738" s="43" t="inlineStr">
        <is>
          <t>Smartphone</t>
        </is>
      </c>
      <c r="E738" s="44" t="inlineStr">
        <is>
          <t>Helios Volt SE Pro Max Smartphone</t>
        </is>
      </c>
      <c r="F738" s="45" t="n">
        <v>1138.99</v>
      </c>
      <c r="G738" s="43" t="inlineStr">
        <is>
          <t>the Volt SE; Helios Volt SE; Heelios Volt SE; Volt SE smartphone</t>
        </is>
      </c>
      <c r="H738" s="43" t="inlineStr">
        <is>
          <t>1 year limited</t>
        </is>
      </c>
      <c r="I738" s="43" t="inlineStr">
        <is>
          <t>FCC, CE, IP68, Qi2</t>
        </is>
      </c>
      <c r="J738" s="43" t="inlineStr">
        <is>
          <t>MediaTek Dimensity 9400</t>
        </is>
      </c>
      <c r="K738" s="43" t="inlineStr">
        <is>
          <t>Arm Immortalis-G925</t>
        </is>
      </c>
      <c r="L738" s="43" t="inlineStr">
        <is>
          <t>LTPO AMOLED, 1-120Hz</t>
        </is>
      </c>
      <c r="M738" s="43" t="inlineStr">
        <is>
          <t>1440x3120</t>
        </is>
      </c>
      <c r="N738" s="43" t="inlineStr">
        <is>
          <t>USB-C (USB 3.2), nano-SIM + eSIM</t>
        </is>
      </c>
      <c r="O738" s="43" t="inlineStr">
        <is>
          <t>Android 15</t>
        </is>
      </c>
      <c r="P738" s="43" t="n">
        <v>35</v>
      </c>
      <c r="Q738" s="46" t="n">
        <v>234</v>
      </c>
      <c r="R738" s="43" t="inlineStr">
        <is>
          <t>Lower price than Aether Pulse Pro Max Smartphone [AET-080-08] ($1,138.99 vs $1,152.99); Longer battery than Coeus Aeon Ultra Pro Max Smartphone [COE-075-10] (35 vs 30 hrs)</t>
        </is>
      </c>
      <c r="S738" s="43" t="inlineStr">
        <is>
          <t>photography, video, mobile gaming</t>
        </is>
      </c>
      <c r="T738" s="0" t="inlineStr">
        <is>
          <t>in_stock</t>
        </is>
      </c>
      <c r="U738" s="0" t="n">
        <v>30</v>
      </c>
      <c r="V738" s="52" t="n">
        <v>1200.99</v>
      </c>
      <c r="W738" s="0" t="inlineStr">
        <is>
          <t>2026-08-01</t>
        </is>
      </c>
      <c r="X738" s="0" t="inlineStr">
        <is>
          <t>N/A</t>
        </is>
      </c>
      <c r="Y738" s="0" t="inlineStr">
        <is>
          <t>N/A</t>
        </is>
      </c>
      <c r="Z738" s="0" t="inlineStr">
        <is>
          <t>N/A</t>
        </is>
      </c>
      <c r="AA738" s="0" t="inlineStr">
        <is>
          <t>N/A</t>
        </is>
      </c>
    </row>
    <row r="739" ht="15.75" customHeight="1" s="51">
      <c r="A739" s="43" t="inlineStr">
        <is>
          <t>HEL-073-07</t>
        </is>
      </c>
      <c r="B739" s="43" t="inlineStr">
        <is>
          <t>Helios</t>
        </is>
      </c>
      <c r="C739" s="43" t="inlineStr">
        <is>
          <t>Smartphones &amp; Tablets</t>
        </is>
      </c>
      <c r="D739" s="43" t="inlineStr">
        <is>
          <t>Smartphone</t>
        </is>
      </c>
      <c r="E739" s="44" t="inlineStr">
        <is>
          <t>Helios Wave Flip Foldable Phone</t>
        </is>
      </c>
      <c r="F739" s="45" t="n">
        <v>1157.99</v>
      </c>
      <c r="G739" s="43" t="inlineStr">
        <is>
          <t>the Wave; Helios Wave; Heilos Wave; Wave smartphone</t>
        </is>
      </c>
      <c r="H739" s="43" t="inlineStr">
        <is>
          <t>2 year limited</t>
        </is>
      </c>
      <c r="I739" s="43" t="inlineStr">
        <is>
          <t>FCC, CE, IPX8</t>
        </is>
      </c>
      <c r="J739" s="43" t="inlineStr">
        <is>
          <t>MediaTek Dimensity 9400</t>
        </is>
      </c>
      <c r="K739" s="43" t="inlineStr">
        <is>
          <t>Arm Immortalis-G925</t>
        </is>
      </c>
      <c r="L739" s="43" t="inlineStr">
        <is>
          <t>Foldable AMOLED inner + AMOLED cover screen</t>
        </is>
      </c>
      <c r="M739" s="43" t="inlineStr">
        <is>
          <t>1080x2640 inner / 720x748 cover</t>
        </is>
      </c>
      <c r="N739" s="43" t="inlineStr">
        <is>
          <t>USB-C (USB 3.2), nano-SIM + eSIM</t>
        </is>
      </c>
      <c r="O739" s="43" t="inlineStr">
        <is>
          <t>Android 15</t>
        </is>
      </c>
      <c r="P739" s="43" t="n">
        <v>21</v>
      </c>
      <c r="Q739" s="46" t="n">
        <v>188</v>
      </c>
      <c r="R739" s="43" t="inlineStr">
        <is>
          <t>Longer battery than Leucothea Strata Max Flip Foldable Phone [LEU-095-06] (21 vs 17 hrs); Lighter than Eurus Flux Lite Flip Foldable Phone [EUR-088-06] (188 g vs 197 g)</t>
        </is>
      </c>
      <c r="S739" s="43" t="inlineStr">
        <is>
          <t>style, everyday, compact</t>
        </is>
      </c>
      <c r="T739" s="0" t="inlineStr">
        <is>
          <t>in_stock</t>
        </is>
      </c>
      <c r="U739" s="0" t="n">
        <v>30</v>
      </c>
      <c r="V739" s="52" t="n">
        <v>1302.99</v>
      </c>
      <c r="W739" s="0" t="inlineStr">
        <is>
          <t>2026-08-08</t>
        </is>
      </c>
      <c r="X739" s="0" t="inlineStr">
        <is>
          <t>N/A</t>
        </is>
      </c>
      <c r="Y739" s="0" t="inlineStr">
        <is>
          <t>N/A</t>
        </is>
      </c>
      <c r="Z739" s="0" t="inlineStr">
        <is>
          <t>N/A</t>
        </is>
      </c>
      <c r="AA739" s="0" t="inlineStr">
        <is>
          <t>N/A</t>
        </is>
      </c>
    </row>
    <row r="740" ht="15.75" customHeight="1" s="51">
      <c r="A740" s="43" t="inlineStr">
        <is>
          <t>HEL-073-08</t>
        </is>
      </c>
      <c r="B740" s="43" t="inlineStr">
        <is>
          <t>Helios</t>
        </is>
      </c>
      <c r="C740" s="43" t="inlineStr">
        <is>
          <t>Smartphones &amp; Tablets</t>
        </is>
      </c>
      <c r="D740" s="43" t="inlineStr">
        <is>
          <t>Tablet</t>
        </is>
      </c>
      <c r="E740" s="44" t="inlineStr">
        <is>
          <t>Helios Aria 5G Tablet</t>
        </is>
      </c>
      <c r="F740" s="45" t="n">
        <v>1198.99</v>
      </c>
      <c r="G740" s="43" t="inlineStr">
        <is>
          <t>the Aria; Helios Aria; Heliios Aria; Aria tablet</t>
        </is>
      </c>
      <c r="H740" s="43" t="inlineStr">
        <is>
          <t>2 year limited</t>
        </is>
      </c>
      <c r="I740" s="43" t="inlineStr">
        <is>
          <t>FCC, CE, Energy Star</t>
        </is>
      </c>
      <c r="J740" s="43" t="inlineStr">
        <is>
          <t>MediaTek Dimensity 9400</t>
        </is>
      </c>
      <c r="K740" s="43" t="inlineStr">
        <is>
          <t>Arm Immortalis-G925</t>
        </is>
      </c>
      <c r="L740" s="43" t="inlineStr">
        <is>
          <t>OLED, 120Hz</t>
        </is>
      </c>
      <c r="M740" s="43" t="inlineStr">
        <is>
          <t>1752x2800</t>
        </is>
      </c>
      <c r="N740" s="43" t="inlineStr">
        <is>
          <t>USB-C (USB 3.2), magnetic keyboard connector, nano-SIM + eSIM</t>
        </is>
      </c>
      <c r="O740" s="43" t="inlineStr">
        <is>
          <t>Android 15</t>
        </is>
      </c>
      <c r="P740" s="43" t="n">
        <v>14</v>
      </c>
      <c r="Q740" s="46" t="n">
        <v>520</v>
      </c>
      <c r="R740" s="43" t="inlineStr">
        <is>
          <t>Longer battery than Peitho Vertex Lite 5G Tablet [PEI-083-07] (14 vs 11 hrs); Lighter than Triton Nimbus X 5G Tablet [TRI-092-06] (520 g vs 535 g)</t>
        </is>
      </c>
      <c r="S740" s="43" t="inlineStr">
        <is>
          <t>travel, streaming, work on the go</t>
        </is>
      </c>
      <c r="T740" s="0" t="inlineStr">
        <is>
          <t>in_stock</t>
        </is>
      </c>
      <c r="U740" s="0" t="n">
        <v>30</v>
      </c>
      <c r="V740" s="52" t="n">
        <v>1335.99</v>
      </c>
      <c r="W740" s="0" t="inlineStr">
        <is>
          <t>2026-08-27</t>
        </is>
      </c>
      <c r="X740" s="0" t="inlineStr">
        <is>
          <t>N/A</t>
        </is>
      </c>
      <c r="Y740" s="0" t="inlineStr">
        <is>
          <t>N/A</t>
        </is>
      </c>
      <c r="Z740" s="0" t="inlineStr">
        <is>
          <t>N/A</t>
        </is>
      </c>
      <c r="AA740" s="0" t="inlineStr">
        <is>
          <t>N/A</t>
        </is>
      </c>
    </row>
    <row r="741" ht="15.75" customHeight="1" s="51">
      <c r="A741" s="43" t="inlineStr">
        <is>
          <t>HEL-073-09</t>
        </is>
      </c>
      <c r="B741" s="43" t="inlineStr">
        <is>
          <t>Helios</t>
        </is>
      </c>
      <c r="C741" s="43" t="inlineStr">
        <is>
          <t>Smartphones &amp; Tablets</t>
        </is>
      </c>
      <c r="D741" s="43" t="inlineStr">
        <is>
          <t>Tablet</t>
        </is>
      </c>
      <c r="E741" s="44" t="inlineStr">
        <is>
          <t>Helios Arc Max 13" Pro Tablet</t>
        </is>
      </c>
      <c r="F741" s="45" t="n">
        <v>1711.99</v>
      </c>
      <c r="G741" s="43" t="inlineStr">
        <is>
          <t>the Arc Max; Helios Arc Max; Helio Arc Max; Arc Max tablet</t>
        </is>
      </c>
      <c r="H741" s="43" t="inlineStr">
        <is>
          <t>2 year limited</t>
        </is>
      </c>
      <c r="I741" s="43" t="inlineStr">
        <is>
          <t>FCC, CE, Energy Star</t>
        </is>
      </c>
      <c r="J741" s="43" t="inlineStr">
        <is>
          <t>Qualcomm Snapdragon 8 Elite</t>
        </is>
      </c>
      <c r="K741" s="43" t="inlineStr">
        <is>
          <t>Qualcomm Adreno 830</t>
        </is>
      </c>
      <c r="L741" s="43" t="inlineStr">
        <is>
          <t>Mini-LED, 144Hz</t>
        </is>
      </c>
      <c r="M741" s="43" t="inlineStr">
        <is>
          <t>2960x1848</t>
        </is>
      </c>
      <c r="N741" s="43" t="inlineStr">
        <is>
          <t>USB-C (USB 3.2), magnetic keyboard connector</t>
        </is>
      </c>
      <c r="O741" s="43" t="inlineStr">
        <is>
          <t>Android 15</t>
        </is>
      </c>
      <c r="P741" s="43" t="n">
        <v>9</v>
      </c>
      <c r="Q741" s="46" t="n">
        <v>582</v>
      </c>
      <c r="R741" s="43" t="inlineStr">
        <is>
          <t>Lower price than Triton Vibe Air 13" Pro Tablet [TRI-092-09] ($1,711.99 vs $1,825.99); Lighter than Leto Sable 13" Pro Tablet [LET-077-10] (582 g vs 660 g)</t>
        </is>
      </c>
      <c r="S741" s="43" t="inlineStr">
        <is>
          <t>creative work, productivity, drawing</t>
        </is>
      </c>
      <c r="T741" s="0" t="inlineStr">
        <is>
          <t>low_stock</t>
        </is>
      </c>
      <c r="U741" s="0" t="n">
        <v>30</v>
      </c>
      <c r="V741" s="52" t="n">
        <v>1914.99</v>
      </c>
      <c r="W741" s="0" t="inlineStr">
        <is>
          <t>2026-08-04</t>
        </is>
      </c>
      <c r="X741" s="0" t="inlineStr">
        <is>
          <t>N/A</t>
        </is>
      </c>
      <c r="Y741" s="0" t="inlineStr">
        <is>
          <t>N/A</t>
        </is>
      </c>
      <c r="Z741" s="0" t="inlineStr">
        <is>
          <t>N/A</t>
        </is>
      </c>
      <c r="AA741" s="0" t="inlineStr">
        <is>
          <t>N/A</t>
        </is>
      </c>
    </row>
    <row r="742" ht="15.75" customHeight="1" s="51">
      <c r="A742" s="43" t="inlineStr">
        <is>
          <t>HEL-073-10</t>
        </is>
      </c>
      <c r="B742" s="43" t="inlineStr">
        <is>
          <t>Helios</t>
        </is>
      </c>
      <c r="C742" s="43" t="inlineStr">
        <is>
          <t>Smartphones &amp; Tablets</t>
        </is>
      </c>
      <c r="D742" s="43" t="inlineStr">
        <is>
          <t>Smartphone</t>
        </is>
      </c>
      <c r="E742" s="44" t="inlineStr">
        <is>
          <t>Helios Echo Foldable Phone</t>
        </is>
      </c>
      <c r="F742" s="45" t="n">
        <v>1785.99</v>
      </c>
      <c r="G742" s="43" t="inlineStr">
        <is>
          <t>the Echo; Helios Echo; Helioos Echo; Echo smartphone</t>
        </is>
      </c>
      <c r="H742" s="43" t="inlineStr">
        <is>
          <t>1 year limited</t>
        </is>
      </c>
      <c r="I742" s="43" t="inlineStr">
        <is>
          <t>FCC, CE, IPX8</t>
        </is>
      </c>
      <c r="J742" s="43" t="inlineStr">
        <is>
          <t>Qualcomm Snapdragon 8 Elite</t>
        </is>
      </c>
      <c r="K742" s="43" t="inlineStr">
        <is>
          <t>Qualcomm Adreno 830</t>
        </is>
      </c>
      <c r="L742" s="43" t="inlineStr">
        <is>
          <t>Foldable LTPO AMOLED inner + AMOLED cover, 120Hz</t>
        </is>
      </c>
      <c r="M742" s="43" t="inlineStr">
        <is>
          <t>2160x1856 inner / 1080x2376 cover</t>
        </is>
      </c>
      <c r="N742" s="43" t="inlineStr">
        <is>
          <t>USB-C (USB 3.2), nano-SIM + eSIM</t>
        </is>
      </c>
      <c r="O742" s="43" t="inlineStr">
        <is>
          <t>Android 15</t>
        </is>
      </c>
      <c r="P742" s="43" t="n">
        <v>24</v>
      </c>
      <c r="Q742" s="46" t="n">
        <v>259</v>
      </c>
      <c r="R742" s="43" t="inlineStr">
        <is>
          <t>Lower price than Aether Orbit Lite Foldable Phone [AET-080-10] ($1,785.99 vs $2,005.99); Longer battery than Erato Aria Foldable Phone [ERA-085-10] (24 vs 20 hrs)</t>
        </is>
      </c>
      <c r="S742" s="43" t="inlineStr">
        <is>
          <t>multitasking, business, media</t>
        </is>
      </c>
      <c r="T742" s="0" t="inlineStr">
        <is>
          <t>in_stock</t>
        </is>
      </c>
      <c r="U742" s="0" t="n">
        <v>30</v>
      </c>
      <c r="V742" s="52" t="n">
        <v>1917.99</v>
      </c>
      <c r="W742" s="0" t="inlineStr">
        <is>
          <t>2026-09-25</t>
        </is>
      </c>
      <c r="X742" s="0" t="inlineStr">
        <is>
          <t>N/A</t>
        </is>
      </c>
      <c r="Y742" s="0" t="inlineStr">
        <is>
          <t>N/A</t>
        </is>
      </c>
      <c r="Z742" s="0" t="inlineStr">
        <is>
          <t>N/A</t>
        </is>
      </c>
      <c r="AA742" s="0" t="inlineStr">
        <is>
          <t>N/A</t>
        </is>
      </c>
    </row>
    <row r="743" ht="15.75" customHeight="1" s="51">
      <c r="A743" s="43" t="inlineStr">
        <is>
          <t>ELP-074-01</t>
        </is>
      </c>
      <c r="B743" s="43" t="inlineStr">
        <is>
          <t>Elpis</t>
        </is>
      </c>
      <c r="C743" s="43" t="inlineStr">
        <is>
          <t>Smartphones &amp; Tablets</t>
        </is>
      </c>
      <c r="D743" s="43" t="inlineStr">
        <is>
          <t>Tablet</t>
        </is>
      </c>
      <c r="E743" s="44" t="inlineStr">
        <is>
          <t>Elpis Titan X Kids Tablet</t>
        </is>
      </c>
      <c r="F743" s="45" t="n">
        <v>193.99</v>
      </c>
      <c r="G743" s="43" t="inlineStr">
        <is>
          <t>the Titan X; Elpis Titan X; Elpi Titan X; Titan X tablet</t>
        </is>
      </c>
      <c r="H743" s="43" t="inlineStr">
        <is>
          <t>2 year limited</t>
        </is>
      </c>
      <c r="I743" s="43" t="inlineStr">
        <is>
          <t>FCC, CE, TUV Rheinland Low Blue Light, EN 71 Toy Safety, Energy Star</t>
        </is>
      </c>
      <c r="J743" s="43" t="inlineStr">
        <is>
          <t>MediaTek Helio G88</t>
        </is>
      </c>
      <c r="K743" s="43" t="inlineStr">
        <is>
          <t>Arm Mali-G52 MC2</t>
        </is>
      </c>
      <c r="L743" s="43" t="inlineStr">
        <is>
          <t>IPS LCD, 60Hz</t>
        </is>
      </c>
      <c r="M743" s="43" t="inlineStr">
        <is>
          <t>800x1280</t>
        </is>
      </c>
      <c r="N743" s="43" t="inlineStr">
        <is>
          <t>USB-C (USB 2.0), microSD slot</t>
        </is>
      </c>
      <c r="O743" s="43" t="inlineStr">
        <is>
          <t>Android 14 with parental controls</t>
        </is>
      </c>
      <c r="P743" s="43" t="n">
        <v>11</v>
      </c>
      <c r="Q743" s="46" t="n">
        <v>383</v>
      </c>
      <c r="R743" s="43" t="inlineStr">
        <is>
          <t>Lighter than Clotho Core Lite Kids Tablet [CLO-062-01] (383 g vs 419 g); Longer battery than Proteus Sable Ultra Kids Tablet [PRO-070-01] (11 vs 9 hrs)</t>
        </is>
      </c>
      <c r="S743" s="43" t="inlineStr">
        <is>
          <t>kids, learning, games</t>
        </is>
      </c>
      <c r="T743" s="0" t="inlineStr">
        <is>
          <t>in_stock</t>
        </is>
      </c>
      <c r="U743" s="0" t="n">
        <v>30</v>
      </c>
      <c r="V743" s="52" t="n">
        <v>201.99</v>
      </c>
      <c r="W743" s="0" t="inlineStr">
        <is>
          <t>2026-08-12</t>
        </is>
      </c>
      <c r="X743" s="0" t="inlineStr">
        <is>
          <t>N/A</t>
        </is>
      </c>
      <c r="Y743" s="0" t="inlineStr">
        <is>
          <t>N/A</t>
        </is>
      </c>
      <c r="Z743" s="0" t="inlineStr">
        <is>
          <t>N/A</t>
        </is>
      </c>
      <c r="AA743" s="0" t="inlineStr">
        <is>
          <t>N/A</t>
        </is>
      </c>
    </row>
    <row r="744" ht="15.75" customHeight="1" s="51">
      <c r="A744" s="43" t="inlineStr">
        <is>
          <t>ELP-074-02</t>
        </is>
      </c>
      <c r="B744" s="43" t="inlineStr">
        <is>
          <t>Elpis</t>
        </is>
      </c>
      <c r="C744" s="43" t="inlineStr">
        <is>
          <t>Smartphones &amp; Tablets</t>
        </is>
      </c>
      <c r="D744" s="43" t="inlineStr">
        <is>
          <t>Tablet</t>
        </is>
      </c>
      <c r="E744" s="44" t="inlineStr">
        <is>
          <t>Elpis Pulse Pro 8" Mini Tablet</t>
        </is>
      </c>
      <c r="F744" s="45" t="n">
        <v>359.99</v>
      </c>
      <c r="G744" s="43" t="inlineStr">
        <is>
          <t>the Pulse Pro; Elpis Pulse Pro; Elpiss Pulse Pro; Pulse Pro tablet</t>
        </is>
      </c>
      <c r="H744" s="43" t="inlineStr">
        <is>
          <t>1 year limited</t>
        </is>
      </c>
      <c r="I744" s="43" t="inlineStr">
        <is>
          <t>FCC, CE, TUV Rheinland Low Blue Light</t>
        </is>
      </c>
      <c r="J744" s="43" t="inlineStr">
        <is>
          <t>MediaTek Dimensity 7300</t>
        </is>
      </c>
      <c r="K744" s="43" t="inlineStr">
        <is>
          <t>Arm Mali-G615 MC2</t>
        </is>
      </c>
      <c r="L744" s="43" t="inlineStr">
        <is>
          <t>IPS LCD, 60Hz</t>
        </is>
      </c>
      <c r="M744" s="43" t="inlineStr">
        <is>
          <t>1200x1920</t>
        </is>
      </c>
      <c r="N744" s="43" t="inlineStr">
        <is>
          <t>USB-C (USB 2.0), microSD slot</t>
        </is>
      </c>
      <c r="O744" s="43" t="inlineStr">
        <is>
          <t>Android 15</t>
        </is>
      </c>
      <c r="P744" s="43" t="n">
        <v>12</v>
      </c>
      <c r="Q744" s="46" t="n">
        <v>332</v>
      </c>
      <c r="R744" s="43" t="inlineStr">
        <is>
          <t>Longer battery than Lethe Axis Max 8" Mini Tablet [LET-086-02] (12 vs 9 hrs); Lower price than Circe Spark 8" Mini Tablet [CIR-068-02] ($359.99 vs $482.99)</t>
        </is>
      </c>
      <c r="S744" s="43" t="inlineStr">
        <is>
          <t>reading, travel, gaming</t>
        </is>
      </c>
      <c r="T744" s="0" t="inlineStr">
        <is>
          <t>in_stock</t>
        </is>
      </c>
      <c r="U744" s="0" t="n">
        <v>30</v>
      </c>
      <c r="V744" s="52" t="n">
        <v>382.99</v>
      </c>
      <c r="W744" s="0" t="inlineStr">
        <is>
          <t>2026-09-17</t>
        </is>
      </c>
      <c r="X744" s="0" t="inlineStr">
        <is>
          <t>N/A</t>
        </is>
      </c>
      <c r="Y744" s="0" t="inlineStr">
        <is>
          <t>N/A</t>
        </is>
      </c>
      <c r="Z744" s="0" t="inlineStr">
        <is>
          <t>N/A</t>
        </is>
      </c>
      <c r="AA744" s="0" t="inlineStr">
        <is>
          <t>N/A</t>
        </is>
      </c>
    </row>
    <row r="745" ht="15.75" customHeight="1" s="51">
      <c r="A745" s="43" t="inlineStr">
        <is>
          <t>ELP-074-03</t>
        </is>
      </c>
      <c r="B745" s="43" t="inlineStr">
        <is>
          <t>Elpis</t>
        </is>
      </c>
      <c r="C745" s="43" t="inlineStr">
        <is>
          <t>Smartphones &amp; Tablets</t>
        </is>
      </c>
      <c r="D745" s="43" t="inlineStr">
        <is>
          <t>Tablet</t>
        </is>
      </c>
      <c r="E745" s="44" t="inlineStr">
        <is>
          <t>Elpis Aria SE E-Ink Note Tablet</t>
        </is>
      </c>
      <c r="F745" s="45" t="n">
        <v>538.99</v>
      </c>
      <c r="G745" s="43" t="inlineStr">
        <is>
          <t>the Aria SE; Elpis Aria SE; Elpiis Aria SE; Aria SE tablet</t>
        </is>
      </c>
      <c r="H745" s="43" t="inlineStr">
        <is>
          <t>1 year limited</t>
        </is>
      </c>
      <c r="I745" s="43" t="inlineStr">
        <is>
          <t>FCC, CE, TUV Rheinland Low Blue Light, Energy Star</t>
        </is>
      </c>
      <c r="J745" s="43" t="inlineStr">
        <is>
          <t>Rockchip RK3566</t>
        </is>
      </c>
      <c r="K745" s="43" t="inlineStr">
        <is>
          <t>Arm Mali-G52 2EE</t>
        </is>
      </c>
      <c r="L745" s="43" t="inlineStr">
        <is>
          <t>E Ink Carta 1300, front-lit</t>
        </is>
      </c>
      <c r="M745" s="43" t="inlineStr">
        <is>
          <t>1404x1872</t>
        </is>
      </c>
      <c r="N745" s="43" t="inlineStr">
        <is>
          <t>USB-C (USB 2.0), microSD slot</t>
        </is>
      </c>
      <c r="O745" s="43" t="inlineStr">
        <is>
          <t>Android 13 (E Ink optimized)</t>
        </is>
      </c>
      <c r="P745" s="43" t="n">
        <v>132</v>
      </c>
      <c r="Q745" s="46" t="n">
        <v>402</v>
      </c>
      <c r="R745" s="43" t="inlineStr">
        <is>
          <t>Lighter than Clotho Prism Ultra E-Ink Note Tablet [CLO-062-03] (402 g vs 433 g); Longer battery than Peitho Drift Air E-Ink Note Tablet [PEI-083-03] (132 vs 131 hrs)</t>
        </is>
      </c>
      <c r="S745" s="43" t="inlineStr">
        <is>
          <t>reading, note-taking, school</t>
        </is>
      </c>
      <c r="T745" s="0" t="inlineStr">
        <is>
          <t>in_stock</t>
        </is>
      </c>
      <c r="U745" s="0" t="n">
        <v>30</v>
      </c>
      <c r="V745" s="52" t="n">
        <v>614.99</v>
      </c>
      <c r="W745" s="0" t="inlineStr">
        <is>
          <t>2026-08-18</t>
        </is>
      </c>
      <c r="X745" s="0" t="inlineStr">
        <is>
          <t>N/A</t>
        </is>
      </c>
      <c r="Y745" s="0" t="inlineStr">
        <is>
          <t>N/A</t>
        </is>
      </c>
      <c r="Z745" s="0" t="inlineStr">
        <is>
          <t>N/A</t>
        </is>
      </c>
      <c r="AA745" s="0" t="inlineStr">
        <is>
          <t>N/A</t>
        </is>
      </c>
    </row>
    <row r="746" ht="15.75" customHeight="1" s="51">
      <c r="A746" s="43" t="inlineStr">
        <is>
          <t>ELP-074-04</t>
        </is>
      </c>
      <c r="B746" s="43" t="inlineStr">
        <is>
          <t>Elpis</t>
        </is>
      </c>
      <c r="C746" s="43" t="inlineStr">
        <is>
          <t>Smartphones &amp; Tablets</t>
        </is>
      </c>
      <c r="D746" s="43" t="inlineStr">
        <is>
          <t>Tablet</t>
        </is>
      </c>
      <c r="E746" s="44" t="inlineStr">
        <is>
          <t>Elpis Core 11" Tablet</t>
        </is>
      </c>
      <c r="F746" s="45" t="n">
        <v>571.99</v>
      </c>
      <c r="G746" s="43" t="inlineStr">
        <is>
          <t>the Core; Elpis Core; Elpiss Core; Core tablet</t>
        </is>
      </c>
      <c r="H746" s="43" t="inlineStr">
        <is>
          <t>1 year limited</t>
        </is>
      </c>
      <c r="I746" s="43" t="inlineStr">
        <is>
          <t>FCC, CE, Energy Star</t>
        </is>
      </c>
      <c r="J746" s="43" t="inlineStr">
        <is>
          <t>Qualcomm Snapdragon 7+ Gen 3</t>
        </is>
      </c>
      <c r="K746" s="43" t="inlineStr">
        <is>
          <t>Qualcomm Adreno 732</t>
        </is>
      </c>
      <c r="L746" s="43" t="inlineStr">
        <is>
          <t>OLED, 120Hz</t>
        </is>
      </c>
      <c r="M746" s="43" t="inlineStr">
        <is>
          <t>1752x2800</t>
        </is>
      </c>
      <c r="N746" s="43" t="inlineStr">
        <is>
          <t>USB-C (USB 2.0), microSD slot</t>
        </is>
      </c>
      <c r="O746" s="43" t="inlineStr">
        <is>
          <t>Android 15</t>
        </is>
      </c>
      <c r="P746" s="43" t="n">
        <v>13</v>
      </c>
      <c r="Q746" s="46" t="n">
        <v>461</v>
      </c>
      <c r="R746" s="43" t="inlineStr">
        <is>
          <t>Lighter than Clymene Volt Lite 11" Tablet [CLY-067-06] (461 g vs 490 g); Longer battery than Eurus Nova Plus 11" Tablet [EUR-088-02] (13 vs 10 hrs)</t>
        </is>
      </c>
      <c r="S746" s="43" t="inlineStr">
        <is>
          <t>school, streaming, reading</t>
        </is>
      </c>
      <c r="T746" s="0" t="inlineStr">
        <is>
          <t>in_stock</t>
        </is>
      </c>
      <c r="U746" s="0" t="n">
        <v>30</v>
      </c>
      <c r="V746" s="52" t="n">
        <v>654.99</v>
      </c>
      <c r="W746" s="0" t="inlineStr">
        <is>
          <t>2026-08-01</t>
        </is>
      </c>
      <c r="X746" s="0" t="inlineStr">
        <is>
          <t>N/A</t>
        </is>
      </c>
      <c r="Y746" s="0" t="inlineStr">
        <is>
          <t>N/A</t>
        </is>
      </c>
      <c r="Z746" s="0" t="inlineStr">
        <is>
          <t>N/A</t>
        </is>
      </c>
      <c r="AA746" s="0" t="inlineStr">
        <is>
          <t>N/A</t>
        </is>
      </c>
    </row>
    <row r="747" ht="15.75" customHeight="1" s="51">
      <c r="A747" s="43" t="inlineStr">
        <is>
          <t>ELP-074-05</t>
        </is>
      </c>
      <c r="B747" s="43" t="inlineStr">
        <is>
          <t>Elpis</t>
        </is>
      </c>
      <c r="C747" s="43" t="inlineStr">
        <is>
          <t>Smartphones &amp; Tablets</t>
        </is>
      </c>
      <c r="D747" s="43" t="inlineStr">
        <is>
          <t>Smartphone</t>
        </is>
      </c>
      <c r="E747" s="44" t="inlineStr">
        <is>
          <t>Elpis Nova Max Rugged Smartphone</t>
        </is>
      </c>
      <c r="F747" s="45" t="n">
        <v>771.99</v>
      </c>
      <c r="G747" s="43" t="inlineStr">
        <is>
          <t>the Nova Max; Elpis Nova Max; Elppis Nova Max; Nova Max smartphone</t>
        </is>
      </c>
      <c r="H747" s="43" t="inlineStr">
        <is>
          <t>2 year limited</t>
        </is>
      </c>
      <c r="I747" s="43" t="inlineStr">
        <is>
          <t>FCC, CE, IP69K, MIL-STD-810H</t>
        </is>
      </c>
      <c r="J747" s="43" t="inlineStr">
        <is>
          <t>MediaTek Dimensity 8300</t>
        </is>
      </c>
      <c r="K747" s="43" t="inlineStr">
        <is>
          <t>Arm Mali-G615 MC6</t>
        </is>
      </c>
      <c r="L747" s="43" t="inlineStr">
        <is>
          <t>IPS LCD, Gorilla Glass Victus, 120Hz</t>
        </is>
      </c>
      <c r="M747" s="43" t="inlineStr">
        <is>
          <t>1080x2400</t>
        </is>
      </c>
      <c r="N747" s="43" t="inlineStr">
        <is>
          <t>USB-C (USB 3.2), nano-SIM + eSIM, 3.5mm headphone jack, microSD slot</t>
        </is>
      </c>
      <c r="O747" s="43" t="inlineStr">
        <is>
          <t>Android 15</t>
        </is>
      </c>
      <c r="P747" s="43" t="n">
        <v>37</v>
      </c>
      <c r="Q747" s="46" t="n">
        <v>275</v>
      </c>
      <c r="R747" s="43" t="inlineStr">
        <is>
          <t>Longer battery than Styx Aria SE Rugged Smartphone [STY-058-03] (37 vs 30 hrs); Lighter than Tyche Nova SE Rugged Smartphone [TYC-055-03] (275 g vs 288 g)</t>
        </is>
      </c>
      <c r="S747" s="43" t="inlineStr">
        <is>
          <t>outdoor, construction, fieldwork</t>
        </is>
      </c>
      <c r="T747" s="0" t="inlineStr">
        <is>
          <t>in_stock</t>
        </is>
      </c>
      <c r="U747" s="0" t="n">
        <v>30</v>
      </c>
      <c r="V747" s="52" t="n">
        <v>849.99</v>
      </c>
      <c r="W747" s="0" t="inlineStr">
        <is>
          <t>2026-08-28</t>
        </is>
      </c>
      <c r="X747" s="0" t="inlineStr">
        <is>
          <t>N/A</t>
        </is>
      </c>
      <c r="Y747" s="0" t="inlineStr">
        <is>
          <t>N/A</t>
        </is>
      </c>
      <c r="Z747" s="0" t="inlineStr">
        <is>
          <t>N/A</t>
        </is>
      </c>
      <c r="AA747" s="0" t="inlineStr">
        <is>
          <t>N/A</t>
        </is>
      </c>
    </row>
    <row r="748" ht="15.75" customHeight="1" s="51">
      <c r="A748" s="43" t="inlineStr">
        <is>
          <t>ELP-074-06</t>
        </is>
      </c>
      <c r="B748" s="43" t="inlineStr">
        <is>
          <t>Elpis</t>
        </is>
      </c>
      <c r="C748" s="43" t="inlineStr">
        <is>
          <t>Smartphones &amp; Tablets</t>
        </is>
      </c>
      <c r="D748" s="43" t="inlineStr">
        <is>
          <t>Smartphone</t>
        </is>
      </c>
      <c r="E748" s="44" t="inlineStr">
        <is>
          <t>Elpis Echo Lite Flip Foldable Phone</t>
        </is>
      </c>
      <c r="F748" s="45" t="n">
        <v>1134.99</v>
      </c>
      <c r="G748" s="43" t="inlineStr">
        <is>
          <t>the Echo Lite; Elpis Echo Lite; Elips Echo Lite; Echo Lite smartphone</t>
        </is>
      </c>
      <c r="H748" s="43" t="inlineStr">
        <is>
          <t>2 year limited</t>
        </is>
      </c>
      <c r="I748" s="43" t="inlineStr">
        <is>
          <t>FCC, CE, IPX8</t>
        </is>
      </c>
      <c r="J748" s="43" t="inlineStr">
        <is>
          <t>MediaTek Dimensity 9400</t>
        </is>
      </c>
      <c r="K748" s="43" t="inlineStr">
        <is>
          <t>Arm Immortalis-G925</t>
        </is>
      </c>
      <c r="L748" s="43" t="inlineStr">
        <is>
          <t>Foldable AMOLED inner + AMOLED cover screen</t>
        </is>
      </c>
      <c r="M748" s="43" t="inlineStr">
        <is>
          <t>1080x2640 inner / 720x748 cover</t>
        </is>
      </c>
      <c r="N748" s="43" t="inlineStr">
        <is>
          <t>USB-C (USB 3.2), nano-SIM + eSIM</t>
        </is>
      </c>
      <c r="O748" s="43" t="inlineStr">
        <is>
          <t>Android 15</t>
        </is>
      </c>
      <c r="P748" s="43" t="n">
        <v>18</v>
      </c>
      <c r="Q748" s="46" t="n">
        <v>182</v>
      </c>
      <c r="R748" s="43" t="inlineStr">
        <is>
          <t>Lower price than Epimetheus Wave Ultra Flip Foldable Phone [EPI-091-08] ($1,134.99 vs $1,147.99); Lighter than Theia Flux Lite Flip Foldable Phone [THE-081-07] (182 g vs 186 g)</t>
        </is>
      </c>
      <c r="S748" s="43" t="inlineStr">
        <is>
          <t>style, everyday, compact</t>
        </is>
      </c>
      <c r="T748" s="0" t="inlineStr">
        <is>
          <t>out_of_stock</t>
        </is>
      </c>
      <c r="U748" s="0" t="n">
        <v>30</v>
      </c>
      <c r="V748" s="52" t="n">
        <v>1246.99</v>
      </c>
      <c r="W748" s="0" t="inlineStr">
        <is>
          <t>2026-09-25</t>
        </is>
      </c>
      <c r="X748" s="0" t="inlineStr">
        <is>
          <t>N/A</t>
        </is>
      </c>
      <c r="Y748" s="0" t="inlineStr">
        <is>
          <t>N/A</t>
        </is>
      </c>
      <c r="Z748" s="0" t="inlineStr">
        <is>
          <t>N/A</t>
        </is>
      </c>
      <c r="AA748" s="0" t="inlineStr">
        <is>
          <t>N/A</t>
        </is>
      </c>
    </row>
    <row r="749" ht="15.75" customHeight="1" s="51">
      <c r="A749" s="43" t="inlineStr">
        <is>
          <t>ELP-074-07</t>
        </is>
      </c>
      <c r="B749" s="43" t="inlineStr">
        <is>
          <t>Elpis</t>
        </is>
      </c>
      <c r="C749" s="43" t="inlineStr">
        <is>
          <t>Smartphones &amp; Tablets</t>
        </is>
      </c>
      <c r="D749" s="43" t="inlineStr">
        <is>
          <t>Tablet</t>
        </is>
      </c>
      <c r="E749" s="44" t="inlineStr">
        <is>
          <t>Elpis Lumen Pro 13" Pro Tablet</t>
        </is>
      </c>
      <c r="F749" s="45" t="n">
        <v>1164.99</v>
      </c>
      <c r="G749" s="43" t="inlineStr">
        <is>
          <t>the Lumen Pro; Elpis Lumen Pro; Elips Lumen Pro; Lumen Pro tablet</t>
        </is>
      </c>
      <c r="H749" s="43" t="inlineStr">
        <is>
          <t>1 year limited</t>
        </is>
      </c>
      <c r="I749" s="43" t="inlineStr">
        <is>
          <t>FCC, CE</t>
        </is>
      </c>
      <c r="J749" s="43" t="inlineStr">
        <is>
          <t>MediaTek Dimensity 9400</t>
        </is>
      </c>
      <c r="K749" s="43" t="inlineStr">
        <is>
          <t>Arm Immortalis-G925</t>
        </is>
      </c>
      <c r="L749" s="43" t="inlineStr">
        <is>
          <t>OLED, 120Hz</t>
        </is>
      </c>
      <c r="M749" s="43" t="inlineStr">
        <is>
          <t>2800x1752</t>
        </is>
      </c>
      <c r="N749" s="43" t="inlineStr">
        <is>
          <t>USB-C (USB 3.2), magnetic keyboard connector</t>
        </is>
      </c>
      <c r="O749" s="43" t="inlineStr">
        <is>
          <t>Android 15</t>
        </is>
      </c>
      <c r="P749" s="43" t="n">
        <v>10</v>
      </c>
      <c r="Q749" s="46" t="n">
        <v>611</v>
      </c>
      <c r="R749" s="43" t="inlineStr">
        <is>
          <t>Lighter than Nemesis Titan Lite 13" Pro Tablet [NEM-051-10] (611 g vs 613 g); Lower price than Erato Strata 13" Pro Tablet [ERA-085-08] ($1,164.99 vs $1,302.99)</t>
        </is>
      </c>
      <c r="S749" s="43" t="inlineStr">
        <is>
          <t>creative work, productivity, drawing</t>
        </is>
      </c>
      <c r="T749" s="0" t="inlineStr">
        <is>
          <t>in_stock</t>
        </is>
      </c>
      <c r="U749" s="0" t="n">
        <v>30</v>
      </c>
      <c r="V749" s="52" t="n">
        <v>1338.99</v>
      </c>
      <c r="W749" s="0" t="inlineStr">
        <is>
          <t>2026-08-11</t>
        </is>
      </c>
      <c r="X749" s="0" t="inlineStr">
        <is>
          <t>N/A</t>
        </is>
      </c>
      <c r="Y749" s="0" t="inlineStr">
        <is>
          <t>N/A</t>
        </is>
      </c>
      <c r="Z749" s="0" t="inlineStr">
        <is>
          <t>N/A</t>
        </is>
      </c>
      <c r="AA749" s="0" t="inlineStr">
        <is>
          <t>N/A</t>
        </is>
      </c>
    </row>
    <row r="750" ht="15.75" customHeight="1" s="51">
      <c r="A750" s="43" t="inlineStr">
        <is>
          <t>ELP-074-08</t>
        </is>
      </c>
      <c r="B750" s="43" t="inlineStr">
        <is>
          <t>Elpis</t>
        </is>
      </c>
      <c r="C750" s="43" t="inlineStr">
        <is>
          <t>Smartphones &amp; Tablets</t>
        </is>
      </c>
      <c r="D750" s="43" t="inlineStr">
        <is>
          <t>Smartphone</t>
        </is>
      </c>
      <c r="E750" s="44" t="inlineStr">
        <is>
          <t>Elpis Nova Max Flagship Smartphone</t>
        </is>
      </c>
      <c r="F750" s="45" t="n">
        <v>1273.99</v>
      </c>
      <c r="G750" s="43" t="inlineStr">
        <is>
          <t>the Nova Max; Elpis Nova Max; Elpiis Nova Max; Nova Max smartphone</t>
        </is>
      </c>
      <c r="H750" s="43" t="inlineStr">
        <is>
          <t>2 year limited</t>
        </is>
      </c>
      <c r="I750" s="43" t="inlineStr">
        <is>
          <t>FCC, CE, IP68, Qi2</t>
        </is>
      </c>
      <c r="J750" s="43" t="inlineStr">
        <is>
          <t>MediaTek Dimensity 9400</t>
        </is>
      </c>
      <c r="K750" s="43" t="inlineStr">
        <is>
          <t>Arm Immortalis-G925</t>
        </is>
      </c>
      <c r="L750" s="43" t="inlineStr">
        <is>
          <t>LTPO AMOLED, 1-120Hz</t>
        </is>
      </c>
      <c r="M750" s="43" t="inlineStr">
        <is>
          <t>1440x3120</t>
        </is>
      </c>
      <c r="N750" s="43" t="inlineStr">
        <is>
          <t>USB-C (USB 3.2), nano-SIM + eSIM</t>
        </is>
      </c>
      <c r="O750" s="43" t="inlineStr">
        <is>
          <t>Android 15</t>
        </is>
      </c>
      <c r="P750" s="43" t="n">
        <v>23</v>
      </c>
      <c r="Q750" s="46" t="n">
        <v>196</v>
      </c>
      <c r="R750" s="43" t="inlineStr">
        <is>
          <t>Longer battery than Triton Crest Lite Flagship Smartphone [TRI-092-07] (23 vs 22 hrs); Lighter than Aletheia Arc SE Flagship Smartphone [ALE-089-07] (196 g vs 199 g)</t>
        </is>
      </c>
      <c r="S750" s="43" t="inlineStr">
        <is>
          <t>photography, everyday, business</t>
        </is>
      </c>
      <c r="T750" s="0" t="inlineStr">
        <is>
          <t>in_stock</t>
        </is>
      </c>
      <c r="U750" s="0" t="n">
        <v>30</v>
      </c>
      <c r="V750" s="52" t="n">
        <v>1455.99</v>
      </c>
      <c r="W750" s="0" t="inlineStr">
        <is>
          <t>2026-09-08</t>
        </is>
      </c>
      <c r="X750" s="0" t="inlineStr">
        <is>
          <t>N/A</t>
        </is>
      </c>
      <c r="Y750" s="0" t="inlineStr">
        <is>
          <t>N/A</t>
        </is>
      </c>
      <c r="Z750" s="0" t="inlineStr">
        <is>
          <t>N/A</t>
        </is>
      </c>
      <c r="AA750" s="0" t="inlineStr">
        <is>
          <t>N/A</t>
        </is>
      </c>
    </row>
    <row r="751" ht="15.75" customHeight="1" s="51">
      <c r="A751" s="43" t="inlineStr">
        <is>
          <t>ELP-074-09</t>
        </is>
      </c>
      <c r="B751" s="43" t="inlineStr">
        <is>
          <t>Elpis</t>
        </is>
      </c>
      <c r="C751" s="43" t="inlineStr">
        <is>
          <t>Smartphones &amp; Tablets</t>
        </is>
      </c>
      <c r="D751" s="43" t="inlineStr">
        <is>
          <t>Smartphone</t>
        </is>
      </c>
      <c r="E751" s="44" t="inlineStr">
        <is>
          <t>Elpis Vibe SE Pro Max Smartphone</t>
        </is>
      </c>
      <c r="F751" s="45" t="n">
        <v>1398.99</v>
      </c>
      <c r="G751" s="43" t="inlineStr">
        <is>
          <t>the Vibe SE; Elpis Vibe SE; Elpiis Vibe SE; Vibe SE smartphone</t>
        </is>
      </c>
      <c r="H751" s="43" t="inlineStr">
        <is>
          <t>1 year limited</t>
        </is>
      </c>
      <c r="I751" s="43" t="inlineStr">
        <is>
          <t>FCC, CE, IP68, Qi2</t>
        </is>
      </c>
      <c r="J751" s="43" t="inlineStr">
        <is>
          <t>Qualcomm Snapdragon 8 Elite</t>
        </is>
      </c>
      <c r="K751" s="43" t="inlineStr">
        <is>
          <t>Qualcomm Adreno 830</t>
        </is>
      </c>
      <c r="L751" s="43" t="inlineStr">
        <is>
          <t>LTPO AMOLED, 1-120Hz</t>
        </is>
      </c>
      <c r="M751" s="43" t="inlineStr">
        <is>
          <t>1440x3120</t>
        </is>
      </c>
      <c r="N751" s="43" t="inlineStr">
        <is>
          <t>USB-C (USB 3.2), nano-SIM + eSIM</t>
        </is>
      </c>
      <c r="O751" s="43" t="inlineStr">
        <is>
          <t>Android 15</t>
        </is>
      </c>
      <c r="P751" s="43" t="n">
        <v>36</v>
      </c>
      <c r="Q751" s="46" t="n">
        <v>218</v>
      </c>
      <c r="R751" s="43" t="inlineStr">
        <is>
          <t>Lighter than Helios Volt SE Pro Max Smartphone [HEL-073-06] (218 g vs 234 g); Longer battery than Tyche Wave Ultra Pro Max Smartphone [TYC-055-09] (36 vs 31 hrs)</t>
        </is>
      </c>
      <c r="S751" s="43" t="inlineStr">
        <is>
          <t>photography, video, mobile gaming</t>
        </is>
      </c>
      <c r="T751" s="0" t="inlineStr">
        <is>
          <t>in_stock</t>
        </is>
      </c>
      <c r="U751" s="0" t="n">
        <v>30</v>
      </c>
      <c r="V751" s="52" t="n">
        <v>1459.99</v>
      </c>
      <c r="W751" s="0" t="inlineStr">
        <is>
          <t>2026-08-25</t>
        </is>
      </c>
      <c r="X751" s="0" t="inlineStr">
        <is>
          <t>N/A</t>
        </is>
      </c>
      <c r="Y751" s="0" t="inlineStr">
        <is>
          <t>N/A</t>
        </is>
      </c>
      <c r="Z751" s="0" t="inlineStr">
        <is>
          <t>N/A</t>
        </is>
      </c>
      <c r="AA751" s="0" t="inlineStr">
        <is>
          <t>N/A</t>
        </is>
      </c>
    </row>
    <row r="752" ht="15.75" customHeight="1" s="51">
      <c r="A752" s="43" t="inlineStr">
        <is>
          <t>ELP-074-10</t>
        </is>
      </c>
      <c r="B752" s="43" t="inlineStr">
        <is>
          <t>Elpis</t>
        </is>
      </c>
      <c r="C752" s="43" t="inlineStr">
        <is>
          <t>Smartphones &amp; Tablets</t>
        </is>
      </c>
      <c r="D752" s="43" t="inlineStr">
        <is>
          <t>Smartphone</t>
        </is>
      </c>
      <c r="E752" s="44" t="inlineStr">
        <is>
          <t>Elpis Quanta Air Foldable Phone</t>
        </is>
      </c>
      <c r="F752" s="45" t="n">
        <v>1991.99</v>
      </c>
      <c r="G752" s="43" t="inlineStr">
        <is>
          <t>the Quanta Air; Elpis Quanta Air; Elpiis Quanta Air; Quanta Air smartphone</t>
        </is>
      </c>
      <c r="H752" s="43" t="inlineStr">
        <is>
          <t>2 year limited</t>
        </is>
      </c>
      <c r="I752" s="43" t="inlineStr">
        <is>
          <t>FCC, CE, IPX8</t>
        </is>
      </c>
      <c r="J752" s="43" t="inlineStr">
        <is>
          <t>Qualcomm Snapdragon 8 Elite</t>
        </is>
      </c>
      <c r="K752" s="43" t="inlineStr">
        <is>
          <t>Qualcomm Adreno 830</t>
        </is>
      </c>
      <c r="L752" s="43" t="inlineStr">
        <is>
          <t>Foldable LTPO AMOLED inner + AMOLED cover, 120Hz</t>
        </is>
      </c>
      <c r="M752" s="43" t="inlineStr">
        <is>
          <t>2160x1856 inner / 1080x2376 cover</t>
        </is>
      </c>
      <c r="N752" s="43" t="inlineStr">
        <is>
          <t>USB-C (USB 3.2), nano-SIM + eSIM</t>
        </is>
      </c>
      <c r="O752" s="43" t="inlineStr">
        <is>
          <t>Android 15</t>
        </is>
      </c>
      <c r="P752" s="43" t="n">
        <v>18</v>
      </c>
      <c r="Q752" s="46" t="n">
        <v>242</v>
      </c>
      <c r="R752" s="43" t="inlineStr">
        <is>
          <t>Lighter than Helios Echo Foldable Phone [HEL-073-10] (242 g vs 259 g); Lower price than Erato Aria Foldable Phone [ERA-085-10] ($1,991.99 vs $2,180.99)</t>
        </is>
      </c>
      <c r="S752" s="43" t="inlineStr">
        <is>
          <t>multitasking, business, media</t>
        </is>
      </c>
      <c r="T752" s="0" t="inlineStr">
        <is>
          <t>low_stock</t>
        </is>
      </c>
      <c r="U752" s="0" t="n">
        <v>30</v>
      </c>
      <c r="V752" s="52" t="n">
        <v>2068.99</v>
      </c>
      <c r="W752" s="0" t="inlineStr">
        <is>
          <t>2026-08-24</t>
        </is>
      </c>
      <c r="X752" s="0" t="inlineStr">
        <is>
          <t>N/A</t>
        </is>
      </c>
      <c r="Y752" s="0" t="inlineStr">
        <is>
          <t>N/A</t>
        </is>
      </c>
      <c r="Z752" s="0" t="inlineStr">
        <is>
          <t>N/A</t>
        </is>
      </c>
      <c r="AA752" s="0" t="inlineStr">
        <is>
          <t>N/A</t>
        </is>
      </c>
    </row>
    <row r="753" ht="15.75" customHeight="1" s="51">
      <c r="A753" s="43" t="inlineStr">
        <is>
          <t>COE-075-01</t>
        </is>
      </c>
      <c r="B753" s="43" t="inlineStr">
        <is>
          <t>Coeus</t>
        </is>
      </c>
      <c r="C753" s="43" t="inlineStr">
        <is>
          <t>Smartphones &amp; Tablets</t>
        </is>
      </c>
      <c r="D753" s="43" t="inlineStr">
        <is>
          <t>Smartphone</t>
        </is>
      </c>
      <c r="E753" s="44" t="inlineStr">
        <is>
          <t>Coeus Sable Pro Budget Smartphone</t>
        </is>
      </c>
      <c r="F753" s="45" t="n">
        <v>279.99</v>
      </c>
      <c r="G753" s="43" t="inlineStr">
        <is>
          <t>the Sable Pro; Coeus Sable Pro; Coeeus Sable Pro; Sable Pro smartphone</t>
        </is>
      </c>
      <c r="H753" s="43" t="inlineStr">
        <is>
          <t>1 year limited</t>
        </is>
      </c>
      <c r="I753" s="43" t="inlineStr">
        <is>
          <t>FCC, CE, IP54</t>
        </is>
      </c>
      <c r="J753" s="43" t="inlineStr">
        <is>
          <t>Qualcomm Snapdragon 6 Gen 1</t>
        </is>
      </c>
      <c r="K753" s="43" t="inlineStr">
        <is>
          <t>Qualcomm Adreno 710</t>
        </is>
      </c>
      <c r="L753" s="43" t="inlineStr">
        <is>
          <t>IPS LCD, 90Hz</t>
        </is>
      </c>
      <c r="M753" s="43" t="inlineStr">
        <is>
          <t>1080x2400</t>
        </is>
      </c>
      <c r="N753" s="43" t="inlineStr">
        <is>
          <t>USB-C (USB 2.0), nano-SIM + eSIM, 3.5mm headphone jack, microSD slot</t>
        </is>
      </c>
      <c r="O753" s="43" t="inlineStr">
        <is>
          <t>Android 14</t>
        </is>
      </c>
      <c r="P753" s="43" t="n">
        <v>28</v>
      </c>
      <c r="Q753" s="46" t="n">
        <v>209</v>
      </c>
      <c r="R753" s="43" t="inlineStr">
        <is>
          <t>Longer battery than Iapetus Flux Pro Budget Smartphone [IAP-096-03] (28 vs 24 hrs); Lower price than Aether Titan X Budget Smartphone [AET-080-02] ($279.99 vs $393.99)</t>
        </is>
      </c>
      <c r="S753" s="43" t="inlineStr">
        <is>
          <t>budget, first phone, everyday</t>
        </is>
      </c>
      <c r="T753" s="0" t="inlineStr">
        <is>
          <t>in_stock</t>
        </is>
      </c>
      <c r="U753" s="0" t="n">
        <v>30</v>
      </c>
      <c r="V753" s="52" t="n">
        <v>313.99</v>
      </c>
      <c r="W753" s="0" t="inlineStr">
        <is>
          <t>2026-08-02</t>
        </is>
      </c>
      <c r="X753" s="0" t="inlineStr">
        <is>
          <t>N/A</t>
        </is>
      </c>
      <c r="Y753" s="0" t="inlineStr">
        <is>
          <t>N/A</t>
        </is>
      </c>
      <c r="Z753" s="0" t="inlineStr">
        <is>
          <t>N/A</t>
        </is>
      </c>
      <c r="AA753" s="0" t="inlineStr">
        <is>
          <t>N/A</t>
        </is>
      </c>
    </row>
    <row r="754" ht="15.75" customHeight="1" s="51">
      <c r="A754" s="43" t="inlineStr">
        <is>
          <t>COE-075-02</t>
        </is>
      </c>
      <c r="B754" s="43" t="inlineStr">
        <is>
          <t>Coeus</t>
        </is>
      </c>
      <c r="C754" s="43" t="inlineStr">
        <is>
          <t>Smartphones &amp; Tablets</t>
        </is>
      </c>
      <c r="D754" s="43" t="inlineStr">
        <is>
          <t>Tablet</t>
        </is>
      </c>
      <c r="E754" s="44" t="inlineStr">
        <is>
          <t>Coeus Onyx X E-Ink Note Tablet</t>
        </is>
      </c>
      <c r="F754" s="45" t="n">
        <v>291.99</v>
      </c>
      <c r="G754" s="43" t="inlineStr">
        <is>
          <t>the Onyx X; Coeus Onyx X; Coeuus Onyx X; Onyx X tablet</t>
        </is>
      </c>
      <c r="H754" s="43" t="inlineStr">
        <is>
          <t>1 year limited</t>
        </is>
      </c>
      <c r="I754" s="43" t="inlineStr">
        <is>
          <t>FCC, CE, TUV Rheinland Low Blue Light</t>
        </is>
      </c>
      <c r="J754" s="43" t="inlineStr">
        <is>
          <t>Rockchip RK3566</t>
        </is>
      </c>
      <c r="K754" s="43" t="inlineStr">
        <is>
          <t>Arm Mali-G52 2EE</t>
        </is>
      </c>
      <c r="L754" s="43" t="inlineStr">
        <is>
          <t>E Ink Carta 1300, front-lit</t>
        </is>
      </c>
      <c r="M754" s="43" t="inlineStr">
        <is>
          <t>1404x1872</t>
        </is>
      </c>
      <c r="N754" s="43" t="inlineStr">
        <is>
          <t>USB-C (USB 2.0), microSD slot</t>
        </is>
      </c>
      <c r="O754" s="43" t="inlineStr">
        <is>
          <t>Android 13 (E Ink optimized)</t>
        </is>
      </c>
      <c r="P754" s="43" t="n">
        <v>153</v>
      </c>
      <c r="Q754" s="46" t="n">
        <v>400</v>
      </c>
      <c r="R754" s="43" t="inlineStr">
        <is>
          <t>Lighter than Helios Aria Plus E-Ink Note Tablet [HEL-073-03] (400 g vs 424 g); Lower price than Oceanus Nova Plus E-Ink Note Tablet [OCE-060-03] ($291.99 vs $613.99)</t>
        </is>
      </c>
      <c r="S754" s="43" t="inlineStr">
        <is>
          <t>reading, note-taking, school</t>
        </is>
      </c>
      <c r="T754" s="0" t="inlineStr">
        <is>
          <t>in_stock</t>
        </is>
      </c>
      <c r="U754" s="0" t="n">
        <v>30</v>
      </c>
      <c r="V754" s="52" t="n">
        <v>320.99</v>
      </c>
      <c r="W754" s="0" t="inlineStr">
        <is>
          <t>2026-08-01</t>
        </is>
      </c>
      <c r="X754" s="0" t="inlineStr">
        <is>
          <t>N/A</t>
        </is>
      </c>
      <c r="Y754" s="0" t="inlineStr">
        <is>
          <t>N/A</t>
        </is>
      </c>
      <c r="Z754" s="0" t="inlineStr">
        <is>
          <t>N/A</t>
        </is>
      </c>
      <c r="AA754" s="0" t="inlineStr">
        <is>
          <t>N/A</t>
        </is>
      </c>
    </row>
    <row r="755" ht="15.75" customHeight="1" s="51">
      <c r="A755" s="43" t="inlineStr">
        <is>
          <t>COE-075-03</t>
        </is>
      </c>
      <c r="B755" s="43" t="inlineStr">
        <is>
          <t>Coeus</t>
        </is>
      </c>
      <c r="C755" s="43" t="inlineStr">
        <is>
          <t>Smartphones &amp; Tablets</t>
        </is>
      </c>
      <c r="D755" s="43" t="inlineStr">
        <is>
          <t>Smartphone</t>
        </is>
      </c>
      <c r="E755" s="44" t="inlineStr">
        <is>
          <t>Coeus Crest X Rugged Smartphone</t>
        </is>
      </c>
      <c r="F755" s="45" t="n">
        <v>472.99</v>
      </c>
      <c r="G755" s="43" t="inlineStr">
        <is>
          <t>the Crest X; Coeus Crest X; Koeus Crest X; Crest X smartphone</t>
        </is>
      </c>
      <c r="H755" s="43" t="inlineStr">
        <is>
          <t>2 year limited</t>
        </is>
      </c>
      <c r="I755" s="43" t="inlineStr">
        <is>
          <t>FCC, CE, IP69K, MIL-STD-810H</t>
        </is>
      </c>
      <c r="J755" s="43" t="inlineStr">
        <is>
          <t>MediaTek Dimensity 7300</t>
        </is>
      </c>
      <c r="K755" s="43" t="inlineStr">
        <is>
          <t>Arm Mali-G615 MC2</t>
        </is>
      </c>
      <c r="L755" s="43" t="inlineStr">
        <is>
          <t>IPS LCD, Gorilla Glass Victus, 120Hz</t>
        </is>
      </c>
      <c r="M755" s="43" t="inlineStr">
        <is>
          <t>1080x2400</t>
        </is>
      </c>
      <c r="N755" s="43" t="inlineStr">
        <is>
          <t>USB-C (USB 2.0), nano-SIM + eSIM, 3.5mm headphone jack, microSD slot</t>
        </is>
      </c>
      <c r="O755" s="43" t="inlineStr">
        <is>
          <t>Android 15</t>
        </is>
      </c>
      <c r="P755" s="43" t="n">
        <v>30</v>
      </c>
      <c r="Q755" s="46" t="n">
        <v>292</v>
      </c>
      <c r="R755" s="43" t="inlineStr">
        <is>
          <t>Lower price than Thetis Sable Max Rugged Smartphone [THE-093-03] ($472.99 vs $562.99); Lighter than Lachesis Titan Plus Rugged Smartphone [LAC-071-04] (292 g vs 340 g)</t>
        </is>
      </c>
      <c r="S755" s="43" t="inlineStr">
        <is>
          <t>outdoor, construction, fieldwork</t>
        </is>
      </c>
      <c r="T755" s="0" t="inlineStr">
        <is>
          <t>in_stock</t>
        </is>
      </c>
      <c r="U755" s="0" t="n">
        <v>30</v>
      </c>
      <c r="V755" s="52" t="n">
        <v>524.99</v>
      </c>
      <c r="W755" s="0" t="inlineStr">
        <is>
          <t>2026-09-18</t>
        </is>
      </c>
      <c r="X755" s="0" t="inlineStr">
        <is>
          <t>N/A</t>
        </is>
      </c>
      <c r="Y755" s="0" t="inlineStr">
        <is>
          <t>N/A</t>
        </is>
      </c>
      <c r="Z755" s="0" t="inlineStr">
        <is>
          <t>N/A</t>
        </is>
      </c>
      <c r="AA755" s="0" t="inlineStr">
        <is>
          <t>N/A</t>
        </is>
      </c>
    </row>
    <row r="756" ht="15.75" customHeight="1" s="51">
      <c r="A756" s="43" t="inlineStr">
        <is>
          <t>COE-075-04</t>
        </is>
      </c>
      <c r="B756" s="43" t="inlineStr">
        <is>
          <t>Coeus</t>
        </is>
      </c>
      <c r="C756" s="43" t="inlineStr">
        <is>
          <t>Smartphones &amp; Tablets</t>
        </is>
      </c>
      <c r="D756" s="43" t="inlineStr">
        <is>
          <t>Smartphone</t>
        </is>
      </c>
      <c r="E756" s="44" t="inlineStr">
        <is>
          <t>Coeus Drift Max Compact Smartphone</t>
        </is>
      </c>
      <c r="F756" s="45" t="n">
        <v>513.99</v>
      </c>
      <c r="G756" s="43" t="inlineStr">
        <is>
          <t>the Drift Max; Coeus Drift Max; Coues Drift Max; Drift Max smartphone</t>
        </is>
      </c>
      <c r="H756" s="43" t="inlineStr">
        <is>
          <t>1 year limited</t>
        </is>
      </c>
      <c r="I756" s="43" t="inlineStr">
        <is>
          <t>FCC, CE, IP68</t>
        </is>
      </c>
      <c r="J756" s="43" t="inlineStr">
        <is>
          <t>Qualcomm Snapdragon 7+ Gen 3</t>
        </is>
      </c>
      <c r="K756" s="43" t="inlineStr">
        <is>
          <t>Qualcomm Adreno 732</t>
        </is>
      </c>
      <c r="L756" s="43" t="inlineStr">
        <is>
          <t>AMOLED, 120Hz</t>
        </is>
      </c>
      <c r="M756" s="43" t="inlineStr">
        <is>
          <t>1080x2340</t>
        </is>
      </c>
      <c r="N756" s="43" t="inlineStr">
        <is>
          <t>USB-C (USB 2.0), nano-SIM + eSIM</t>
        </is>
      </c>
      <c r="O756" s="43" t="inlineStr">
        <is>
          <t>Android 15</t>
        </is>
      </c>
      <c r="P756" s="43" t="n">
        <v>19</v>
      </c>
      <c r="Q756" s="46" t="n">
        <v>169</v>
      </c>
      <c r="R756" s="43" t="inlineStr">
        <is>
          <t>Lower price than Lethe Quanta Compact Smartphone [LET-086-05] ($513.99 vs $761.99); Longer battery than Phobos Lumen SE Compact Smartphone [PHO-053-05] (19 vs 18 hrs)</t>
        </is>
      </c>
      <c r="S756" s="43" t="inlineStr">
        <is>
          <t>everyday, one-handed use</t>
        </is>
      </c>
      <c r="T756" s="0" t="inlineStr">
        <is>
          <t>in_stock</t>
        </is>
      </c>
      <c r="U756" s="0" t="n">
        <v>30</v>
      </c>
      <c r="V756" s="52" t="n">
        <v>545.99</v>
      </c>
      <c r="W756" s="0" t="inlineStr">
        <is>
          <t>2026-09-04</t>
        </is>
      </c>
      <c r="X756" s="0" t="inlineStr">
        <is>
          <t>N/A</t>
        </is>
      </c>
      <c r="Y756" s="0" t="inlineStr">
        <is>
          <t>N/A</t>
        </is>
      </c>
      <c r="Z756" s="0" t="inlineStr">
        <is>
          <t>N/A</t>
        </is>
      </c>
      <c r="AA756" s="0" t="inlineStr">
        <is>
          <t>N/A</t>
        </is>
      </c>
    </row>
    <row r="757" ht="15.75" customHeight="1" s="51">
      <c r="A757" s="43" t="inlineStr">
        <is>
          <t>COE-075-05</t>
        </is>
      </c>
      <c r="B757" s="43" t="inlineStr">
        <is>
          <t>Coeus</t>
        </is>
      </c>
      <c r="C757" s="43" t="inlineStr">
        <is>
          <t>Smartphones &amp; Tablets</t>
        </is>
      </c>
      <c r="D757" s="43" t="inlineStr">
        <is>
          <t>Tablet</t>
        </is>
      </c>
      <c r="E757" s="44" t="inlineStr">
        <is>
          <t>Coeus Vertex Lite 5G Tablet</t>
        </is>
      </c>
      <c r="F757" s="45" t="n">
        <v>882.99</v>
      </c>
      <c r="G757" s="43" t="inlineStr">
        <is>
          <t>the Vertex Lite; Coeus Vertex Lite; Coeuus Vertex Lite; Vertex Lite tablet</t>
        </is>
      </c>
      <c r="H757" s="43" t="inlineStr">
        <is>
          <t>1 year limited</t>
        </is>
      </c>
      <c r="I757" s="43" t="inlineStr">
        <is>
          <t>FCC, CE, Energy Star</t>
        </is>
      </c>
      <c r="J757" s="43" t="inlineStr">
        <is>
          <t>Qualcomm Snapdragon 8 Gen 3</t>
        </is>
      </c>
      <c r="K757" s="43" t="inlineStr">
        <is>
          <t>Qualcomm Adreno 750</t>
        </is>
      </c>
      <c r="L757" s="43" t="inlineStr">
        <is>
          <t>OLED, 120Hz</t>
        </is>
      </c>
      <c r="M757" s="43" t="inlineStr">
        <is>
          <t>1752x2800</t>
        </is>
      </c>
      <c r="N757" s="43" t="inlineStr">
        <is>
          <t>USB-C (USB 3.2), microSD slot, nano-SIM + eSIM</t>
        </is>
      </c>
      <c r="O757" s="43" t="inlineStr">
        <is>
          <t>Android 15</t>
        </is>
      </c>
      <c r="P757" s="43" t="n">
        <v>13</v>
      </c>
      <c r="Q757" s="46" t="n">
        <v>553</v>
      </c>
      <c r="R757" s="43" t="inlineStr">
        <is>
          <t>Lower price than Oceanus Quanta Air 5G Tablet [OCE-060-07] ($882.99 vs $1,183.99); Longer battery than Tyche Aeon Pro 5G Tablet [TYC-055-06] (13 vs 10 hrs)</t>
        </is>
      </c>
      <c r="S757" s="43" t="inlineStr">
        <is>
          <t>travel, streaming, work on the go</t>
        </is>
      </c>
      <c r="T757" s="0" t="inlineStr">
        <is>
          <t>in_stock</t>
        </is>
      </c>
      <c r="U757" s="0" t="n">
        <v>30</v>
      </c>
      <c r="V757" s="52" t="n">
        <v>992.99</v>
      </c>
      <c r="W757" s="0" t="inlineStr">
        <is>
          <t>2026-08-19</t>
        </is>
      </c>
      <c r="X757" s="0" t="inlineStr">
        <is>
          <t>N/A</t>
        </is>
      </c>
      <c r="Y757" s="0" t="inlineStr">
        <is>
          <t>N/A</t>
        </is>
      </c>
      <c r="Z757" s="0" t="inlineStr">
        <is>
          <t>N/A</t>
        </is>
      </c>
      <c r="AA757" s="0" t="inlineStr">
        <is>
          <t>N/A</t>
        </is>
      </c>
    </row>
    <row r="758" ht="15.75" customHeight="1" s="51">
      <c r="A758" s="43" t="inlineStr">
        <is>
          <t>COE-075-06</t>
        </is>
      </c>
      <c r="B758" s="43" t="inlineStr">
        <is>
          <t>Coeus</t>
        </is>
      </c>
      <c r="C758" s="43" t="inlineStr">
        <is>
          <t>Smartphones &amp; Tablets</t>
        </is>
      </c>
      <c r="D758" s="43" t="inlineStr">
        <is>
          <t>Smartphone</t>
        </is>
      </c>
      <c r="E758" s="44" t="inlineStr">
        <is>
          <t>Coeus Aria Flip Foldable Phone</t>
        </is>
      </c>
      <c r="F758" s="45" t="n">
        <v>916.99</v>
      </c>
      <c r="G758" s="43" t="inlineStr">
        <is>
          <t>the Aria; Coeus Aria; Cooeus Aria; Aria smartphone</t>
        </is>
      </c>
      <c r="H758" s="43" t="inlineStr">
        <is>
          <t>1 year limited</t>
        </is>
      </c>
      <c r="I758" s="43" t="inlineStr">
        <is>
          <t>FCC, CE, IPX8</t>
        </is>
      </c>
      <c r="J758" s="43" t="inlineStr">
        <is>
          <t>Qualcomm Snapdragon 8 Gen 3</t>
        </is>
      </c>
      <c r="K758" s="43" t="inlineStr">
        <is>
          <t>Qualcomm Adreno 750</t>
        </is>
      </c>
      <c r="L758" s="43" t="inlineStr">
        <is>
          <t>Foldable AMOLED inner + AMOLED cover screen</t>
        </is>
      </c>
      <c r="M758" s="43" t="inlineStr">
        <is>
          <t>1080x2640 inner / 720x748 cover</t>
        </is>
      </c>
      <c r="N758" s="43" t="inlineStr">
        <is>
          <t>USB-C (USB 3.2), nano-SIM + eSIM</t>
        </is>
      </c>
      <c r="O758" s="43" t="inlineStr">
        <is>
          <t>Android 15</t>
        </is>
      </c>
      <c r="P758" s="43" t="n">
        <v>21</v>
      </c>
      <c r="Q758" s="46" t="n">
        <v>186</v>
      </c>
      <c r="R758" s="43" t="inlineStr">
        <is>
          <t>Longer battery than Plutus Arc Max Flip Foldable Phone [PLU-100-07] (21 vs 19 hrs); Lower price than Triton Onyx Flip Foldable Phone [TRI-092-08] ($916.99 vs $1,122.99)</t>
        </is>
      </c>
      <c r="S758" s="43" t="inlineStr">
        <is>
          <t>style, everyday, compact</t>
        </is>
      </c>
      <c r="T758" s="0" t="inlineStr">
        <is>
          <t>in_stock</t>
        </is>
      </c>
      <c r="U758" s="0" t="n">
        <v>30</v>
      </c>
      <c r="V758" s="52" t="n">
        <v>1006.99</v>
      </c>
      <c r="W758" s="0" t="inlineStr">
        <is>
          <t>2026-09-12</t>
        </is>
      </c>
      <c r="X758" s="0" t="inlineStr">
        <is>
          <t>N/A</t>
        </is>
      </c>
      <c r="Y758" s="0" t="inlineStr">
        <is>
          <t>N/A</t>
        </is>
      </c>
      <c r="Z758" s="0" t="inlineStr">
        <is>
          <t>N/A</t>
        </is>
      </c>
      <c r="AA758" s="0" t="inlineStr">
        <is>
          <t>N/A</t>
        </is>
      </c>
    </row>
    <row r="759" ht="15.75" customHeight="1" s="51">
      <c r="A759" s="43" t="inlineStr">
        <is>
          <t>COE-075-07</t>
        </is>
      </c>
      <c r="B759" s="43" t="inlineStr">
        <is>
          <t>Coeus</t>
        </is>
      </c>
      <c r="C759" s="43" t="inlineStr">
        <is>
          <t>Smartphones &amp; Tablets</t>
        </is>
      </c>
      <c r="D759" s="43" t="inlineStr">
        <is>
          <t>Tablet</t>
        </is>
      </c>
      <c r="E759" s="44" t="inlineStr">
        <is>
          <t>Coeus Nimbus Plus Drawing Tablet with Stylus</t>
        </is>
      </c>
      <c r="F759" s="45" t="n">
        <v>1007.99</v>
      </c>
      <c r="G759" s="43" t="inlineStr">
        <is>
          <t>the Nimbus Plus; Coeus Nimbus Plus; Cous Nimbus Plus; Nimbus Plus tablet</t>
        </is>
      </c>
      <c r="H759" s="43" t="inlineStr">
        <is>
          <t>1 year limited</t>
        </is>
      </c>
      <c r="I759" s="43" t="inlineStr">
        <is>
          <t>FCC, CE, TUV Rheinland Low Blue Light, Energy Star</t>
        </is>
      </c>
      <c r="J759" s="43" t="inlineStr">
        <is>
          <t>MediaTek Dimensity 9400</t>
        </is>
      </c>
      <c r="K759" s="43" t="inlineStr">
        <is>
          <t>Arm Immortalis-G925</t>
        </is>
      </c>
      <c r="L759" s="43" t="inlineStr">
        <is>
          <t>OLED, 120Hz, pen digitizer</t>
        </is>
      </c>
      <c r="M759" s="43" t="inlineStr">
        <is>
          <t>2560x1600</t>
        </is>
      </c>
      <c r="N759" s="43" t="inlineStr">
        <is>
          <t>USB-C (USB 3.2), magnetic keyboard connector</t>
        </is>
      </c>
      <c r="O759" s="43" t="inlineStr">
        <is>
          <t>Android 15</t>
        </is>
      </c>
      <c r="P759" s="43" t="n">
        <v>8</v>
      </c>
      <c r="Q759" s="46" t="n">
        <v>612</v>
      </c>
      <c r="R759" s="43" t="inlineStr">
        <is>
          <t>Lighter than Thetis Volt Lite Drawing Tablet with Stylus [THE-093-04] (612 g vs 619 g); Lower price than Phobos Quanta X Drawing Tablet with Stylus [PHO-053-07] ($1,007.99 vs $1,135.99)</t>
        </is>
      </c>
      <c r="S759" s="43" t="inlineStr">
        <is>
          <t>drawing, design, note-taking</t>
        </is>
      </c>
      <c r="T759" s="0" t="inlineStr">
        <is>
          <t>in_stock</t>
        </is>
      </c>
      <c r="U759" s="0" t="n">
        <v>30</v>
      </c>
      <c r="V759" s="52" t="n">
        <v>1057.99</v>
      </c>
      <c r="W759" s="0" t="inlineStr">
        <is>
          <t>2026-09-23</t>
        </is>
      </c>
      <c r="X759" s="0" t="inlineStr">
        <is>
          <t>N/A</t>
        </is>
      </c>
      <c r="Y759" s="0" t="inlineStr">
        <is>
          <t>N/A</t>
        </is>
      </c>
      <c r="Z759" s="0" t="inlineStr">
        <is>
          <t>N/A</t>
        </is>
      </c>
      <c r="AA759" s="0" t="inlineStr">
        <is>
          <t>N/A</t>
        </is>
      </c>
    </row>
    <row r="760" ht="15.75" customHeight="1" s="51">
      <c r="A760" s="43" t="inlineStr">
        <is>
          <t>COE-075-08</t>
        </is>
      </c>
      <c r="B760" s="43" t="inlineStr">
        <is>
          <t>Coeus</t>
        </is>
      </c>
      <c r="C760" s="43" t="inlineStr">
        <is>
          <t>Smartphones &amp; Tablets</t>
        </is>
      </c>
      <c r="D760" s="43" t="inlineStr">
        <is>
          <t>Smartphone</t>
        </is>
      </c>
      <c r="E760" s="44" t="inlineStr">
        <is>
          <t>Coeus Lumen SE Flagship Smartphone</t>
        </is>
      </c>
      <c r="F760" s="45" t="n">
        <v>1146.99</v>
      </c>
      <c r="G760" s="43" t="inlineStr">
        <is>
          <t>the Lumen SE; Coeus Lumen SE; Ceous Lumen SE; Lumen SE smartphone</t>
        </is>
      </c>
      <c r="H760" s="43" t="inlineStr">
        <is>
          <t>1 year limited</t>
        </is>
      </c>
      <c r="I760" s="43" t="inlineStr">
        <is>
          <t>FCC, CE, IP68, Qi2</t>
        </is>
      </c>
      <c r="J760" s="43" t="inlineStr">
        <is>
          <t>MediaTek Dimensity 9400</t>
        </is>
      </c>
      <c r="K760" s="43" t="inlineStr">
        <is>
          <t>Arm Immortalis-G925</t>
        </is>
      </c>
      <c r="L760" s="43" t="inlineStr">
        <is>
          <t>LTPO AMOLED, 1-120Hz</t>
        </is>
      </c>
      <c r="M760" s="43" t="inlineStr">
        <is>
          <t>1440x3120</t>
        </is>
      </c>
      <c r="N760" s="43" t="inlineStr">
        <is>
          <t>USB-C (USB 3.2), nano-SIM + eSIM</t>
        </is>
      </c>
      <c r="O760" s="43" t="inlineStr">
        <is>
          <t>Android 15</t>
        </is>
      </c>
      <c r="P760" s="43" t="n">
        <v>23</v>
      </c>
      <c r="Q760" s="46" t="n">
        <v>180</v>
      </c>
      <c r="R760" s="43" t="inlineStr">
        <is>
          <t>Lighter than Pothos Axis Lite Flagship Smartphone [POT-072-05] (180 g vs 181 g); Lower price than Plutus Axis Plus Flagship Smartphone [PLU-100-08] ($1,146.99 vs $1,198.99)</t>
        </is>
      </c>
      <c r="S760" s="43" t="inlineStr">
        <is>
          <t>photography, everyday, business</t>
        </is>
      </c>
      <c r="T760" s="0" t="inlineStr">
        <is>
          <t>in_stock</t>
        </is>
      </c>
      <c r="U760" s="0" t="n">
        <v>30</v>
      </c>
      <c r="V760" s="52" t="n">
        <v>1227.99</v>
      </c>
      <c r="W760" s="0" t="inlineStr">
        <is>
          <t>2026-08-31</t>
        </is>
      </c>
      <c r="X760" s="0" t="inlineStr">
        <is>
          <t>N/A</t>
        </is>
      </c>
      <c r="Y760" s="0" t="inlineStr">
        <is>
          <t>N/A</t>
        </is>
      </c>
      <c r="Z760" s="0" t="inlineStr">
        <is>
          <t>N/A</t>
        </is>
      </c>
      <c r="AA760" s="0" t="inlineStr">
        <is>
          <t>N/A</t>
        </is>
      </c>
    </row>
    <row r="761" ht="15.75" customHeight="1" s="51">
      <c r="A761" s="43" t="inlineStr">
        <is>
          <t>COE-075-09</t>
        </is>
      </c>
      <c r="B761" s="43" t="inlineStr">
        <is>
          <t>Coeus</t>
        </is>
      </c>
      <c r="C761" s="43" t="inlineStr">
        <is>
          <t>Smartphones &amp; Tablets</t>
        </is>
      </c>
      <c r="D761" s="43" t="inlineStr">
        <is>
          <t>Tablet</t>
        </is>
      </c>
      <c r="E761" s="44" t="inlineStr">
        <is>
          <t>Coeus Volt Air 13" Pro Tablet</t>
        </is>
      </c>
      <c r="F761" s="45" t="n">
        <v>1231.99</v>
      </c>
      <c r="G761" s="43" t="inlineStr">
        <is>
          <t>the Volt Air; Coeus Volt Air; Coues Volt Air; Volt Air tablet</t>
        </is>
      </c>
      <c r="H761" s="43" t="inlineStr">
        <is>
          <t>1 year limited</t>
        </is>
      </c>
      <c r="I761" s="43" t="inlineStr">
        <is>
          <t>FCC, CE</t>
        </is>
      </c>
      <c r="J761" s="43" t="inlineStr">
        <is>
          <t>MediaTek Dimensity 9400</t>
        </is>
      </c>
      <c r="K761" s="43" t="inlineStr">
        <is>
          <t>Arm Immortalis-G925</t>
        </is>
      </c>
      <c r="L761" s="43" t="inlineStr">
        <is>
          <t>OLED, 120Hz</t>
        </is>
      </c>
      <c r="M761" s="43" t="inlineStr">
        <is>
          <t>2800x1752</t>
        </is>
      </c>
      <c r="N761" s="43" t="inlineStr">
        <is>
          <t>USB-C (USB 3.2), magnetic keyboard connector</t>
        </is>
      </c>
      <c r="O761" s="43" t="inlineStr">
        <is>
          <t>Android 15</t>
        </is>
      </c>
      <c r="P761" s="43" t="n">
        <v>10</v>
      </c>
      <c r="Q761" s="46" t="n">
        <v>599</v>
      </c>
      <c r="R761" s="43" t="inlineStr">
        <is>
          <t>Lower price than Pan Aria Plus 13" Pro Tablet [PAN-097-10] ($1,231.99 vs $1,715.99); Lighter than Paean Drift Plus 13" Pro Tablet [PAE-066-07] (599 g vs 638 g)</t>
        </is>
      </c>
      <c r="S761" s="43" t="inlineStr">
        <is>
          <t>creative work, productivity, drawing</t>
        </is>
      </c>
      <c r="T761" s="0" t="inlineStr">
        <is>
          <t>in_stock</t>
        </is>
      </c>
      <c r="U761" s="0" t="n">
        <v>30</v>
      </c>
      <c r="V761" s="52" t="n">
        <v>1405.99</v>
      </c>
      <c r="W761" s="0" t="inlineStr">
        <is>
          <t>2026-08-18</t>
        </is>
      </c>
      <c r="X761" s="0" t="inlineStr">
        <is>
          <t>N/A</t>
        </is>
      </c>
      <c r="Y761" s="0" t="inlineStr">
        <is>
          <t>N/A</t>
        </is>
      </c>
      <c r="Z761" s="0" t="inlineStr">
        <is>
          <t>N/A</t>
        </is>
      </c>
      <c r="AA761" s="0" t="inlineStr">
        <is>
          <t>N/A</t>
        </is>
      </c>
    </row>
    <row r="762" ht="15.75" customHeight="1" s="51">
      <c r="A762" s="43" t="inlineStr">
        <is>
          <t>COE-075-10</t>
        </is>
      </c>
      <c r="B762" s="43" t="inlineStr">
        <is>
          <t>Coeus</t>
        </is>
      </c>
      <c r="C762" s="43" t="inlineStr">
        <is>
          <t>Smartphones &amp; Tablets</t>
        </is>
      </c>
      <c r="D762" s="43" t="inlineStr">
        <is>
          <t>Smartphone</t>
        </is>
      </c>
      <c r="E762" s="44" t="inlineStr">
        <is>
          <t>Coeus Aeon Ultra Pro Max Smartphone</t>
        </is>
      </c>
      <c r="F762" s="45" t="n">
        <v>1499.99</v>
      </c>
      <c r="G762" s="43" t="inlineStr">
        <is>
          <t>the Aeon Ultra; Coeus Aeon Ultra; Cooeus Aeon Ultra; Aeon Ultra smartphone</t>
        </is>
      </c>
      <c r="H762" s="43" t="inlineStr">
        <is>
          <t>2 year limited</t>
        </is>
      </c>
      <c r="I762" s="43" t="inlineStr">
        <is>
          <t>FCC, CE, IP68, Qi2</t>
        </is>
      </c>
      <c r="J762" s="43" t="inlineStr">
        <is>
          <t>Qualcomm Snapdragon 8 Elite</t>
        </is>
      </c>
      <c r="K762" s="43" t="inlineStr">
        <is>
          <t>Qualcomm Adreno 830</t>
        </is>
      </c>
      <c r="L762" s="43" t="inlineStr">
        <is>
          <t>LTPO AMOLED, 1-120Hz</t>
        </is>
      </c>
      <c r="M762" s="43" t="inlineStr">
        <is>
          <t>1440x3120</t>
        </is>
      </c>
      <c r="N762" s="43" t="inlineStr">
        <is>
          <t>USB-C (USB 3.2), nano-SIM + eSIM</t>
        </is>
      </c>
      <c r="O762" s="43" t="inlineStr">
        <is>
          <t>Android 15</t>
        </is>
      </c>
      <c r="P762" s="43" t="n">
        <v>30</v>
      </c>
      <c r="Q762" s="46" t="n">
        <v>234</v>
      </c>
      <c r="R762" s="43" t="inlineStr">
        <is>
          <t>Lower price than Iapetus Strata Air Pro Max Smartphone [IAP-096-09] ($1,499.99 vs $1,557.99); Lighter than Styx Drift X Pro Max Smartphone [STY-058-09] (234 g vs 235 g)</t>
        </is>
      </c>
      <c r="S762" s="43" t="inlineStr">
        <is>
          <t>photography, video, mobile gaming</t>
        </is>
      </c>
      <c r="T762" s="0" t="inlineStr">
        <is>
          <t>in_stock</t>
        </is>
      </c>
      <c r="U762" s="0" t="n">
        <v>30</v>
      </c>
      <c r="V762" s="52" t="n">
        <v>1618.99</v>
      </c>
      <c r="W762" s="0" t="inlineStr">
        <is>
          <t>2026-09-24</t>
        </is>
      </c>
      <c r="X762" s="0" t="inlineStr">
        <is>
          <t>N/A</t>
        </is>
      </c>
      <c r="Y762" s="0" t="inlineStr">
        <is>
          <t>N/A</t>
        </is>
      </c>
      <c r="Z762" s="0" t="inlineStr">
        <is>
          <t>N/A</t>
        </is>
      </c>
      <c r="AA762" s="0" t="inlineStr">
        <is>
          <t>N/A</t>
        </is>
      </c>
    </row>
    <row r="763" ht="15.75" customHeight="1" s="51">
      <c r="A763" s="43" t="inlineStr">
        <is>
          <t>HEP-076-01</t>
        </is>
      </c>
      <c r="B763" s="43" t="inlineStr">
        <is>
          <t>Hephaestus</t>
        </is>
      </c>
      <c r="C763" s="43" t="inlineStr">
        <is>
          <t>Smartphones &amp; Tablets</t>
        </is>
      </c>
      <c r="D763" s="43" t="inlineStr">
        <is>
          <t>Smartphone</t>
        </is>
      </c>
      <c r="E763" s="44" t="inlineStr">
        <is>
          <t>Hephaestus Crest X Budget Smartphone</t>
        </is>
      </c>
      <c r="F763" s="45" t="n">
        <v>175.99</v>
      </c>
      <c r="G763" s="43" t="inlineStr">
        <is>
          <t>the Crest X; Hephaestus Crest X; Hepahestus Crest X; Crest X smartphone</t>
        </is>
      </c>
      <c r="H763" s="43" t="inlineStr">
        <is>
          <t>1 year limited</t>
        </is>
      </c>
      <c r="I763" s="43" t="inlineStr">
        <is>
          <t>FCC, CE, IP54</t>
        </is>
      </c>
      <c r="J763" s="43" t="inlineStr">
        <is>
          <t>MediaTek Helio G99</t>
        </is>
      </c>
      <c r="K763" s="43" t="inlineStr">
        <is>
          <t>Arm Mali-G57 MC2</t>
        </is>
      </c>
      <c r="L763" s="43" t="inlineStr">
        <is>
          <t>IPS LCD, 90Hz</t>
        </is>
      </c>
      <c r="M763" s="43" t="inlineStr">
        <is>
          <t>720x1600</t>
        </is>
      </c>
      <c r="N763" s="43" t="inlineStr">
        <is>
          <t>USB-C (USB 2.0), nano-SIM + eSIM, 3.5mm headphone jack, microSD slot</t>
        </is>
      </c>
      <c r="O763" s="43" t="inlineStr">
        <is>
          <t>Android 14</t>
        </is>
      </c>
      <c r="P763" s="43" t="n">
        <v>24</v>
      </c>
      <c r="Q763" s="46" t="n">
        <v>199</v>
      </c>
      <c r="R763" s="43" t="inlineStr">
        <is>
          <t>Lower price than Circe Drift SE Budget Smartphone [CIR-068-01] ($175.99 vs $217.99); Lighter than Athena Axis Plus Budget Smartphone [ATH-064-03] (199 g vs 204 g)</t>
        </is>
      </c>
      <c r="S763" s="43" t="inlineStr">
        <is>
          <t>budget, first phone, everyday</t>
        </is>
      </c>
      <c r="T763" s="0" t="inlineStr">
        <is>
          <t>in_stock</t>
        </is>
      </c>
      <c r="U763" s="0" t="n">
        <v>30</v>
      </c>
      <c r="V763" s="52" t="n">
        <v>182.99</v>
      </c>
      <c r="W763" s="0" t="inlineStr">
        <is>
          <t>2026-08-14</t>
        </is>
      </c>
      <c r="X763" s="0" t="inlineStr">
        <is>
          <t>N/A</t>
        </is>
      </c>
      <c r="Y763" s="0" t="inlineStr">
        <is>
          <t>N/A</t>
        </is>
      </c>
      <c r="Z763" s="0" t="inlineStr">
        <is>
          <t>N/A</t>
        </is>
      </c>
      <c r="AA763" s="0" t="inlineStr">
        <is>
          <t>N/A</t>
        </is>
      </c>
    </row>
    <row r="764" ht="15.75" customHeight="1" s="51">
      <c r="A764" s="43" t="inlineStr">
        <is>
          <t>HEP-076-02</t>
        </is>
      </c>
      <c r="B764" s="43" t="inlineStr">
        <is>
          <t>Hephaestus</t>
        </is>
      </c>
      <c r="C764" s="43" t="inlineStr">
        <is>
          <t>Smartphones &amp; Tablets</t>
        </is>
      </c>
      <c r="D764" s="43" t="inlineStr">
        <is>
          <t>Tablet</t>
        </is>
      </c>
      <c r="E764" s="44" t="inlineStr">
        <is>
          <t>Hephaestus Flux 8" Mini Tablet</t>
        </is>
      </c>
      <c r="F764" s="45" t="n">
        <v>406.99</v>
      </c>
      <c r="G764" s="43" t="inlineStr">
        <is>
          <t>the Flux; Hephaestus Flux; Hepphaestus Flux; Flux tablet</t>
        </is>
      </c>
      <c r="H764" s="43" t="inlineStr">
        <is>
          <t>1 year limited</t>
        </is>
      </c>
      <c r="I764" s="43" t="inlineStr">
        <is>
          <t>FCC, CE, TUV Rheinland Low Blue Light, Energy Star</t>
        </is>
      </c>
      <c r="J764" s="43" t="inlineStr">
        <is>
          <t>MediaTek Dimensity 7300</t>
        </is>
      </c>
      <c r="K764" s="43" t="inlineStr">
        <is>
          <t>Arm Mali-G615 MC2</t>
        </is>
      </c>
      <c r="L764" s="43" t="inlineStr">
        <is>
          <t>OLED, 120Hz</t>
        </is>
      </c>
      <c r="M764" s="43" t="inlineStr">
        <is>
          <t>1600x2560</t>
        </is>
      </c>
      <c r="N764" s="43" t="inlineStr">
        <is>
          <t>USB-C (USB 2.0), microSD slot</t>
        </is>
      </c>
      <c r="O764" s="43" t="inlineStr">
        <is>
          <t>Android 15</t>
        </is>
      </c>
      <c r="P764" s="43" t="n">
        <v>11</v>
      </c>
      <c r="Q764" s="46" t="n">
        <v>290</v>
      </c>
      <c r="R764" s="43" t="inlineStr">
        <is>
          <t>Lighter than Phobos Aria 8" Mini Tablet [PHO-053-02] (290 g vs 321 g); Lower price than Aglaea Quanta Air 8" Mini Tablet [AGL-079-05] ($406.99 vs $557.99)</t>
        </is>
      </c>
      <c r="S764" s="43" t="inlineStr">
        <is>
          <t>reading, travel, gaming</t>
        </is>
      </c>
      <c r="T764" s="0" t="inlineStr">
        <is>
          <t>in_stock</t>
        </is>
      </c>
      <c r="U764" s="0" t="n">
        <v>30</v>
      </c>
      <c r="V764" s="52" t="n">
        <v>424.99</v>
      </c>
      <c r="W764" s="0" t="inlineStr">
        <is>
          <t>2026-08-12</t>
        </is>
      </c>
      <c r="X764" s="0" t="inlineStr">
        <is>
          <t>N/A</t>
        </is>
      </c>
      <c r="Y764" s="0" t="inlineStr">
        <is>
          <t>N/A</t>
        </is>
      </c>
      <c r="Z764" s="0" t="inlineStr">
        <is>
          <t>N/A</t>
        </is>
      </c>
      <c r="AA764" s="0" t="inlineStr">
        <is>
          <t>N/A</t>
        </is>
      </c>
    </row>
    <row r="765" ht="15.75" customHeight="1" s="51">
      <c r="A765" s="43" t="inlineStr">
        <is>
          <t>HEP-076-03</t>
        </is>
      </c>
      <c r="B765" s="43" t="inlineStr">
        <is>
          <t>Hephaestus</t>
        </is>
      </c>
      <c r="C765" s="43" t="inlineStr">
        <is>
          <t>Smartphones &amp; Tablets</t>
        </is>
      </c>
      <c r="D765" s="43" t="inlineStr">
        <is>
          <t>Tablet</t>
        </is>
      </c>
      <c r="E765" s="44" t="inlineStr">
        <is>
          <t>Hephaestus Onyx Max E-Ink Note Tablet</t>
        </is>
      </c>
      <c r="F765" s="45" t="n">
        <v>432.99</v>
      </c>
      <c r="G765" s="43" t="inlineStr">
        <is>
          <t>the Onyx Max; Hephaestus Onyx Max; Hephaesstus Onyx Max; Onyx Max tablet</t>
        </is>
      </c>
      <c r="H765" s="43" t="inlineStr">
        <is>
          <t>1 year limited</t>
        </is>
      </c>
      <c r="I765" s="43" t="inlineStr">
        <is>
          <t>FCC, CE, TUV Rheinland Low Blue Light</t>
        </is>
      </c>
      <c r="J765" s="43" t="inlineStr">
        <is>
          <t>Rockchip RK3566</t>
        </is>
      </c>
      <c r="K765" s="43" t="inlineStr">
        <is>
          <t>Arm Mali-G52 2EE</t>
        </is>
      </c>
      <c r="L765" s="43" t="inlineStr">
        <is>
          <t>E Ink Carta 1300, front-lit</t>
        </is>
      </c>
      <c r="M765" s="43" t="inlineStr">
        <is>
          <t>1404x1872</t>
        </is>
      </c>
      <c r="N765" s="43" t="inlineStr">
        <is>
          <t>USB-C (USB 2.0), microSD slot</t>
        </is>
      </c>
      <c r="O765" s="43" t="inlineStr">
        <is>
          <t>Android 13 (E Ink optimized)</t>
        </is>
      </c>
      <c r="P765" s="43" t="n">
        <v>133</v>
      </c>
      <c r="Q765" s="46" t="n">
        <v>395</v>
      </c>
      <c r="R765" s="43" t="inlineStr">
        <is>
          <t>Lighter than Clotho Prism Ultra E-Ink Note Tablet [CLO-062-03] (395 g vs 433 g); Lower price than Hecate Apex Air E-Ink Note Tablet [HEC-052-04] ($432.99 vs $486.99)</t>
        </is>
      </c>
      <c r="S765" s="43" t="inlineStr">
        <is>
          <t>reading, note-taking, school</t>
        </is>
      </c>
      <c r="T765" s="0" t="inlineStr">
        <is>
          <t>low_stock</t>
        </is>
      </c>
      <c r="U765" s="0" t="n">
        <v>30</v>
      </c>
      <c r="V765" s="52" t="n">
        <v>496.99</v>
      </c>
      <c r="W765" s="0" t="inlineStr">
        <is>
          <t>2026-09-11</t>
        </is>
      </c>
      <c r="X765" s="0" t="inlineStr">
        <is>
          <t>N/A</t>
        </is>
      </c>
      <c r="Y765" s="0" t="inlineStr">
        <is>
          <t>N/A</t>
        </is>
      </c>
      <c r="Z765" s="0" t="inlineStr">
        <is>
          <t>N/A</t>
        </is>
      </c>
      <c r="AA765" s="0" t="inlineStr">
        <is>
          <t>N/A</t>
        </is>
      </c>
    </row>
    <row r="766" ht="15.75" customHeight="1" s="51">
      <c r="A766" s="43" t="inlineStr">
        <is>
          <t>HEP-076-04</t>
        </is>
      </c>
      <c r="B766" s="43" t="inlineStr">
        <is>
          <t>Hephaestus</t>
        </is>
      </c>
      <c r="C766" s="43" t="inlineStr">
        <is>
          <t>Smartphones &amp; Tablets</t>
        </is>
      </c>
      <c r="D766" s="43" t="inlineStr">
        <is>
          <t>Smartphone</t>
        </is>
      </c>
      <c r="E766" s="44" t="inlineStr">
        <is>
          <t>Hephaestus Titan Air Rugged Smartphone</t>
        </is>
      </c>
      <c r="F766" s="45" t="n">
        <v>583.99</v>
      </c>
      <c r="G766" s="43" t="inlineStr">
        <is>
          <t>the Titan Air; Hephaestus Titan Air; Hephaesuts Titan Air; Titan Air smartphone</t>
        </is>
      </c>
      <c r="H766" s="43" t="inlineStr">
        <is>
          <t>2 year limited</t>
        </is>
      </c>
      <c r="I766" s="43" t="inlineStr">
        <is>
          <t>FCC, CE, IP69K, MIL-STD-810H</t>
        </is>
      </c>
      <c r="J766" s="43" t="inlineStr">
        <is>
          <t>Qualcomm Snapdragon 7+ Gen 3</t>
        </is>
      </c>
      <c r="K766" s="43" t="inlineStr">
        <is>
          <t>Qualcomm Adreno 732</t>
        </is>
      </c>
      <c r="L766" s="43" t="inlineStr">
        <is>
          <t>IPS LCD, Gorilla Glass Victus, 120Hz</t>
        </is>
      </c>
      <c r="M766" s="43" t="inlineStr">
        <is>
          <t>1080x2400</t>
        </is>
      </c>
      <c r="N766" s="43" t="inlineStr">
        <is>
          <t>USB-C (USB 2.0), nano-SIM + eSIM, 3.5mm headphone jack, microSD slot</t>
        </is>
      </c>
      <c r="O766" s="43" t="inlineStr">
        <is>
          <t>Android 15</t>
        </is>
      </c>
      <c r="P766" s="43" t="n">
        <v>44</v>
      </c>
      <c r="Q766" s="46" t="n">
        <v>286</v>
      </c>
      <c r="R766" s="43" t="inlineStr">
        <is>
          <t>Longer battery than Leucothea Arc Air Rugged Smartphone [LEU-095-03] (44 vs 38 hrs); Lower price than Eupheme Pulse Pro Rugged Smartphone [EUP-084-07] ($583.99 vs $587.99)</t>
        </is>
      </c>
      <c r="S766" s="43" t="inlineStr">
        <is>
          <t>outdoor, construction, fieldwork</t>
        </is>
      </c>
      <c r="T766" s="0" t="inlineStr">
        <is>
          <t>in_stock</t>
        </is>
      </c>
      <c r="U766" s="0" t="n">
        <v>30</v>
      </c>
      <c r="V766" s="52" t="n">
        <v>613.99</v>
      </c>
      <c r="W766" s="0" t="inlineStr">
        <is>
          <t>2026-09-25</t>
        </is>
      </c>
      <c r="X766" s="0" t="inlineStr">
        <is>
          <t>N/A</t>
        </is>
      </c>
      <c r="Y766" s="0" t="inlineStr">
        <is>
          <t>N/A</t>
        </is>
      </c>
      <c r="Z766" s="0" t="inlineStr">
        <is>
          <t>N/A</t>
        </is>
      </c>
      <c r="AA766" s="0" t="inlineStr">
        <is>
          <t>N/A</t>
        </is>
      </c>
    </row>
    <row r="767" ht="15.75" customHeight="1" s="51">
      <c r="A767" s="43" t="inlineStr">
        <is>
          <t>HEP-076-05</t>
        </is>
      </c>
      <c r="B767" s="43" t="inlineStr">
        <is>
          <t>Hephaestus</t>
        </is>
      </c>
      <c r="C767" s="43" t="inlineStr">
        <is>
          <t>Smartphones &amp; Tablets</t>
        </is>
      </c>
      <c r="D767" s="43" t="inlineStr">
        <is>
          <t>Smartphone</t>
        </is>
      </c>
      <c r="E767" s="44" t="inlineStr">
        <is>
          <t>Hephaestus Vertex Ultra Compact Smartphone</t>
        </is>
      </c>
      <c r="F767" s="45" t="n">
        <v>593.99</v>
      </c>
      <c r="G767" s="43" t="inlineStr">
        <is>
          <t>the Vertex Ultra; Hephaestus Vertex Ultra; Hephasetus Vertex Ultra; Vertex Ultra smartphone</t>
        </is>
      </c>
      <c r="H767" s="43" t="inlineStr">
        <is>
          <t>1 year limited</t>
        </is>
      </c>
      <c r="I767" s="43" t="inlineStr">
        <is>
          <t>FCC, CE, IP68</t>
        </is>
      </c>
      <c r="J767" s="43" t="inlineStr">
        <is>
          <t>Qualcomm Snapdragon 7+ Gen 3</t>
        </is>
      </c>
      <c r="K767" s="43" t="inlineStr">
        <is>
          <t>Qualcomm Adreno 732</t>
        </is>
      </c>
      <c r="L767" s="43" t="inlineStr">
        <is>
          <t>AMOLED, 120Hz</t>
        </is>
      </c>
      <c r="M767" s="43" t="inlineStr">
        <is>
          <t>1080x2340</t>
        </is>
      </c>
      <c r="N767" s="43" t="inlineStr">
        <is>
          <t>USB-C (USB 2.0), nano-SIM + eSIM</t>
        </is>
      </c>
      <c r="O767" s="43" t="inlineStr">
        <is>
          <t>Android 15</t>
        </is>
      </c>
      <c r="P767" s="43" t="n">
        <v>20</v>
      </c>
      <c r="Q767" s="46" t="n">
        <v>159</v>
      </c>
      <c r="R767" s="43" t="inlineStr">
        <is>
          <t>Lower price than Amphitrite Sable Compact Smartphone [AMP-065-04] ($593.99 vs $726.99); Lighter than Alpheus Flux Air Compact Smartphone [ALP-082-08] (159 g vs 169 g)</t>
        </is>
      </c>
      <c r="S767" s="43" t="inlineStr">
        <is>
          <t>everyday, one-handed use</t>
        </is>
      </c>
      <c r="T767" s="0" t="inlineStr">
        <is>
          <t>low_stock</t>
        </is>
      </c>
      <c r="U767" s="0" t="n">
        <v>30</v>
      </c>
      <c r="V767" s="52" t="n">
        <v>672.99</v>
      </c>
      <c r="W767" s="0" t="inlineStr">
        <is>
          <t>2026-09-22</t>
        </is>
      </c>
      <c r="X767" s="0" t="inlineStr">
        <is>
          <t>N/A</t>
        </is>
      </c>
      <c r="Y767" s="0" t="inlineStr">
        <is>
          <t>N/A</t>
        </is>
      </c>
      <c r="Z767" s="0" t="inlineStr">
        <is>
          <t>N/A</t>
        </is>
      </c>
      <c r="AA767" s="0" t="inlineStr">
        <is>
          <t>N/A</t>
        </is>
      </c>
    </row>
    <row r="768" ht="15.75" customHeight="1" s="51">
      <c r="A768" s="43" t="inlineStr">
        <is>
          <t>HEP-076-06</t>
        </is>
      </c>
      <c r="B768" s="43" t="inlineStr">
        <is>
          <t>Hephaestus</t>
        </is>
      </c>
      <c r="C768" s="43" t="inlineStr">
        <is>
          <t>Smartphones &amp; Tablets</t>
        </is>
      </c>
      <c r="D768" s="43" t="inlineStr">
        <is>
          <t>Tablet</t>
        </is>
      </c>
      <c r="E768" s="44" t="inlineStr">
        <is>
          <t>Hephaestus Zen SE 11" Tablet</t>
        </is>
      </c>
      <c r="F768" s="45" t="n">
        <v>729.99</v>
      </c>
      <c r="G768" s="43" t="inlineStr">
        <is>
          <t>the Zen SE; Hephaestus Zen SE; Hephaaestus Zen SE; Zen SE tablet</t>
        </is>
      </c>
      <c r="H768" s="43" t="inlineStr">
        <is>
          <t>2 year limited</t>
        </is>
      </c>
      <c r="I768" s="43" t="inlineStr">
        <is>
          <t>FCC, CE, Energy Star</t>
        </is>
      </c>
      <c r="J768" s="43" t="inlineStr">
        <is>
          <t>MediaTek Dimensity 8300</t>
        </is>
      </c>
      <c r="K768" s="43" t="inlineStr">
        <is>
          <t>Arm Mali-G615 MC6</t>
        </is>
      </c>
      <c r="L768" s="43" t="inlineStr">
        <is>
          <t>OLED, 120Hz</t>
        </is>
      </c>
      <c r="M768" s="43" t="inlineStr">
        <is>
          <t>1752x2800</t>
        </is>
      </c>
      <c r="N768" s="43" t="inlineStr">
        <is>
          <t>USB-C (USB 3.2), microSD slot</t>
        </is>
      </c>
      <c r="O768" s="43" t="inlineStr">
        <is>
          <t>Android 15</t>
        </is>
      </c>
      <c r="P768" s="43" t="n">
        <v>10</v>
      </c>
      <c r="Q768" s="46" t="n">
        <v>468</v>
      </c>
      <c r="R768" s="43" t="inlineStr">
        <is>
          <t>Lighter than Clymene Volt Lite 11" Tablet [CLY-067-06] (468 g vs 490 g); Lower price than Nemesis Volt Air 11" Tablet [NEM-051-06] ($729.99 vs $734.99)</t>
        </is>
      </c>
      <c r="S768" s="43" t="inlineStr">
        <is>
          <t>school, streaming, reading</t>
        </is>
      </c>
      <c r="T768" s="0" t="inlineStr">
        <is>
          <t>low_stock</t>
        </is>
      </c>
      <c r="U768" s="0" t="n">
        <v>30</v>
      </c>
      <c r="V768" s="52" t="n">
        <v>819.99</v>
      </c>
      <c r="W768" s="0" t="inlineStr">
        <is>
          <t>2026-08-01</t>
        </is>
      </c>
      <c r="X768" s="0" t="inlineStr">
        <is>
          <t>N/A</t>
        </is>
      </c>
      <c r="Y768" s="0" t="inlineStr">
        <is>
          <t>N/A</t>
        </is>
      </c>
      <c r="Z768" s="0" t="inlineStr">
        <is>
          <t>N/A</t>
        </is>
      </c>
      <c r="AA768" s="0" t="inlineStr">
        <is>
          <t>N/A</t>
        </is>
      </c>
    </row>
    <row r="769" ht="15.75" customHeight="1" s="51">
      <c r="A769" s="43" t="inlineStr">
        <is>
          <t>HEP-076-07</t>
        </is>
      </c>
      <c r="B769" s="43" t="inlineStr">
        <is>
          <t>Hephaestus</t>
        </is>
      </c>
      <c r="C769" s="43" t="inlineStr">
        <is>
          <t>Smartphones &amp; Tablets</t>
        </is>
      </c>
      <c r="D769" s="43" t="inlineStr">
        <is>
          <t>Tablet</t>
        </is>
      </c>
      <c r="E769" s="44" t="inlineStr">
        <is>
          <t>Hephaestus Flux Drawing Tablet with Stylus</t>
        </is>
      </c>
      <c r="F769" s="45" t="n">
        <v>767.99</v>
      </c>
      <c r="G769" s="43" t="inlineStr">
        <is>
          <t>the Flux; Hephaestus Flux; Hephaesuts Flux; Flux tablet</t>
        </is>
      </c>
      <c r="H769" s="43" t="inlineStr">
        <is>
          <t>1 year limited</t>
        </is>
      </c>
      <c r="I769" s="43" t="inlineStr">
        <is>
          <t>FCC, CE, TUV Rheinland Low Blue Light</t>
        </is>
      </c>
      <c r="J769" s="43" t="inlineStr">
        <is>
          <t>MediaTek Dimensity 8300</t>
        </is>
      </c>
      <c r="K769" s="43" t="inlineStr">
        <is>
          <t>Arm Mali-G615 MC6</t>
        </is>
      </c>
      <c r="L769" s="43" t="inlineStr">
        <is>
          <t>IPS LCD anti-glare, pen digitizer</t>
        </is>
      </c>
      <c r="M769" s="43" t="inlineStr">
        <is>
          <t>2000x1200</t>
        </is>
      </c>
      <c r="N769" s="43" t="inlineStr">
        <is>
          <t>USB-C (USB 3.2), microSD slot</t>
        </is>
      </c>
      <c r="O769" s="43" t="inlineStr">
        <is>
          <t>Android 15</t>
        </is>
      </c>
      <c r="P769" s="43" t="n">
        <v>11</v>
      </c>
      <c r="Q769" s="46" t="n">
        <v>524</v>
      </c>
      <c r="R769" s="43" t="inlineStr">
        <is>
          <t>Lighter than Erato Blaze Pro Drawing Tablet with Stylus [ERA-085-02] (524 g vs 543 g); Longer battery than Triton Nova Max Drawing Tablet with Stylus [TRI-092-04] (11 vs 9 hrs)</t>
        </is>
      </c>
      <c r="S769" s="43" t="inlineStr">
        <is>
          <t>drawing, design, note-taking</t>
        </is>
      </c>
      <c r="T769" s="0" t="inlineStr">
        <is>
          <t>in_stock</t>
        </is>
      </c>
      <c r="U769" s="0" t="n">
        <v>30</v>
      </c>
      <c r="V769" s="52" t="n">
        <v>807.99</v>
      </c>
      <c r="W769" s="0" t="inlineStr">
        <is>
          <t>2026-08-16</t>
        </is>
      </c>
      <c r="X769" s="0" t="inlineStr">
        <is>
          <t>N/A</t>
        </is>
      </c>
      <c r="Y769" s="0" t="inlineStr">
        <is>
          <t>N/A</t>
        </is>
      </c>
      <c r="Z769" s="0" t="inlineStr">
        <is>
          <t>N/A</t>
        </is>
      </c>
      <c r="AA769" s="0" t="inlineStr">
        <is>
          <t>N/A</t>
        </is>
      </c>
    </row>
    <row r="770" ht="15.75" customHeight="1" s="51">
      <c r="A770" s="43" t="inlineStr">
        <is>
          <t>HEP-076-08</t>
        </is>
      </c>
      <c r="B770" s="43" t="inlineStr">
        <is>
          <t>Hephaestus</t>
        </is>
      </c>
      <c r="C770" s="43" t="inlineStr">
        <is>
          <t>Smartphones &amp; Tablets</t>
        </is>
      </c>
      <c r="D770" s="43" t="inlineStr">
        <is>
          <t>Smartphone</t>
        </is>
      </c>
      <c r="E770" s="44" t="inlineStr">
        <is>
          <t>Hephaestus Volt Air Flip Foldable Phone</t>
        </is>
      </c>
      <c r="F770" s="45" t="n">
        <v>843.99</v>
      </c>
      <c r="G770" s="43" t="inlineStr">
        <is>
          <t>the Volt Air; Hephaestus Volt Air; Hephaestuss Volt Air; Volt Air smartphone</t>
        </is>
      </c>
      <c r="H770" s="43" t="inlineStr">
        <is>
          <t>1 year limited</t>
        </is>
      </c>
      <c r="I770" s="43" t="inlineStr">
        <is>
          <t>FCC, CE, IPX8</t>
        </is>
      </c>
      <c r="J770" s="43" t="inlineStr">
        <is>
          <t>Qualcomm Snapdragon 8 Gen 3</t>
        </is>
      </c>
      <c r="K770" s="43" t="inlineStr">
        <is>
          <t>Qualcomm Adreno 750</t>
        </is>
      </c>
      <c r="L770" s="43" t="inlineStr">
        <is>
          <t>Foldable AMOLED inner + AMOLED cover screen</t>
        </is>
      </c>
      <c r="M770" s="43" t="inlineStr">
        <is>
          <t>1080x2640 inner / 720x748 cover</t>
        </is>
      </c>
      <c r="N770" s="43" t="inlineStr">
        <is>
          <t>USB-C (USB 3.2), nano-SIM + eSIM</t>
        </is>
      </c>
      <c r="O770" s="43" t="inlineStr">
        <is>
          <t>Android 15</t>
        </is>
      </c>
      <c r="P770" s="43" t="n">
        <v>18</v>
      </c>
      <c r="Q770" s="46" t="n">
        <v>200</v>
      </c>
      <c r="R770" s="43" t="inlineStr">
        <is>
          <t>Lower price than Triton Onyx Flip Foldable Phone [TRI-092-08] ($843.99 vs $1,122.99); Longer battery than Lachesis Zen Pro Flip Foldable Phone [LAC-071-07] (18 vs 16 hrs)</t>
        </is>
      </c>
      <c r="S770" s="43" t="inlineStr">
        <is>
          <t>style, everyday, compact</t>
        </is>
      </c>
      <c r="T770" s="0" t="inlineStr">
        <is>
          <t>in_stock</t>
        </is>
      </c>
      <c r="U770" s="0" t="n">
        <v>30</v>
      </c>
      <c r="V770" s="52" t="n">
        <v>915.99</v>
      </c>
      <c r="W770" s="0" t="inlineStr">
        <is>
          <t>2026-08-23</t>
        </is>
      </c>
      <c r="X770" s="0" t="inlineStr">
        <is>
          <t>N/A</t>
        </is>
      </c>
      <c r="Y770" s="0" t="inlineStr">
        <is>
          <t>N/A</t>
        </is>
      </c>
      <c r="Z770" s="0" t="inlineStr">
        <is>
          <t>N/A</t>
        </is>
      </c>
      <c r="AA770" s="0" t="inlineStr">
        <is>
          <t>N/A</t>
        </is>
      </c>
    </row>
    <row r="771" ht="15.75" customHeight="1" s="51">
      <c r="A771" s="43" t="inlineStr">
        <is>
          <t>HEP-076-09</t>
        </is>
      </c>
      <c r="B771" s="43" t="inlineStr">
        <is>
          <t>Hephaestus</t>
        </is>
      </c>
      <c r="C771" s="43" t="inlineStr">
        <is>
          <t>Smartphones &amp; Tablets</t>
        </is>
      </c>
      <c r="D771" s="43" t="inlineStr">
        <is>
          <t>Smartphone</t>
        </is>
      </c>
      <c r="E771" s="44" t="inlineStr">
        <is>
          <t>Hephaestus Prism Ultra Pro Max Smartphone</t>
        </is>
      </c>
      <c r="F771" s="45" t="n">
        <v>1100.99</v>
      </c>
      <c r="G771" s="43" t="inlineStr">
        <is>
          <t>the Prism Ultra; Hephaestus Prism Ultra; Hephhaestus Prism Ultra; Prism Ultra smartphone</t>
        </is>
      </c>
      <c r="H771" s="43" t="inlineStr">
        <is>
          <t>1 year limited</t>
        </is>
      </c>
      <c r="I771" s="43" t="inlineStr">
        <is>
          <t>FCC, CE, IP68, Qi2</t>
        </is>
      </c>
      <c r="J771" s="43" t="inlineStr">
        <is>
          <t>MediaTek Dimensity 9400</t>
        </is>
      </c>
      <c r="K771" s="43" t="inlineStr">
        <is>
          <t>Arm Immortalis-G925</t>
        </is>
      </c>
      <c r="L771" s="43" t="inlineStr">
        <is>
          <t>LTPO AMOLED, 1-120Hz</t>
        </is>
      </c>
      <c r="M771" s="43" t="inlineStr">
        <is>
          <t>1440x3120</t>
        </is>
      </c>
      <c r="N771" s="43" t="inlineStr">
        <is>
          <t>USB-C (USB 3.2), nano-SIM + eSIM</t>
        </is>
      </c>
      <c r="O771" s="43" t="inlineStr">
        <is>
          <t>Android 15</t>
        </is>
      </c>
      <c r="P771" s="43" t="n">
        <v>32</v>
      </c>
      <c r="Q771" s="46" t="n">
        <v>229</v>
      </c>
      <c r="R771" s="43" t="inlineStr">
        <is>
          <t>Lower price than Erato Core Plus Pro Max Smartphone [ERA-085-09] ($1,100.99 vs $1,328.99); Longer battery than Leucothea Nova Air Pro Max Smartphone [LEU-095-09] (32 vs 28 hrs)</t>
        </is>
      </c>
      <c r="S771" s="43" t="inlineStr">
        <is>
          <t>photography, video, mobile gaming</t>
        </is>
      </c>
      <c r="T771" s="0" t="inlineStr">
        <is>
          <t>in_stock</t>
        </is>
      </c>
      <c r="U771" s="0" t="n">
        <v>30</v>
      </c>
      <c r="V771" s="52" t="n">
        <v>1138.99</v>
      </c>
      <c r="W771" s="0" t="inlineStr">
        <is>
          <t>2026-09-06</t>
        </is>
      </c>
      <c r="X771" s="0" t="inlineStr">
        <is>
          <t>N/A</t>
        </is>
      </c>
      <c r="Y771" s="0" t="inlineStr">
        <is>
          <t>N/A</t>
        </is>
      </c>
      <c r="Z771" s="0" t="inlineStr">
        <is>
          <t>N/A</t>
        </is>
      </c>
      <c r="AA771" s="0" t="inlineStr">
        <is>
          <t>N/A</t>
        </is>
      </c>
    </row>
    <row r="772" ht="15.75" customHeight="1" s="51">
      <c r="A772" s="43" t="inlineStr">
        <is>
          <t>HEP-076-10</t>
        </is>
      </c>
      <c r="B772" s="43" t="inlineStr">
        <is>
          <t>Hephaestus</t>
        </is>
      </c>
      <c r="C772" s="43" t="inlineStr">
        <is>
          <t>Smartphones &amp; Tablets</t>
        </is>
      </c>
      <c r="D772" s="43" t="inlineStr">
        <is>
          <t>Smartphone</t>
        </is>
      </c>
      <c r="E772" s="44" t="inlineStr">
        <is>
          <t>Hephaestus Vibe Foldable Phone</t>
        </is>
      </c>
      <c r="F772" s="45" t="n">
        <v>1402.99</v>
      </c>
      <c r="G772" s="43" t="inlineStr">
        <is>
          <t>the Vibe; Hephaestus Vibe; Hephhaestus Vibe; Vibe smartphone</t>
        </is>
      </c>
      <c r="H772" s="43" t="inlineStr">
        <is>
          <t>1 year limited</t>
        </is>
      </c>
      <c r="I772" s="43" t="inlineStr">
        <is>
          <t>FCC, CE, IPX8</t>
        </is>
      </c>
      <c r="J772" s="43" t="inlineStr">
        <is>
          <t>Qualcomm Snapdragon 8 Elite</t>
        </is>
      </c>
      <c r="K772" s="43" t="inlineStr">
        <is>
          <t>Qualcomm Adreno 830</t>
        </is>
      </c>
      <c r="L772" s="43" t="inlineStr">
        <is>
          <t>Foldable LTPO AMOLED inner + AMOLED cover, 120Hz</t>
        </is>
      </c>
      <c r="M772" s="43" t="inlineStr">
        <is>
          <t>2160x1856 inner / 1080x2376 cover</t>
        </is>
      </c>
      <c r="N772" s="43" t="inlineStr">
        <is>
          <t>USB-C (USB 3.2), nano-SIM + eSIM</t>
        </is>
      </c>
      <c r="O772" s="43" t="inlineStr">
        <is>
          <t>Android 15</t>
        </is>
      </c>
      <c r="P772" s="43" t="n">
        <v>25</v>
      </c>
      <c r="Q772" s="46" t="n">
        <v>251</v>
      </c>
      <c r="R772" s="43" t="inlineStr">
        <is>
          <t>Longer battery than Phorcys Halo SE Foldable Phone [PHO-087-10] (25 vs 18 hrs); Lighter than Oceanus Spark Pro Foldable Phone [OCE-060-10] (251 g vs 254 g)</t>
        </is>
      </c>
      <c r="S772" s="43" t="inlineStr">
        <is>
          <t>multitasking, business, media</t>
        </is>
      </c>
      <c r="T772" s="0" t="inlineStr">
        <is>
          <t>in_stock</t>
        </is>
      </c>
      <c r="U772" s="0" t="n">
        <v>30</v>
      </c>
      <c r="V772" s="52" t="n">
        <v>1611.99</v>
      </c>
      <c r="W772" s="0" t="inlineStr">
        <is>
          <t>2026-08-13</t>
        </is>
      </c>
      <c r="X772" s="0" t="inlineStr">
        <is>
          <t>N/A</t>
        </is>
      </c>
      <c r="Y772" s="0" t="inlineStr">
        <is>
          <t>N/A</t>
        </is>
      </c>
      <c r="Z772" s="0" t="inlineStr">
        <is>
          <t>N/A</t>
        </is>
      </c>
      <c r="AA772" s="0" t="inlineStr">
        <is>
          <t>N/A</t>
        </is>
      </c>
    </row>
    <row r="773" ht="15.75" customHeight="1" s="51">
      <c r="A773" s="43" t="inlineStr">
        <is>
          <t>LET-077-01</t>
        </is>
      </c>
      <c r="B773" s="43" t="inlineStr">
        <is>
          <t>Leto</t>
        </is>
      </c>
      <c r="C773" s="43" t="inlineStr">
        <is>
          <t>Smartphones &amp; Tablets</t>
        </is>
      </c>
      <c r="D773" s="43" t="inlineStr">
        <is>
          <t>Tablet</t>
        </is>
      </c>
      <c r="E773" s="44" t="inlineStr">
        <is>
          <t>Leto Crest Pro Kids Tablet</t>
        </is>
      </c>
      <c r="F773" s="45" t="n">
        <v>154.99</v>
      </c>
      <c r="G773" s="43" t="inlineStr">
        <is>
          <t>the Crest Pro; Leto Crest Pro; Leeto Crest Pro; Crest Pro tablet</t>
        </is>
      </c>
      <c r="H773" s="43" t="inlineStr">
        <is>
          <t>1 year limited</t>
        </is>
      </c>
      <c r="I773" s="43" t="inlineStr">
        <is>
          <t>FCC, CE, TUV Rheinland Low Blue Light, EN 71 Toy Safety, Energy Star</t>
        </is>
      </c>
      <c r="J773" s="43" t="inlineStr">
        <is>
          <t>MediaTek Helio G88</t>
        </is>
      </c>
      <c r="K773" s="43" t="inlineStr">
        <is>
          <t>Arm Mali-G52 MC2</t>
        </is>
      </c>
      <c r="L773" s="43" t="inlineStr">
        <is>
          <t>IPS LCD, 60Hz</t>
        </is>
      </c>
      <c r="M773" s="43" t="inlineStr">
        <is>
          <t>800x1280</t>
        </is>
      </c>
      <c r="N773" s="43" t="inlineStr">
        <is>
          <t>USB-C (USB 2.0), microSD slot</t>
        </is>
      </c>
      <c r="O773" s="43" t="inlineStr">
        <is>
          <t>Android 14 with parental controls</t>
        </is>
      </c>
      <c r="P773" s="43" t="n">
        <v>9</v>
      </c>
      <c r="Q773" s="46" t="n">
        <v>414</v>
      </c>
      <c r="R773" s="43" t="inlineStr">
        <is>
          <t>Lower price than Lethe Echo Max Kids Tablet [LET-086-01] ($154.99 vs $195.99); Lighter than Pothos Volt Kids Tablet [POT-072-01] (414 g vs 436 g)</t>
        </is>
      </c>
      <c r="S773" s="43" t="inlineStr">
        <is>
          <t>kids, learning, games</t>
        </is>
      </c>
      <c r="T773" s="0" t="inlineStr">
        <is>
          <t>in_stock</t>
        </is>
      </c>
      <c r="U773" s="0" t="n">
        <v>15</v>
      </c>
      <c r="V773" s="52" t="n">
        <v>169.99</v>
      </c>
      <c r="W773" s="0" t="inlineStr">
        <is>
          <t>2026-08-01</t>
        </is>
      </c>
      <c r="X773" s="0" t="inlineStr">
        <is>
          <t>N/A</t>
        </is>
      </c>
      <c r="Y773" s="0" t="inlineStr">
        <is>
          <t>N/A</t>
        </is>
      </c>
      <c r="Z773" s="0" t="inlineStr">
        <is>
          <t>N/A</t>
        </is>
      </c>
      <c r="AA773" s="0" t="inlineStr">
        <is>
          <t>N/A</t>
        </is>
      </c>
    </row>
    <row r="774" ht="15.75" customHeight="1" s="51">
      <c r="A774" s="43" t="inlineStr">
        <is>
          <t>LET-077-02</t>
        </is>
      </c>
      <c r="B774" s="43" t="inlineStr">
        <is>
          <t>Leto</t>
        </is>
      </c>
      <c r="C774" s="43" t="inlineStr">
        <is>
          <t>Smartphones &amp; Tablets</t>
        </is>
      </c>
      <c r="D774" s="43" t="inlineStr">
        <is>
          <t>Smartphone</t>
        </is>
      </c>
      <c r="E774" s="44" t="inlineStr">
        <is>
          <t>Leto Core Pro Budget Smartphone</t>
        </is>
      </c>
      <c r="F774" s="45" t="n">
        <v>312.99</v>
      </c>
      <c r="G774" s="43" t="inlineStr">
        <is>
          <t>the Core Pro; Leto Core Pro; Leeto Core Pro; Core Pro smartphone</t>
        </is>
      </c>
      <c r="H774" s="43" t="inlineStr">
        <is>
          <t>1 year limited</t>
        </is>
      </c>
      <c r="I774" s="43" t="inlineStr">
        <is>
          <t>FCC, CE, IP54</t>
        </is>
      </c>
      <c r="J774" s="43" t="inlineStr">
        <is>
          <t>Qualcomm Snapdragon 6 Gen 1</t>
        </is>
      </c>
      <c r="K774" s="43" t="inlineStr">
        <is>
          <t>Qualcomm Adreno 710</t>
        </is>
      </c>
      <c r="L774" s="43" t="inlineStr">
        <is>
          <t>AMOLED, 120Hz</t>
        </is>
      </c>
      <c r="M774" s="43" t="inlineStr">
        <is>
          <t>1080x2400</t>
        </is>
      </c>
      <c r="N774" s="43" t="inlineStr">
        <is>
          <t>USB-C (USB 2.0), nano-SIM + eSIM, 3.5mm headphone jack, microSD slot</t>
        </is>
      </c>
      <c r="O774" s="43" t="inlineStr">
        <is>
          <t>Android 14</t>
        </is>
      </c>
      <c r="P774" s="43" t="n">
        <v>21</v>
      </c>
      <c r="Q774" s="46" t="n">
        <v>196</v>
      </c>
      <c r="R774" s="43" t="inlineStr">
        <is>
          <t>Lighter than Hephaestus Crest X Budget Smartphone [HEP-076-01] (196 g vs 199 g); Lower price than Triton Nova Air Budget Smartphone [TRI-092-01] ($312.99 vs $333.99)</t>
        </is>
      </c>
      <c r="S774" s="43" t="inlineStr">
        <is>
          <t>budget, first phone, everyday</t>
        </is>
      </c>
      <c r="T774" s="0" t="inlineStr">
        <is>
          <t>in_stock</t>
        </is>
      </c>
      <c r="U774" s="0" t="n">
        <v>15</v>
      </c>
      <c r="V774" s="52" t="n">
        <v>330.99</v>
      </c>
      <c r="W774" s="0" t="inlineStr">
        <is>
          <t>2026-09-06</t>
        </is>
      </c>
      <c r="X774" s="0" t="inlineStr">
        <is>
          <t>N/A</t>
        </is>
      </c>
      <c r="Y774" s="0" t="inlineStr">
        <is>
          <t>N/A</t>
        </is>
      </c>
      <c r="Z774" s="0" t="inlineStr">
        <is>
          <t>N/A</t>
        </is>
      </c>
      <c r="AA774" s="0" t="inlineStr">
        <is>
          <t>N/A</t>
        </is>
      </c>
    </row>
    <row r="775" ht="15.75" customHeight="1" s="51">
      <c r="A775" s="43" t="inlineStr">
        <is>
          <t>LET-077-03</t>
        </is>
      </c>
      <c r="B775" s="43" t="inlineStr">
        <is>
          <t>Leto</t>
        </is>
      </c>
      <c r="C775" s="43" t="inlineStr">
        <is>
          <t>Smartphones &amp; Tablets</t>
        </is>
      </c>
      <c r="D775" s="43" t="inlineStr">
        <is>
          <t>Tablet</t>
        </is>
      </c>
      <c r="E775" s="44" t="inlineStr">
        <is>
          <t>Leto Flux Lite 8" Mini Tablet</t>
        </is>
      </c>
      <c r="F775" s="45" t="n">
        <v>432.99</v>
      </c>
      <c r="G775" s="43" t="inlineStr">
        <is>
          <t>the Flux Lite; Leto Flux Lite; Leeto Flux Lite; Flux Lite tablet</t>
        </is>
      </c>
      <c r="H775" s="43" t="inlineStr">
        <is>
          <t>1 year limited</t>
        </is>
      </c>
      <c r="I775" s="43" t="inlineStr">
        <is>
          <t>FCC, CE, TUV Rheinland Low Blue Light, Energy Star</t>
        </is>
      </c>
      <c r="J775" s="43" t="inlineStr">
        <is>
          <t>MediaTek Dimensity 7300</t>
        </is>
      </c>
      <c r="K775" s="43" t="inlineStr">
        <is>
          <t>Arm Mali-G615 MC2</t>
        </is>
      </c>
      <c r="L775" s="43" t="inlineStr">
        <is>
          <t>OLED, 120Hz</t>
        </is>
      </c>
      <c r="M775" s="43" t="inlineStr">
        <is>
          <t>1600x2560</t>
        </is>
      </c>
      <c r="N775" s="43" t="inlineStr">
        <is>
          <t>USB-C (USB 2.0), microSD slot</t>
        </is>
      </c>
      <c r="O775" s="43" t="inlineStr">
        <is>
          <t>Android 15</t>
        </is>
      </c>
      <c r="P775" s="43" t="n">
        <v>9</v>
      </c>
      <c r="Q775" s="46" t="n">
        <v>325</v>
      </c>
      <c r="R775" s="43" t="inlineStr">
        <is>
          <t>Lighter than Elpis Pulse Pro 8" Mini Tablet [ELP-074-02] (325 g vs 332 g); Lower price than Circe Spark 8" Mini Tablet [CIR-068-02] ($432.99 vs $482.99)</t>
        </is>
      </c>
      <c r="S775" s="43" t="inlineStr">
        <is>
          <t>reading, travel, gaming</t>
        </is>
      </c>
      <c r="T775" s="0" t="inlineStr">
        <is>
          <t>low_stock</t>
        </is>
      </c>
      <c r="U775" s="0" t="n">
        <v>15</v>
      </c>
      <c r="V775" s="52" t="n">
        <v>485.99</v>
      </c>
      <c r="W775" s="0" t="inlineStr">
        <is>
          <t>2026-08-03</t>
        </is>
      </c>
      <c r="X775" s="0" t="inlineStr">
        <is>
          <t>N/A</t>
        </is>
      </c>
      <c r="Y775" s="0" t="inlineStr">
        <is>
          <t>N/A</t>
        </is>
      </c>
      <c r="Z775" s="0" t="inlineStr">
        <is>
          <t>N/A</t>
        </is>
      </c>
      <c r="AA775" s="0" t="inlineStr">
        <is>
          <t>N/A</t>
        </is>
      </c>
    </row>
    <row r="776" ht="15.75" customHeight="1" s="51">
      <c r="A776" s="43" t="inlineStr">
        <is>
          <t>LET-077-04</t>
        </is>
      </c>
      <c r="B776" s="43" t="inlineStr">
        <is>
          <t>Leto</t>
        </is>
      </c>
      <c r="C776" s="43" t="inlineStr">
        <is>
          <t>Smartphones &amp; Tablets</t>
        </is>
      </c>
      <c r="D776" s="43" t="inlineStr">
        <is>
          <t>Smartphone</t>
        </is>
      </c>
      <c r="E776" s="44" t="inlineStr">
        <is>
          <t>Leto Spark Lite Rugged Smartphone</t>
        </is>
      </c>
      <c r="F776" s="45" t="n">
        <v>435.99</v>
      </c>
      <c r="G776" s="43" t="inlineStr">
        <is>
          <t>the Spark Lite; Leto Spark Lite; Letto Spark Lite; Spark Lite smartphone</t>
        </is>
      </c>
      <c r="H776" s="43" t="inlineStr">
        <is>
          <t>2 year limited</t>
        </is>
      </c>
      <c r="I776" s="43" t="inlineStr">
        <is>
          <t>FCC, CE, IP69K, MIL-STD-810H</t>
        </is>
      </c>
      <c r="J776" s="43" t="inlineStr">
        <is>
          <t>MediaTek Dimensity 7300</t>
        </is>
      </c>
      <c r="K776" s="43" t="inlineStr">
        <is>
          <t>Arm Mali-G615 MC2</t>
        </is>
      </c>
      <c r="L776" s="43" t="inlineStr">
        <is>
          <t>IPS LCD, Gorilla Glass Victus, 120Hz</t>
        </is>
      </c>
      <c r="M776" s="43" t="inlineStr">
        <is>
          <t>1080x2400</t>
        </is>
      </c>
      <c r="N776" s="43" t="inlineStr">
        <is>
          <t>USB-C (USB 2.0), nano-SIM + eSIM, 3.5mm headphone jack, microSD slot</t>
        </is>
      </c>
      <c r="O776" s="43" t="inlineStr">
        <is>
          <t>Android 15</t>
        </is>
      </c>
      <c r="P776" s="43" t="n">
        <v>29</v>
      </c>
      <c r="Q776" s="46" t="n">
        <v>299</v>
      </c>
      <c r="R776" s="43" t="inlineStr">
        <is>
          <t>Lower price than Eupheme Pulse Pro Rugged Smartphone [EUP-084-07] ($435.99 vs $587.99); Lighter than Mnemosyne Drift Rugged Smartphone [MNE-061-04] (299 g vs 336 g)</t>
        </is>
      </c>
      <c r="S776" s="43" t="inlineStr">
        <is>
          <t>outdoor, construction, fieldwork</t>
        </is>
      </c>
      <c r="T776" s="0" t="inlineStr">
        <is>
          <t>low_stock</t>
        </is>
      </c>
      <c r="U776" s="0" t="n">
        <v>15</v>
      </c>
      <c r="V776" s="52" t="n">
        <v>483.99</v>
      </c>
      <c r="W776" s="0" t="inlineStr">
        <is>
          <t>2026-08-23</t>
        </is>
      </c>
      <c r="X776" s="0" t="inlineStr">
        <is>
          <t>N/A</t>
        </is>
      </c>
      <c r="Y776" s="0" t="inlineStr">
        <is>
          <t>N/A</t>
        </is>
      </c>
      <c r="Z776" s="0" t="inlineStr">
        <is>
          <t>N/A</t>
        </is>
      </c>
      <c r="AA776" s="0" t="inlineStr">
        <is>
          <t>N/A</t>
        </is>
      </c>
    </row>
    <row r="777" ht="15.75" customHeight="1" s="51">
      <c r="A777" s="43" t="inlineStr">
        <is>
          <t>LET-077-05</t>
        </is>
      </c>
      <c r="B777" s="43" t="inlineStr">
        <is>
          <t>Leto</t>
        </is>
      </c>
      <c r="C777" s="43" t="inlineStr">
        <is>
          <t>Smartphones &amp; Tablets</t>
        </is>
      </c>
      <c r="D777" s="43" t="inlineStr">
        <is>
          <t>Tablet</t>
        </is>
      </c>
      <c r="E777" s="44" t="inlineStr">
        <is>
          <t>Leto Wave SE Drawing Tablet with Stylus</t>
        </is>
      </c>
      <c r="F777" s="45" t="n">
        <v>462.99</v>
      </c>
      <c r="G777" s="43" t="inlineStr">
        <is>
          <t>the Wave SE; Leto Wave SE; Letto Wave SE; Wave SE tablet</t>
        </is>
      </c>
      <c r="H777" s="43" t="inlineStr">
        <is>
          <t>1 year limited</t>
        </is>
      </c>
      <c r="I777" s="43" t="inlineStr">
        <is>
          <t>FCC, CE, TUV Rheinland Low Blue Light</t>
        </is>
      </c>
      <c r="J777" s="43" t="inlineStr">
        <is>
          <t>MediaTek Dimensity 7300</t>
        </is>
      </c>
      <c r="K777" s="43" t="inlineStr">
        <is>
          <t>Arm Mali-G615 MC2</t>
        </is>
      </c>
      <c r="L777" s="43" t="inlineStr">
        <is>
          <t>IPS LCD anti-glare, pen digitizer</t>
        </is>
      </c>
      <c r="M777" s="43" t="inlineStr">
        <is>
          <t>2000x1200</t>
        </is>
      </c>
      <c r="N777" s="43" t="inlineStr">
        <is>
          <t>USB-C (USB 2.0), microSD slot</t>
        </is>
      </c>
      <c r="O777" s="43" t="inlineStr">
        <is>
          <t>Android 15</t>
        </is>
      </c>
      <c r="P777" s="43" t="n">
        <v>11</v>
      </c>
      <c r="Q777" s="46" t="n">
        <v>609</v>
      </c>
      <c r="R777" s="43" t="inlineStr">
        <is>
          <t>Lower price than Hephaestus Flux Drawing Tablet with Stylus [HEP-076-07] ($462.99 vs $767.99); Lighter than Lethe Echo X Drawing Tablet with Stylus [LET-086-09] (609 g vs 637 g)</t>
        </is>
      </c>
      <c r="S777" s="43" t="inlineStr">
        <is>
          <t>drawing, design, note-taking</t>
        </is>
      </c>
      <c r="T777" s="0" t="inlineStr">
        <is>
          <t>in_stock</t>
        </is>
      </c>
      <c r="U777" s="0" t="n">
        <v>15</v>
      </c>
      <c r="V777" s="52" t="n">
        <v>503.99</v>
      </c>
      <c r="W777" s="0" t="inlineStr">
        <is>
          <t>2026-08-23</t>
        </is>
      </c>
      <c r="X777" s="0" t="inlineStr">
        <is>
          <t>N/A</t>
        </is>
      </c>
      <c r="Y777" s="0" t="inlineStr">
        <is>
          <t>N/A</t>
        </is>
      </c>
      <c r="Z777" s="0" t="inlineStr">
        <is>
          <t>N/A</t>
        </is>
      </c>
      <c r="AA777" s="0" t="inlineStr">
        <is>
          <t>N/A</t>
        </is>
      </c>
    </row>
    <row r="778" ht="15.75" customHeight="1" s="51">
      <c r="A778" s="43" t="inlineStr">
        <is>
          <t>LET-077-06</t>
        </is>
      </c>
      <c r="B778" s="43" t="inlineStr">
        <is>
          <t>Leto</t>
        </is>
      </c>
      <c r="C778" s="43" t="inlineStr">
        <is>
          <t>Smartphones &amp; Tablets</t>
        </is>
      </c>
      <c r="D778" s="43" t="inlineStr">
        <is>
          <t>Tablet</t>
        </is>
      </c>
      <c r="E778" s="44" t="inlineStr">
        <is>
          <t>Leto Drift Ultra E-Ink Note Tablet</t>
        </is>
      </c>
      <c r="F778" s="45" t="n">
        <v>617.99</v>
      </c>
      <c r="G778" s="43" t="inlineStr">
        <is>
          <t>the Drift Ultra; Leto Drift Ultra; Let Drift Ultra; Drift Ultra tablet</t>
        </is>
      </c>
      <c r="H778" s="43" t="inlineStr">
        <is>
          <t>2 year limited</t>
        </is>
      </c>
      <c r="I778" s="43" t="inlineStr">
        <is>
          <t>FCC, CE, TUV Rheinland Low Blue Light, Energy Star</t>
        </is>
      </c>
      <c r="J778" s="43" t="inlineStr">
        <is>
          <t>Rockchip RK3566</t>
        </is>
      </c>
      <c r="K778" s="43" t="inlineStr">
        <is>
          <t>Arm Mali-G52 2EE</t>
        </is>
      </c>
      <c r="L778" s="43" t="inlineStr">
        <is>
          <t>E Ink Carta 1300, front-lit</t>
        </is>
      </c>
      <c r="M778" s="43" t="inlineStr">
        <is>
          <t>1404x1872</t>
        </is>
      </c>
      <c r="N778" s="43" t="inlineStr">
        <is>
          <t>USB-C (USB 2.0), microSD slot</t>
        </is>
      </c>
      <c r="O778" s="43" t="inlineStr">
        <is>
          <t>Android 13 (E Ink optimized)</t>
        </is>
      </c>
      <c r="P778" s="43" t="n">
        <v>207</v>
      </c>
      <c r="Q778" s="46" t="n">
        <v>393</v>
      </c>
      <c r="R778" s="43" t="inlineStr">
        <is>
          <t>Longer battery than Lethe Strata Lite E-Ink Note Tablet [LET-086-04] (207 vs 193 hrs); Lighter than Erebus Nimbus Air E-Ink Note Tablet [ERE-098-02] (393 g vs 415 g)</t>
        </is>
      </c>
      <c r="S778" s="43" t="inlineStr">
        <is>
          <t>reading, note-taking, school</t>
        </is>
      </c>
      <c r="T778" s="0" t="inlineStr">
        <is>
          <t>in_stock</t>
        </is>
      </c>
      <c r="U778" s="0" t="n">
        <v>15</v>
      </c>
      <c r="V778" s="52" t="n">
        <v>705.99</v>
      </c>
      <c r="W778" s="0" t="inlineStr">
        <is>
          <t>2026-09-15</t>
        </is>
      </c>
      <c r="X778" s="0" t="inlineStr">
        <is>
          <t>N/A</t>
        </is>
      </c>
      <c r="Y778" s="0" t="inlineStr">
        <is>
          <t>N/A</t>
        </is>
      </c>
      <c r="Z778" s="0" t="inlineStr">
        <is>
          <t>N/A</t>
        </is>
      </c>
      <c r="AA778" s="0" t="inlineStr">
        <is>
          <t>N/A</t>
        </is>
      </c>
    </row>
    <row r="779" ht="15.75" customHeight="1" s="51">
      <c r="A779" s="43" t="inlineStr">
        <is>
          <t>LET-077-07</t>
        </is>
      </c>
      <c r="B779" s="43" t="inlineStr">
        <is>
          <t>Leto</t>
        </is>
      </c>
      <c r="C779" s="43" t="inlineStr">
        <is>
          <t>Smartphones &amp; Tablets</t>
        </is>
      </c>
      <c r="D779" s="43" t="inlineStr">
        <is>
          <t>Smartphone</t>
        </is>
      </c>
      <c r="E779" s="44" t="inlineStr">
        <is>
          <t>Leto Nimbus Lite Flagship Smartphone</t>
        </is>
      </c>
      <c r="F779" s="45" t="n">
        <v>1148.99</v>
      </c>
      <c r="G779" s="43" t="inlineStr">
        <is>
          <t>the Nimbus Lite; Leto Nimbus Lite; Letoo Nimbus Lite; Nimbus Lite smartphone</t>
        </is>
      </c>
      <c r="H779" s="43" t="inlineStr">
        <is>
          <t>1 year limited</t>
        </is>
      </c>
      <c r="I779" s="43" t="inlineStr">
        <is>
          <t>FCC, CE, IP68, Qi2</t>
        </is>
      </c>
      <c r="J779" s="43" t="inlineStr">
        <is>
          <t>MediaTek Dimensity 9400</t>
        </is>
      </c>
      <c r="K779" s="43" t="inlineStr">
        <is>
          <t>Arm Immortalis-G925</t>
        </is>
      </c>
      <c r="L779" s="43" t="inlineStr">
        <is>
          <t>LTPO AMOLED, 1-120Hz</t>
        </is>
      </c>
      <c r="M779" s="43" t="inlineStr">
        <is>
          <t>1440x3120</t>
        </is>
      </c>
      <c r="N779" s="43" t="inlineStr">
        <is>
          <t>USB-C (USB 3.2), nano-SIM + eSIM</t>
        </is>
      </c>
      <c r="O779" s="43" t="inlineStr">
        <is>
          <t>Android 15</t>
        </is>
      </c>
      <c r="P779" s="43" t="n">
        <v>31</v>
      </c>
      <c r="Q779" s="46" t="n">
        <v>179</v>
      </c>
      <c r="R779" s="43" t="inlineStr">
        <is>
          <t>Longer battery than Arete Vertex Ultra Flagship Smartphone [ARE-054-07] (31 vs 27 hrs); Lighter than Pothos Axis Lite Flagship Smartphone [POT-072-05] (179 g vs 181 g)</t>
        </is>
      </c>
      <c r="S779" s="43" t="inlineStr">
        <is>
          <t>photography, everyday, business</t>
        </is>
      </c>
      <c r="T779" s="0" t="inlineStr">
        <is>
          <t>out_of_stock</t>
        </is>
      </c>
      <c r="U779" s="0" t="n">
        <v>15</v>
      </c>
      <c r="V779" s="52" t="n">
        <v>1202.99</v>
      </c>
      <c r="W779" s="0" t="inlineStr">
        <is>
          <t>2026-09-10</t>
        </is>
      </c>
      <c r="X779" s="0" t="inlineStr">
        <is>
          <t>N/A</t>
        </is>
      </c>
      <c r="Y779" s="0" t="inlineStr">
        <is>
          <t>N/A</t>
        </is>
      </c>
      <c r="Z779" s="0" t="inlineStr">
        <is>
          <t>N/A</t>
        </is>
      </c>
      <c r="AA779" s="0" t="inlineStr">
        <is>
          <t>N/A</t>
        </is>
      </c>
    </row>
    <row r="780" ht="15.75" customHeight="1" s="51">
      <c r="A780" s="43" t="inlineStr">
        <is>
          <t>LET-077-08</t>
        </is>
      </c>
      <c r="B780" s="43" t="inlineStr">
        <is>
          <t>Leto</t>
        </is>
      </c>
      <c r="C780" s="43" t="inlineStr">
        <is>
          <t>Smartphones &amp; Tablets</t>
        </is>
      </c>
      <c r="D780" s="43" t="inlineStr">
        <is>
          <t>Smartphone</t>
        </is>
      </c>
      <c r="E780" s="44" t="inlineStr">
        <is>
          <t>Leto Vertex Max Pro Max Smartphone</t>
        </is>
      </c>
      <c r="F780" s="45" t="n">
        <v>1239.99</v>
      </c>
      <c r="G780" s="43" t="inlineStr">
        <is>
          <t>the Vertex Max; Leto Vertex Max; Lteo Vertex Max; Vertex Max smartphone</t>
        </is>
      </c>
      <c r="H780" s="43" t="inlineStr">
        <is>
          <t>1 year limited</t>
        </is>
      </c>
      <c r="I780" s="43" t="inlineStr">
        <is>
          <t>FCC, CE, IP68, Qi2</t>
        </is>
      </c>
      <c r="J780" s="43" t="inlineStr">
        <is>
          <t>MediaTek Dimensity 9400</t>
        </is>
      </c>
      <c r="K780" s="43" t="inlineStr">
        <is>
          <t>Arm Immortalis-G925</t>
        </is>
      </c>
      <c r="L780" s="43" t="inlineStr">
        <is>
          <t>LTPO AMOLED, 1-120Hz</t>
        </is>
      </c>
      <c r="M780" s="43" t="inlineStr">
        <is>
          <t>1440x3120</t>
        </is>
      </c>
      <c r="N780" s="43" t="inlineStr">
        <is>
          <t>USB-C (USB 3.2), nano-SIM + eSIM</t>
        </is>
      </c>
      <c r="O780" s="43" t="inlineStr">
        <is>
          <t>Android 15</t>
        </is>
      </c>
      <c r="P780" s="43" t="n">
        <v>33</v>
      </c>
      <c r="Q780" s="46" t="n">
        <v>226</v>
      </c>
      <c r="R780" s="43" t="inlineStr">
        <is>
          <t>Longer battery than Nemesis Titan Max Pro Max Smartphone [NEM-051-09] (33 vs 32 hrs); Lower price than Pan Zen SE Pro Max Smartphone [PAN-097-09] ($1,239.99 vs $1,533.99)</t>
        </is>
      </c>
      <c r="S780" s="43" t="inlineStr">
        <is>
          <t>photography, video, mobile gaming</t>
        </is>
      </c>
      <c r="T780" s="0" t="inlineStr">
        <is>
          <t>in_stock</t>
        </is>
      </c>
      <c r="U780" s="0" t="n">
        <v>15</v>
      </c>
      <c r="V780" s="52" t="n">
        <v>1298.99</v>
      </c>
      <c r="W780" s="0" t="inlineStr">
        <is>
          <t>2026-08-14</t>
        </is>
      </c>
      <c r="X780" s="0" t="inlineStr">
        <is>
          <t>N/A</t>
        </is>
      </c>
      <c r="Y780" s="0" t="inlineStr">
        <is>
          <t>N/A</t>
        </is>
      </c>
      <c r="Z780" s="0" t="inlineStr">
        <is>
          <t>N/A</t>
        </is>
      </c>
      <c r="AA780" s="0" t="inlineStr">
        <is>
          <t>N/A</t>
        </is>
      </c>
    </row>
    <row r="781" ht="15.75" customHeight="1" s="51">
      <c r="A781" s="43" t="inlineStr">
        <is>
          <t>LET-077-09</t>
        </is>
      </c>
      <c r="B781" s="43" t="inlineStr">
        <is>
          <t>Leto</t>
        </is>
      </c>
      <c r="C781" s="43" t="inlineStr">
        <is>
          <t>Smartphones &amp; Tablets</t>
        </is>
      </c>
      <c r="D781" s="43" t="inlineStr">
        <is>
          <t>Smartphone</t>
        </is>
      </c>
      <c r="E781" s="44" t="inlineStr">
        <is>
          <t>Leto Core Max Foldable Phone</t>
        </is>
      </c>
      <c r="F781" s="45" t="n">
        <v>1440.99</v>
      </c>
      <c r="G781" s="43" t="inlineStr">
        <is>
          <t>the Core Max; Leto Core Max; Leeto Core Max; Core Max smartphone</t>
        </is>
      </c>
      <c r="H781" s="43" t="inlineStr">
        <is>
          <t>1 year limited</t>
        </is>
      </c>
      <c r="I781" s="43" t="inlineStr">
        <is>
          <t>FCC, CE, IPX8</t>
        </is>
      </c>
      <c r="J781" s="43" t="inlineStr">
        <is>
          <t>Qualcomm Snapdragon 8 Elite</t>
        </is>
      </c>
      <c r="K781" s="43" t="inlineStr">
        <is>
          <t>Qualcomm Adreno 830</t>
        </is>
      </c>
      <c r="L781" s="43" t="inlineStr">
        <is>
          <t>Foldable LTPO AMOLED inner + AMOLED cover, 120Hz</t>
        </is>
      </c>
      <c r="M781" s="43" t="inlineStr">
        <is>
          <t>2160x1856 inner / 1080x2376 cover</t>
        </is>
      </c>
      <c r="N781" s="43" t="inlineStr">
        <is>
          <t>USB-C (USB 3.2), nano-SIM + eSIM</t>
        </is>
      </c>
      <c r="O781" s="43" t="inlineStr">
        <is>
          <t>Android 15</t>
        </is>
      </c>
      <c r="P781" s="43" t="n">
        <v>24</v>
      </c>
      <c r="Q781" s="46" t="n">
        <v>240</v>
      </c>
      <c r="R781" s="43" t="inlineStr">
        <is>
          <t>Lighter than Helios Echo Foldable Phone [HEL-073-10] (240 g vs 259 g); Lower price than Elpis Quanta Air Foldable Phone [ELP-074-10] ($1,440.99 vs $1,991.99)</t>
        </is>
      </c>
      <c r="S781" s="43" t="inlineStr">
        <is>
          <t>multitasking, business, media</t>
        </is>
      </c>
      <c r="T781" s="0" t="inlineStr">
        <is>
          <t>in_stock</t>
        </is>
      </c>
      <c r="U781" s="0" t="n">
        <v>15</v>
      </c>
      <c r="V781" s="52" t="n">
        <v>1596.99</v>
      </c>
      <c r="W781" s="0" t="inlineStr">
        <is>
          <t>2026-09-02</t>
        </is>
      </c>
      <c r="X781" s="0" t="inlineStr">
        <is>
          <t>N/A</t>
        </is>
      </c>
      <c r="Y781" s="0" t="inlineStr">
        <is>
          <t>N/A</t>
        </is>
      </c>
      <c r="Z781" s="0" t="inlineStr">
        <is>
          <t>N/A</t>
        </is>
      </c>
      <c r="AA781" s="0" t="inlineStr">
        <is>
          <t>N/A</t>
        </is>
      </c>
    </row>
    <row r="782" ht="15.75" customHeight="1" s="51">
      <c r="A782" s="43" t="inlineStr">
        <is>
          <t>LET-077-10</t>
        </is>
      </c>
      <c r="B782" s="43" t="inlineStr">
        <is>
          <t>Leto</t>
        </is>
      </c>
      <c r="C782" s="43" t="inlineStr">
        <is>
          <t>Smartphones &amp; Tablets</t>
        </is>
      </c>
      <c r="D782" s="43" t="inlineStr">
        <is>
          <t>Tablet</t>
        </is>
      </c>
      <c r="E782" s="44" t="inlineStr">
        <is>
          <t>Leto Sable 13" Pro Tablet</t>
        </is>
      </c>
      <c r="F782" s="45" t="n">
        <v>1493.99</v>
      </c>
      <c r="G782" s="43" t="inlineStr">
        <is>
          <t>the Sable; Leto Sable; Letoo Sable; Sable tablet</t>
        </is>
      </c>
      <c r="H782" s="43" t="inlineStr">
        <is>
          <t>1 year limited</t>
        </is>
      </c>
      <c r="I782" s="43" t="inlineStr">
        <is>
          <t>FCC, CE, Energy Star</t>
        </is>
      </c>
      <c r="J782" s="43" t="inlineStr">
        <is>
          <t>Qualcomm Snapdragon 8 Elite</t>
        </is>
      </c>
      <c r="K782" s="43" t="inlineStr">
        <is>
          <t>Qualcomm Adreno 830</t>
        </is>
      </c>
      <c r="L782" s="43" t="inlineStr">
        <is>
          <t>Mini-LED, 144Hz</t>
        </is>
      </c>
      <c r="M782" s="43" t="inlineStr">
        <is>
          <t>2960x1848</t>
        </is>
      </c>
      <c r="N782" s="43" t="inlineStr">
        <is>
          <t>USB-C (USB 3.2), magnetic keyboard connector</t>
        </is>
      </c>
      <c r="O782" s="43" t="inlineStr">
        <is>
          <t>Android 15</t>
        </is>
      </c>
      <c r="P782" s="43" t="n">
        <v>10</v>
      </c>
      <c r="Q782" s="46" t="n">
        <v>660</v>
      </c>
      <c r="R782" s="43" t="inlineStr">
        <is>
          <t>Lighter than Tyche Lumen Plus 13" Pro Tablet [TYC-055-08] (660 g vs 667 g); Longer battery than Iapetus Pulse SE 13" Pro Tablet [IAP-096-08] (10 vs 9 hrs)</t>
        </is>
      </c>
      <c r="S782" s="43" t="inlineStr">
        <is>
          <t>creative work, productivity, drawing</t>
        </is>
      </c>
      <c r="T782" s="0" t="inlineStr">
        <is>
          <t>in_stock</t>
        </is>
      </c>
      <c r="U782" s="0" t="n">
        <v>15</v>
      </c>
      <c r="V782" s="52" t="n">
        <v>1672.99</v>
      </c>
      <c r="W782" s="0" t="inlineStr">
        <is>
          <t>2026-08-24</t>
        </is>
      </c>
      <c r="X782" s="0" t="inlineStr">
        <is>
          <t>N/A</t>
        </is>
      </c>
      <c r="Y782" s="0" t="inlineStr">
        <is>
          <t>N/A</t>
        </is>
      </c>
      <c r="Z782" s="0" t="inlineStr">
        <is>
          <t>N/A</t>
        </is>
      </c>
      <c r="AA782" s="0" t="inlineStr">
        <is>
          <t>N/A</t>
        </is>
      </c>
    </row>
    <row r="783" ht="15.75" customHeight="1" s="51">
      <c r="A783" s="43" t="inlineStr">
        <is>
          <t>COM-078-01</t>
        </is>
      </c>
      <c r="B783" s="43" t="inlineStr">
        <is>
          <t>Comus</t>
        </is>
      </c>
      <c r="C783" s="43" t="inlineStr">
        <is>
          <t>Smartphones &amp; Tablets</t>
        </is>
      </c>
      <c r="D783" s="43" t="inlineStr">
        <is>
          <t>Tablet</t>
        </is>
      </c>
      <c r="E783" s="44" t="inlineStr">
        <is>
          <t>Comus Sable Pro Kids Tablet</t>
        </is>
      </c>
      <c r="F783" s="45" t="n">
        <v>151.99</v>
      </c>
      <c r="G783" s="43" t="inlineStr">
        <is>
          <t>the Sable Pro; Comus Sable Pro; Comos Sable Pro; Sable Pro tablet</t>
        </is>
      </c>
      <c r="H783" s="43" t="inlineStr">
        <is>
          <t>1 year limited</t>
        </is>
      </c>
      <c r="I783" s="43" t="inlineStr">
        <is>
          <t>FCC, CE, TUV Rheinland Low Blue Light, EN 71 Toy Safety, Energy Star</t>
        </is>
      </c>
      <c r="J783" s="43" t="inlineStr">
        <is>
          <t>MediaTek Helio G88</t>
        </is>
      </c>
      <c r="K783" s="43" t="inlineStr">
        <is>
          <t>Arm Mali-G52 MC2</t>
        </is>
      </c>
      <c r="L783" s="43" t="inlineStr">
        <is>
          <t>IPS LCD, 60Hz</t>
        </is>
      </c>
      <c r="M783" s="43" t="inlineStr">
        <is>
          <t>800x1280</t>
        </is>
      </c>
      <c r="N783" s="43" t="inlineStr">
        <is>
          <t>USB-C (USB 2.0), microSD slot</t>
        </is>
      </c>
      <c r="O783" s="43" t="inlineStr">
        <is>
          <t>Android 14 with parental controls</t>
        </is>
      </c>
      <c r="P783" s="43" t="n">
        <v>12</v>
      </c>
      <c r="Q783" s="46" t="n">
        <v>433</v>
      </c>
      <c r="R783" s="43" t="inlineStr">
        <is>
          <t>Longer battery than Leto Crest Pro Kids Tablet [LET-077-01] (12 vs 9 hrs); Lower price than Mnemosyne Wave SE Kids Tablet [MNE-061-01] ($151.99 vs $196.99)</t>
        </is>
      </c>
      <c r="S783" s="43" t="inlineStr">
        <is>
          <t>kids, learning, games</t>
        </is>
      </c>
      <c r="T783" s="0" t="inlineStr">
        <is>
          <t>in_stock</t>
        </is>
      </c>
      <c r="U783" s="0" t="n">
        <v>15</v>
      </c>
      <c r="V783" s="52" t="n">
        <v>168.99</v>
      </c>
      <c r="W783" s="0" t="inlineStr">
        <is>
          <t>2026-08-17</t>
        </is>
      </c>
      <c r="X783" s="0" t="inlineStr">
        <is>
          <t>N/A</t>
        </is>
      </c>
      <c r="Y783" s="0" t="inlineStr">
        <is>
          <t>N/A</t>
        </is>
      </c>
      <c r="Z783" s="0" t="inlineStr">
        <is>
          <t>N/A</t>
        </is>
      </c>
      <c r="AA783" s="0" t="inlineStr">
        <is>
          <t>N/A</t>
        </is>
      </c>
    </row>
    <row r="784" ht="15.75" customHeight="1" s="51">
      <c r="A784" s="43" t="inlineStr">
        <is>
          <t>COM-078-02</t>
        </is>
      </c>
      <c r="B784" s="43" t="inlineStr">
        <is>
          <t>Comus</t>
        </is>
      </c>
      <c r="C784" s="43" t="inlineStr">
        <is>
          <t>Smartphones &amp; Tablets</t>
        </is>
      </c>
      <c r="D784" s="43" t="inlineStr">
        <is>
          <t>Smartphone</t>
        </is>
      </c>
      <c r="E784" s="44" t="inlineStr">
        <is>
          <t>Comus Nimbus Max Budget Smartphone</t>
        </is>
      </c>
      <c r="F784" s="45" t="n">
        <v>294.99</v>
      </c>
      <c r="G784" s="43" t="inlineStr">
        <is>
          <t>the Nimbus Max; Comus Nimbus Max; Comuss Nimbus Max; Nimbus Max smartphone</t>
        </is>
      </c>
      <c r="H784" s="43" t="inlineStr">
        <is>
          <t>1 year limited</t>
        </is>
      </c>
      <c r="I784" s="43" t="inlineStr">
        <is>
          <t>FCC, CE, IP54</t>
        </is>
      </c>
      <c r="J784" s="43" t="inlineStr">
        <is>
          <t>Qualcomm Snapdragon 6 Gen 1</t>
        </is>
      </c>
      <c r="K784" s="43" t="inlineStr">
        <is>
          <t>Qualcomm Adreno 710</t>
        </is>
      </c>
      <c r="L784" s="43" t="inlineStr">
        <is>
          <t>IPS LCD, 90Hz</t>
        </is>
      </c>
      <c r="M784" s="43" t="inlineStr">
        <is>
          <t>1080x2400</t>
        </is>
      </c>
      <c r="N784" s="43" t="inlineStr">
        <is>
          <t>USB-C (USB 2.0), nano-SIM + eSIM, 3.5mm headphone jack, microSD slot</t>
        </is>
      </c>
      <c r="O784" s="43" t="inlineStr">
        <is>
          <t>Android 14</t>
        </is>
      </c>
      <c r="P784" s="43" t="n">
        <v>24</v>
      </c>
      <c r="Q784" s="46" t="n">
        <v>200</v>
      </c>
      <c r="R784" s="43" t="inlineStr">
        <is>
          <t>Lower price than Aglaea Lumen SE Budget Smartphone [AGL-079-03] ($294.99 vs $373.99); Longer battery than Thetis Wave Ultra Budget Smartphone [THE-093-01] (24 vs 20 hrs)</t>
        </is>
      </c>
      <c r="S784" s="43" t="inlineStr">
        <is>
          <t>budget, first phone, everyday</t>
        </is>
      </c>
      <c r="T784" s="0" t="inlineStr">
        <is>
          <t>in_stock</t>
        </is>
      </c>
      <c r="U784" s="0" t="n">
        <v>15</v>
      </c>
      <c r="V784" s="52" t="n">
        <v>315.99</v>
      </c>
      <c r="W784" s="0" t="inlineStr">
        <is>
          <t>2026-09-21</t>
        </is>
      </c>
      <c r="X784" s="0" t="inlineStr">
        <is>
          <t>N/A</t>
        </is>
      </c>
      <c r="Y784" s="0" t="inlineStr">
        <is>
          <t>N/A</t>
        </is>
      </c>
      <c r="Z784" s="0" t="inlineStr">
        <is>
          <t>N/A</t>
        </is>
      </c>
      <c r="AA784" s="0" t="inlineStr">
        <is>
          <t>N/A</t>
        </is>
      </c>
    </row>
    <row r="785" ht="15.75" customHeight="1" s="51">
      <c r="A785" s="43" t="inlineStr">
        <is>
          <t>COM-078-03</t>
        </is>
      </c>
      <c r="B785" s="43" t="inlineStr">
        <is>
          <t>Comus</t>
        </is>
      </c>
      <c r="C785" s="43" t="inlineStr">
        <is>
          <t>Smartphones &amp; Tablets</t>
        </is>
      </c>
      <c r="D785" s="43" t="inlineStr">
        <is>
          <t>Tablet</t>
        </is>
      </c>
      <c r="E785" s="44" t="inlineStr">
        <is>
          <t>Comus Zen Max 8" Mini Tablet</t>
        </is>
      </c>
      <c r="F785" s="45" t="n">
        <v>401.99</v>
      </c>
      <c r="G785" s="43" t="inlineStr">
        <is>
          <t>the Zen Max; Comus Zen Max; Commus Zen Max; Zen Max tablet</t>
        </is>
      </c>
      <c r="H785" s="43" t="inlineStr">
        <is>
          <t>1 year limited</t>
        </is>
      </c>
      <c r="I785" s="43" t="inlineStr">
        <is>
          <t>FCC, CE, TUV Rheinland Low Blue Light, Energy Star</t>
        </is>
      </c>
      <c r="J785" s="43" t="inlineStr">
        <is>
          <t>MediaTek Dimensity 7300</t>
        </is>
      </c>
      <c r="K785" s="43" t="inlineStr">
        <is>
          <t>Arm Mali-G615 MC2</t>
        </is>
      </c>
      <c r="L785" s="43" t="inlineStr">
        <is>
          <t>OLED, 120Hz</t>
        </is>
      </c>
      <c r="M785" s="43" t="inlineStr">
        <is>
          <t>1600x2560</t>
        </is>
      </c>
      <c r="N785" s="43" t="inlineStr">
        <is>
          <t>USB-C (USB 2.0), microSD slot</t>
        </is>
      </c>
      <c r="O785" s="43" t="inlineStr">
        <is>
          <t>Android 15</t>
        </is>
      </c>
      <c r="P785" s="43" t="n">
        <v>12</v>
      </c>
      <c r="Q785" s="46" t="n">
        <v>331</v>
      </c>
      <c r="R785" s="43" t="inlineStr">
        <is>
          <t>Longer battery than Dike Aria SE 8" Mini Tablet [DIK-099-05] (12 vs 11 hrs); Lighter than Thetis Axis X 8" Mini Tablet [THE-093-02] (331 g vs 338 g)</t>
        </is>
      </c>
      <c r="S785" s="43" t="inlineStr">
        <is>
          <t>reading, travel, gaming</t>
        </is>
      </c>
      <c r="T785" s="0" t="inlineStr">
        <is>
          <t>in_stock</t>
        </is>
      </c>
      <c r="U785" s="0" t="n">
        <v>15</v>
      </c>
      <c r="V785" s="52" t="n">
        <v>442.99</v>
      </c>
      <c r="W785" s="0" t="inlineStr">
        <is>
          <t>2026-09-06</t>
        </is>
      </c>
      <c r="X785" s="0" t="inlineStr">
        <is>
          <t>N/A</t>
        </is>
      </c>
      <c r="Y785" s="0" t="inlineStr">
        <is>
          <t>N/A</t>
        </is>
      </c>
      <c r="Z785" s="0" t="inlineStr">
        <is>
          <t>N/A</t>
        </is>
      </c>
      <c r="AA785" s="0" t="inlineStr">
        <is>
          <t>N/A</t>
        </is>
      </c>
    </row>
    <row r="786" ht="15.75" customHeight="1" s="51">
      <c r="A786" s="43" t="inlineStr">
        <is>
          <t>COM-078-04</t>
        </is>
      </c>
      <c r="B786" s="43" t="inlineStr">
        <is>
          <t>Comus</t>
        </is>
      </c>
      <c r="C786" s="43" t="inlineStr">
        <is>
          <t>Smartphones &amp; Tablets</t>
        </is>
      </c>
      <c r="D786" s="43" t="inlineStr">
        <is>
          <t>Smartphone</t>
        </is>
      </c>
      <c r="E786" s="44" t="inlineStr">
        <is>
          <t>Comus Axis Pro Rugged Smartphone</t>
        </is>
      </c>
      <c r="F786" s="45" t="n">
        <v>606.99</v>
      </c>
      <c r="G786" s="43" t="inlineStr">
        <is>
          <t>the Axis Pro; Comus Axis Pro; Komus Axis Pro; Axis Pro smartphone</t>
        </is>
      </c>
      <c r="H786" s="43" t="inlineStr">
        <is>
          <t>2 year limited</t>
        </is>
      </c>
      <c r="I786" s="43" t="inlineStr">
        <is>
          <t>FCC, CE, IP69K, MIL-STD-810H</t>
        </is>
      </c>
      <c r="J786" s="43" t="inlineStr">
        <is>
          <t>Qualcomm Snapdragon 7+ Gen 3</t>
        </is>
      </c>
      <c r="K786" s="43" t="inlineStr">
        <is>
          <t>Qualcomm Adreno 732</t>
        </is>
      </c>
      <c r="L786" s="43" t="inlineStr">
        <is>
          <t>IPS LCD, Gorilla Glass Victus, 120Hz</t>
        </is>
      </c>
      <c r="M786" s="43" t="inlineStr">
        <is>
          <t>1080x2400</t>
        </is>
      </c>
      <c r="N786" s="43" t="inlineStr">
        <is>
          <t>USB-C (USB 2.0), nano-SIM + eSIM, 3.5mm headphone jack, microSD slot</t>
        </is>
      </c>
      <c r="O786" s="43" t="inlineStr">
        <is>
          <t>Android 15</t>
        </is>
      </c>
      <c r="P786" s="43" t="n">
        <v>39</v>
      </c>
      <c r="Q786" s="46" t="n">
        <v>334</v>
      </c>
      <c r="R786" s="43" t="inlineStr">
        <is>
          <t>Longer battery than Lachesis Titan Plus Rugged Smartphone [LAC-071-04] (39 vs 30 hrs); Lower price than Elpis Nova Max Rugged Smartphone [ELP-074-05] ($606.99 vs $771.99)</t>
        </is>
      </c>
      <c r="S786" s="43" t="inlineStr">
        <is>
          <t>outdoor, construction, fieldwork</t>
        </is>
      </c>
      <c r="T786" s="0" t="inlineStr">
        <is>
          <t>low_stock</t>
        </is>
      </c>
      <c r="U786" s="0" t="n">
        <v>15</v>
      </c>
      <c r="V786" s="52" t="n">
        <v>630.99</v>
      </c>
      <c r="W786" s="0" t="inlineStr">
        <is>
          <t>2026-09-02</t>
        </is>
      </c>
      <c r="X786" s="0" t="inlineStr">
        <is>
          <t>N/A</t>
        </is>
      </c>
      <c r="Y786" s="0" t="inlineStr">
        <is>
          <t>N/A</t>
        </is>
      </c>
      <c r="Z786" s="0" t="inlineStr">
        <is>
          <t>N/A</t>
        </is>
      </c>
      <c r="AA786" s="0" t="inlineStr">
        <is>
          <t>N/A</t>
        </is>
      </c>
    </row>
    <row r="787" ht="15.75" customHeight="1" s="51">
      <c r="A787" s="43" t="inlineStr">
        <is>
          <t>COM-078-05</t>
        </is>
      </c>
      <c r="B787" s="43" t="inlineStr">
        <is>
          <t>Comus</t>
        </is>
      </c>
      <c r="C787" s="43" t="inlineStr">
        <is>
          <t>Smartphones &amp; Tablets</t>
        </is>
      </c>
      <c r="D787" s="43" t="inlineStr">
        <is>
          <t>Smartphone</t>
        </is>
      </c>
      <c r="E787" s="44" t="inlineStr">
        <is>
          <t>Comus Volt Compact Smartphone</t>
        </is>
      </c>
      <c r="F787" s="45" t="n">
        <v>699.99</v>
      </c>
      <c r="G787" s="43" t="inlineStr">
        <is>
          <t>the Volt; Comus Volt; Comuus Volt; Volt smartphone</t>
        </is>
      </c>
      <c r="H787" s="43" t="inlineStr">
        <is>
          <t>1 year limited</t>
        </is>
      </c>
      <c r="I787" s="43" t="inlineStr">
        <is>
          <t>FCC, CE, IP68</t>
        </is>
      </c>
      <c r="J787" s="43" t="inlineStr">
        <is>
          <t>MediaTek Dimensity 8300</t>
        </is>
      </c>
      <c r="K787" s="43" t="inlineStr">
        <is>
          <t>Arm Mali-G615 MC6</t>
        </is>
      </c>
      <c r="L787" s="43" t="inlineStr">
        <is>
          <t>AMOLED, 120Hz</t>
        </is>
      </c>
      <c r="M787" s="43" t="inlineStr">
        <is>
          <t>1080x2340</t>
        </is>
      </c>
      <c r="N787" s="43" t="inlineStr">
        <is>
          <t>USB-C (USB 2.0), nano-SIM + eSIM</t>
        </is>
      </c>
      <c r="O787" s="43" t="inlineStr">
        <is>
          <t>Android 15</t>
        </is>
      </c>
      <c r="P787" s="43" t="n">
        <v>23</v>
      </c>
      <c r="Q787" s="46" t="n">
        <v>146</v>
      </c>
      <c r="R787" s="43" t="inlineStr">
        <is>
          <t>Longer battery than Eurus Nova Plus Compact Smartphone [EUR-088-04] (23 vs 18 hrs); Lighter than Panacea Nova Air Compact Smartphone [PAN-069-05] (146 g vs 165 g)</t>
        </is>
      </c>
      <c r="S787" s="43" t="inlineStr">
        <is>
          <t>everyday, one-handed use</t>
        </is>
      </c>
      <c r="T787" s="0" t="inlineStr">
        <is>
          <t>in_stock</t>
        </is>
      </c>
      <c r="U787" s="0" t="n">
        <v>15</v>
      </c>
      <c r="V787" s="52" t="n">
        <v>787.99</v>
      </c>
      <c r="W787" s="0" t="inlineStr">
        <is>
          <t>2026-08-30</t>
        </is>
      </c>
      <c r="X787" s="0" t="inlineStr">
        <is>
          <t>N/A</t>
        </is>
      </c>
      <c r="Y787" s="0" t="inlineStr">
        <is>
          <t>N/A</t>
        </is>
      </c>
      <c r="Z787" s="0" t="inlineStr">
        <is>
          <t>N/A</t>
        </is>
      </c>
      <c r="AA787" s="0" t="inlineStr">
        <is>
          <t>N/A</t>
        </is>
      </c>
    </row>
    <row r="788" ht="15.75" customHeight="1" s="51">
      <c r="A788" s="43" t="inlineStr">
        <is>
          <t>COM-078-06</t>
        </is>
      </c>
      <c r="B788" s="43" t="inlineStr">
        <is>
          <t>Comus</t>
        </is>
      </c>
      <c r="C788" s="43" t="inlineStr">
        <is>
          <t>Smartphones &amp; Tablets</t>
        </is>
      </c>
      <c r="D788" s="43" t="inlineStr">
        <is>
          <t>Smartphone</t>
        </is>
      </c>
      <c r="E788" s="44" t="inlineStr">
        <is>
          <t>Comus Prism Plus Flagship Smartphone</t>
        </is>
      </c>
      <c r="F788" s="45" t="n">
        <v>867.99</v>
      </c>
      <c r="G788" s="43" t="inlineStr">
        <is>
          <t>the Prism Plus; Comus Prism Plus; Cmous Prism Plus; Prism Plus smartphone</t>
        </is>
      </c>
      <c r="H788" s="43" t="inlineStr">
        <is>
          <t>1 year limited</t>
        </is>
      </c>
      <c r="I788" s="43" t="inlineStr">
        <is>
          <t>FCC, CE, IP68, Qi2</t>
        </is>
      </c>
      <c r="J788" s="43" t="inlineStr">
        <is>
          <t>Qualcomm Snapdragon 8 Gen 3</t>
        </is>
      </c>
      <c r="K788" s="43" t="inlineStr">
        <is>
          <t>Qualcomm Adreno 750</t>
        </is>
      </c>
      <c r="L788" s="43" t="inlineStr">
        <is>
          <t>AMOLED, 120Hz</t>
        </is>
      </c>
      <c r="M788" s="43" t="inlineStr">
        <is>
          <t>1080x2400</t>
        </is>
      </c>
      <c r="N788" s="43" t="inlineStr">
        <is>
          <t>USB-C (USB 3.2), nano-SIM + eSIM</t>
        </is>
      </c>
      <c r="O788" s="43" t="inlineStr">
        <is>
          <t>Android 15</t>
        </is>
      </c>
      <c r="P788" s="43" t="n">
        <v>26</v>
      </c>
      <c r="Q788" s="46" t="n">
        <v>187</v>
      </c>
      <c r="R788" s="43" t="inlineStr">
        <is>
          <t>Lighter than Elpis Nova Max Flagship Smartphone [ELP-074-08] (187 g vs 196 g); Longer battery than Pan Vibe Flagship Smartphone [PAN-097-06] (26 vs 23 hrs)</t>
        </is>
      </c>
      <c r="S788" s="43" t="inlineStr">
        <is>
          <t>photography, everyday, business</t>
        </is>
      </c>
      <c r="T788" s="0" t="inlineStr">
        <is>
          <t>low_stock</t>
        </is>
      </c>
      <c r="U788" s="0" t="n">
        <v>15</v>
      </c>
      <c r="V788" s="52" t="n">
        <v>936.99</v>
      </c>
      <c r="W788" s="0" t="inlineStr">
        <is>
          <t>2026-09-17</t>
        </is>
      </c>
      <c r="X788" s="0" t="inlineStr">
        <is>
          <t>N/A</t>
        </is>
      </c>
      <c r="Y788" s="0" t="inlineStr">
        <is>
          <t>N/A</t>
        </is>
      </c>
      <c r="Z788" s="0" t="inlineStr">
        <is>
          <t>N/A</t>
        </is>
      </c>
      <c r="AA788" s="0" t="inlineStr">
        <is>
          <t>N/A</t>
        </is>
      </c>
    </row>
    <row r="789" ht="15.75" customHeight="1" s="51">
      <c r="A789" s="43" t="inlineStr">
        <is>
          <t>COM-078-07</t>
        </is>
      </c>
      <c r="B789" s="43" t="inlineStr">
        <is>
          <t>Comus</t>
        </is>
      </c>
      <c r="C789" s="43" t="inlineStr">
        <is>
          <t>Smartphones &amp; Tablets</t>
        </is>
      </c>
      <c r="D789" s="43" t="inlineStr">
        <is>
          <t>Smartphone</t>
        </is>
      </c>
      <c r="E789" s="44" t="inlineStr">
        <is>
          <t>Comus Zen Lite Flip Foldable Phone</t>
        </is>
      </c>
      <c r="F789" s="45" t="n">
        <v>1043.99</v>
      </c>
      <c r="G789" s="43" t="inlineStr">
        <is>
          <t>the Zen Lite; Comus Zen Lite; Coums Zen Lite; Zen Lite smartphone</t>
        </is>
      </c>
      <c r="H789" s="43" t="inlineStr">
        <is>
          <t>1 year limited</t>
        </is>
      </c>
      <c r="I789" s="43" t="inlineStr">
        <is>
          <t>FCC, CE, IPX8</t>
        </is>
      </c>
      <c r="J789" s="43" t="inlineStr">
        <is>
          <t>MediaTek Dimensity 9400</t>
        </is>
      </c>
      <c r="K789" s="43" t="inlineStr">
        <is>
          <t>Arm Immortalis-G925</t>
        </is>
      </c>
      <c r="L789" s="43" t="inlineStr">
        <is>
          <t>Foldable AMOLED inner + AMOLED cover screen</t>
        </is>
      </c>
      <c r="M789" s="43" t="inlineStr">
        <is>
          <t>1080x2640 inner / 720x748 cover</t>
        </is>
      </c>
      <c r="N789" s="43" t="inlineStr">
        <is>
          <t>USB-C (USB 3.2), nano-SIM + eSIM</t>
        </is>
      </c>
      <c r="O789" s="43" t="inlineStr">
        <is>
          <t>Android 15</t>
        </is>
      </c>
      <c r="P789" s="43" t="n">
        <v>22</v>
      </c>
      <c r="Q789" s="46" t="n">
        <v>192</v>
      </c>
      <c r="R789" s="43" t="inlineStr">
        <is>
          <t>Lower price than Proteus Zen Max Flip Foldable Phone [PRO-070-06] ($1,043.99 vs $1,080.99); Lighter than Plutus Arc Max Flip Foldable Phone [PLU-100-07] (192 g vs 199 g)</t>
        </is>
      </c>
      <c r="S789" s="43" t="inlineStr">
        <is>
          <t>style, everyday, compact</t>
        </is>
      </c>
      <c r="T789" s="0" t="inlineStr">
        <is>
          <t>in_stock</t>
        </is>
      </c>
      <c r="U789" s="0" t="n">
        <v>15</v>
      </c>
      <c r="V789" s="52" t="n">
        <v>1114.99</v>
      </c>
      <c r="W789" s="0" t="inlineStr">
        <is>
          <t>2026-09-02</t>
        </is>
      </c>
      <c r="X789" s="0" t="inlineStr">
        <is>
          <t>N/A</t>
        </is>
      </c>
      <c r="Y789" s="0" t="inlineStr">
        <is>
          <t>N/A</t>
        </is>
      </c>
      <c r="Z789" s="0" t="inlineStr">
        <is>
          <t>N/A</t>
        </is>
      </c>
      <c r="AA789" s="0" t="inlineStr">
        <is>
          <t>N/A</t>
        </is>
      </c>
    </row>
    <row r="790" ht="15.75" customHeight="1" s="51">
      <c r="A790" s="43" t="inlineStr">
        <is>
          <t>COM-078-08</t>
        </is>
      </c>
      <c r="B790" s="43" t="inlineStr">
        <is>
          <t>Comus</t>
        </is>
      </c>
      <c r="C790" s="43" t="inlineStr">
        <is>
          <t>Smartphones &amp; Tablets</t>
        </is>
      </c>
      <c r="D790" s="43" t="inlineStr">
        <is>
          <t>Tablet</t>
        </is>
      </c>
      <c r="E790" s="44" t="inlineStr">
        <is>
          <t>Comus Axis Ultra Drawing Tablet with Stylus</t>
        </is>
      </c>
      <c r="F790" s="45" t="n">
        <v>1150.99</v>
      </c>
      <c r="G790" s="43" t="inlineStr">
        <is>
          <t>the Axis Ultra; Comus Axis Ultra; Coums Axis Ultra; Axis Ultra tablet</t>
        </is>
      </c>
      <c r="H790" s="43" t="inlineStr">
        <is>
          <t>2 year limited</t>
        </is>
      </c>
      <c r="I790" s="43" t="inlineStr">
        <is>
          <t>FCC, CE, TUV Rheinland Low Blue Light, Energy Star</t>
        </is>
      </c>
      <c r="J790" s="43" t="inlineStr">
        <is>
          <t>MediaTek Dimensity 9400</t>
        </is>
      </c>
      <c r="K790" s="43" t="inlineStr">
        <is>
          <t>Arm Immortalis-G925</t>
        </is>
      </c>
      <c r="L790" s="43" t="inlineStr">
        <is>
          <t>OLED, 120Hz, pen digitizer</t>
        </is>
      </c>
      <c r="M790" s="43" t="inlineStr">
        <is>
          <t>2560x1600</t>
        </is>
      </c>
      <c r="N790" s="43" t="inlineStr">
        <is>
          <t>USB-C (USB 3.2), magnetic keyboard connector</t>
        </is>
      </c>
      <c r="O790" s="43" t="inlineStr">
        <is>
          <t>Android 15</t>
        </is>
      </c>
      <c r="P790" s="43" t="n">
        <v>9</v>
      </c>
      <c r="Q790" s="46" t="n">
        <v>629</v>
      </c>
      <c r="R790" s="43" t="inlineStr">
        <is>
          <t>Lighter than Mnemosyne Vertex Lite Drawing Tablet with Stylus [MNE-061-06] (629 g vs 639 g); Lower price than Paean Pulse Max Drawing Tablet with Stylus [PAE-066-08] ($1,150.99 vs $1,172.99)</t>
        </is>
      </c>
      <c r="S790" s="43" t="inlineStr">
        <is>
          <t>drawing, design, note-taking</t>
        </is>
      </c>
      <c r="T790" s="0" t="inlineStr">
        <is>
          <t>in_stock</t>
        </is>
      </c>
      <c r="U790" s="0" t="n">
        <v>15</v>
      </c>
      <c r="V790" s="52" t="n">
        <v>1291.99</v>
      </c>
      <c r="W790" s="0" t="inlineStr">
        <is>
          <t>2026-09-12</t>
        </is>
      </c>
      <c r="X790" s="0" t="inlineStr">
        <is>
          <t>N/A</t>
        </is>
      </c>
      <c r="Y790" s="0" t="inlineStr">
        <is>
          <t>N/A</t>
        </is>
      </c>
      <c r="Z790" s="0" t="inlineStr">
        <is>
          <t>N/A</t>
        </is>
      </c>
      <c r="AA790" s="0" t="inlineStr">
        <is>
          <t>N/A</t>
        </is>
      </c>
    </row>
    <row r="791" ht="15.75" customHeight="1" s="51">
      <c r="A791" s="43" t="inlineStr">
        <is>
          <t>COM-078-09</t>
        </is>
      </c>
      <c r="B791" s="43" t="inlineStr">
        <is>
          <t>Comus</t>
        </is>
      </c>
      <c r="C791" s="43" t="inlineStr">
        <is>
          <t>Smartphones &amp; Tablets</t>
        </is>
      </c>
      <c r="D791" s="43" t="inlineStr">
        <is>
          <t>Tablet</t>
        </is>
      </c>
      <c r="E791" s="44" t="inlineStr">
        <is>
          <t>Comus Halo X 13" Pro Tablet</t>
        </is>
      </c>
      <c r="F791" s="45" t="n">
        <v>1575.99</v>
      </c>
      <c r="G791" s="43" t="inlineStr">
        <is>
          <t>the Halo X; Comus Halo X; Comuus Halo X; Halo X tablet</t>
        </is>
      </c>
      <c r="H791" s="43" t="inlineStr">
        <is>
          <t>1 year limited</t>
        </is>
      </c>
      <c r="I791" s="43" t="inlineStr">
        <is>
          <t>FCC, CE, Energy Star</t>
        </is>
      </c>
      <c r="J791" s="43" t="inlineStr">
        <is>
          <t>Qualcomm Snapdragon 8 Elite</t>
        </is>
      </c>
      <c r="K791" s="43" t="inlineStr">
        <is>
          <t>Qualcomm Adreno 830</t>
        </is>
      </c>
      <c r="L791" s="43" t="inlineStr">
        <is>
          <t>Mini-LED, 144Hz</t>
        </is>
      </c>
      <c r="M791" s="43" t="inlineStr">
        <is>
          <t>2960x1848</t>
        </is>
      </c>
      <c r="N791" s="43" t="inlineStr">
        <is>
          <t>USB-C (USB 3.2), magnetic keyboard connector</t>
        </is>
      </c>
      <c r="O791" s="43" t="inlineStr">
        <is>
          <t>Android 15</t>
        </is>
      </c>
      <c r="P791" s="43" t="n">
        <v>13</v>
      </c>
      <c r="Q791" s="46" t="n">
        <v>672</v>
      </c>
      <c r="R791" s="43" t="inlineStr">
        <is>
          <t>Longer battery than Adrastea Echo 13" Pro Tablet [ADR-094-08] (13 vs 11 hrs); Lower price than Proteus Aria Plus 13" Pro Tablet [PRO-070-10] ($1,575.99 vs $1,777.99)</t>
        </is>
      </c>
      <c r="S791" s="43" t="inlineStr">
        <is>
          <t>creative work, productivity, drawing</t>
        </is>
      </c>
      <c r="T791" s="0" t="inlineStr">
        <is>
          <t>in_stock</t>
        </is>
      </c>
      <c r="U791" s="0" t="n">
        <v>15</v>
      </c>
      <c r="V791" s="52" t="n">
        <v>1709.99</v>
      </c>
      <c r="W791" s="0" t="inlineStr">
        <is>
          <t>2026-09-03</t>
        </is>
      </c>
      <c r="X791" s="0" t="inlineStr">
        <is>
          <t>N/A</t>
        </is>
      </c>
      <c r="Y791" s="0" t="inlineStr">
        <is>
          <t>N/A</t>
        </is>
      </c>
      <c r="Z791" s="0" t="inlineStr">
        <is>
          <t>N/A</t>
        </is>
      </c>
      <c r="AA791" s="0" t="inlineStr">
        <is>
          <t>N/A</t>
        </is>
      </c>
    </row>
    <row r="792" ht="15.75" customHeight="1" s="51">
      <c r="A792" s="43" t="inlineStr">
        <is>
          <t>COM-078-10</t>
        </is>
      </c>
      <c r="B792" s="43" t="inlineStr">
        <is>
          <t>Comus</t>
        </is>
      </c>
      <c r="C792" s="43" t="inlineStr">
        <is>
          <t>Smartphones &amp; Tablets</t>
        </is>
      </c>
      <c r="D792" s="43" t="inlineStr">
        <is>
          <t>Smartphone</t>
        </is>
      </c>
      <c r="E792" s="44" t="inlineStr">
        <is>
          <t>Comus Aria X Foldable Phone</t>
        </is>
      </c>
      <c r="F792" s="45" t="n">
        <v>2133.99</v>
      </c>
      <c r="G792" s="43" t="inlineStr">
        <is>
          <t>the Aria X; Comus Aria X; Coomus Aria X; Aria X smartphone</t>
        </is>
      </c>
      <c r="H792" s="43" t="inlineStr">
        <is>
          <t>2 year limited</t>
        </is>
      </c>
      <c r="I792" s="43" t="inlineStr">
        <is>
          <t>FCC, CE, IPX8</t>
        </is>
      </c>
      <c r="J792" s="43" t="inlineStr">
        <is>
          <t>Qualcomm Snapdragon 8 Elite</t>
        </is>
      </c>
      <c r="K792" s="43" t="inlineStr">
        <is>
          <t>Qualcomm Adreno 830</t>
        </is>
      </c>
      <c r="L792" s="43" t="inlineStr">
        <is>
          <t>Foldable LTPO AMOLED inner + AMOLED cover, 120Hz</t>
        </is>
      </c>
      <c r="M792" s="43" t="inlineStr">
        <is>
          <t>2160x1856 inner / 1080x2376 cover</t>
        </is>
      </c>
      <c r="N792" s="43" t="inlineStr">
        <is>
          <t>USB-C (USB 3.2), nano-SIM + eSIM</t>
        </is>
      </c>
      <c r="O792" s="43" t="inlineStr">
        <is>
          <t>Android 15</t>
        </is>
      </c>
      <c r="P792" s="43" t="n">
        <v>23</v>
      </c>
      <c r="Q792" s="46" t="n">
        <v>254</v>
      </c>
      <c r="R792" s="43" t="inlineStr">
        <is>
          <t>Longer battery than Leucothea Strata Max Foldable Phone [LEU-095-10] (23 vs 22 hrs); Lighter than Iapetus Axis Plus Foldable Phone [IAP-096-10] (254 g vs 260 g)</t>
        </is>
      </c>
      <c r="S792" s="43" t="inlineStr">
        <is>
          <t>multitasking, business, media</t>
        </is>
      </c>
      <c r="T792" s="0" t="inlineStr">
        <is>
          <t>in_stock</t>
        </is>
      </c>
      <c r="U792" s="0" t="n">
        <v>15</v>
      </c>
      <c r="V792" s="52" t="n">
        <v>2316.99</v>
      </c>
      <c r="W792" s="0" t="inlineStr">
        <is>
          <t>2026-09-18</t>
        </is>
      </c>
      <c r="X792" s="0" t="inlineStr">
        <is>
          <t>N/A</t>
        </is>
      </c>
      <c r="Y792" s="0" t="inlineStr">
        <is>
          <t>N/A</t>
        </is>
      </c>
      <c r="Z792" s="0" t="inlineStr">
        <is>
          <t>N/A</t>
        </is>
      </c>
      <c r="AA792" s="0" t="inlineStr">
        <is>
          <t>N/A</t>
        </is>
      </c>
    </row>
    <row r="793" ht="15.75" customHeight="1" s="51">
      <c r="A793" s="43" t="inlineStr">
        <is>
          <t>AGL-079-01</t>
        </is>
      </c>
      <c r="B793" s="43" t="inlineStr">
        <is>
          <t>Aglaea</t>
        </is>
      </c>
      <c r="C793" s="43" t="inlineStr">
        <is>
          <t>Smartphones &amp; Tablets</t>
        </is>
      </c>
      <c r="D793" s="43" t="inlineStr">
        <is>
          <t>Tablet</t>
        </is>
      </c>
      <c r="E793" s="44" t="inlineStr">
        <is>
          <t>Aglaea Prism Pro Kids Tablet</t>
        </is>
      </c>
      <c r="F793" s="45" t="n">
        <v>159.99</v>
      </c>
      <c r="G793" s="43" t="inlineStr">
        <is>
          <t>the Prism Pro; Aglaea Prism Pro; Aglaeaa Prism Pro; Prism Pro tablet</t>
        </is>
      </c>
      <c r="H793" s="43" t="inlineStr">
        <is>
          <t>1 year limited</t>
        </is>
      </c>
      <c r="I793" s="43" t="inlineStr">
        <is>
          <t>FCC, CE, TUV Rheinland Low Blue Light, EN 71 Toy Safety, Energy Star</t>
        </is>
      </c>
      <c r="J793" s="43" t="inlineStr">
        <is>
          <t>MediaTek Helio G88</t>
        </is>
      </c>
      <c r="K793" s="43" t="inlineStr">
        <is>
          <t>Arm Mali-G52 MC2</t>
        </is>
      </c>
      <c r="L793" s="43" t="inlineStr">
        <is>
          <t>IPS LCD, 60Hz</t>
        </is>
      </c>
      <c r="M793" s="43" t="inlineStr">
        <is>
          <t>800x1280</t>
        </is>
      </c>
      <c r="N793" s="43" t="inlineStr">
        <is>
          <t>USB-C (USB 2.0), microSD slot</t>
        </is>
      </c>
      <c r="O793" s="43" t="inlineStr">
        <is>
          <t>Android 14 with parental controls</t>
        </is>
      </c>
      <c r="P793" s="43" t="n">
        <v>8</v>
      </c>
      <c r="Q793" s="46" t="n">
        <v>403</v>
      </c>
      <c r="R793" s="43" t="inlineStr">
        <is>
          <t>Lighter than Pothos Volt Kids Tablet [POT-072-01] (403 g vs 436 g); Lower price than Mnemosyne Wave SE Kids Tablet [MNE-061-01] ($159.99 vs $196.99)</t>
        </is>
      </c>
      <c r="S793" s="43" t="inlineStr">
        <is>
          <t>kids, learning, games</t>
        </is>
      </c>
      <c r="T793" s="0" t="inlineStr">
        <is>
          <t>in_stock</t>
        </is>
      </c>
      <c r="U793" s="0" t="n">
        <v>30</v>
      </c>
      <c r="V793" s="52" t="n">
        <v>183.99</v>
      </c>
      <c r="W793" s="0" t="inlineStr">
        <is>
          <t>2026-09-18</t>
        </is>
      </c>
      <c r="X793" s="0" t="inlineStr">
        <is>
          <t>N/A</t>
        </is>
      </c>
      <c r="Y793" s="0" t="inlineStr">
        <is>
          <t>N/A</t>
        </is>
      </c>
      <c r="Z793" s="0" t="inlineStr">
        <is>
          <t>N/A</t>
        </is>
      </c>
      <c r="AA793" s="0" t="inlineStr">
        <is>
          <t>N/A</t>
        </is>
      </c>
    </row>
    <row r="794" ht="15.75" customHeight="1" s="51">
      <c r="A794" s="43" t="inlineStr">
        <is>
          <t>AGL-079-02</t>
        </is>
      </c>
      <c r="B794" s="43" t="inlineStr">
        <is>
          <t>Aglaea</t>
        </is>
      </c>
      <c r="C794" s="43" t="inlineStr">
        <is>
          <t>Smartphones &amp; Tablets</t>
        </is>
      </c>
      <c r="D794" s="43" t="inlineStr">
        <is>
          <t>Tablet</t>
        </is>
      </c>
      <c r="E794" s="44" t="inlineStr">
        <is>
          <t>Aglaea Aeon X 11" Tablet</t>
        </is>
      </c>
      <c r="F794" s="45" t="n">
        <v>365.99</v>
      </c>
      <c r="G794" s="43" t="inlineStr">
        <is>
          <t>the Aeon X; Aglaea Aeon X; Aglaaea Aeon X; Aeon X tablet</t>
        </is>
      </c>
      <c r="H794" s="43" t="inlineStr">
        <is>
          <t>1 year limited</t>
        </is>
      </c>
      <c r="I794" s="43" t="inlineStr">
        <is>
          <t>FCC, CE</t>
        </is>
      </c>
      <c r="J794" s="43" t="inlineStr">
        <is>
          <t>MediaTek Dimensity 7300</t>
        </is>
      </c>
      <c r="K794" s="43" t="inlineStr">
        <is>
          <t>Arm Mali-G615 MC2</t>
        </is>
      </c>
      <c r="L794" s="43" t="inlineStr">
        <is>
          <t>IPS LCD, 90Hz</t>
        </is>
      </c>
      <c r="M794" s="43" t="inlineStr">
        <is>
          <t>1600x2560</t>
        </is>
      </c>
      <c r="N794" s="43" t="inlineStr">
        <is>
          <t>USB-C (USB 2.0), microSD slot</t>
        </is>
      </c>
      <c r="O794" s="43" t="inlineStr">
        <is>
          <t>Android 15</t>
        </is>
      </c>
      <c r="P794" s="43" t="n">
        <v>13</v>
      </c>
      <c r="Q794" s="46" t="n">
        <v>496</v>
      </c>
      <c r="R794" s="43" t="inlineStr">
        <is>
          <t>Lower price than Clotho Titan Air 11" Tablet [CLO-062-05] ($365.99 vs $656.99); Longer battery than Lachesis Wave Air 11" Tablet [LAC-071-05] (13 vs 10 hrs)</t>
        </is>
      </c>
      <c r="S794" s="43" t="inlineStr">
        <is>
          <t>school, streaming, reading</t>
        </is>
      </c>
      <c r="T794" s="0" t="inlineStr">
        <is>
          <t>in_stock</t>
        </is>
      </c>
      <c r="U794" s="0" t="n">
        <v>30</v>
      </c>
      <c r="V794" s="52" t="n">
        <v>409.99</v>
      </c>
      <c r="W794" s="0" t="inlineStr">
        <is>
          <t>2026-08-31</t>
        </is>
      </c>
      <c r="X794" s="0" t="inlineStr">
        <is>
          <t>N/A</t>
        </is>
      </c>
      <c r="Y794" s="0" t="inlineStr">
        <is>
          <t>N/A</t>
        </is>
      </c>
      <c r="Z794" s="0" t="inlineStr">
        <is>
          <t>N/A</t>
        </is>
      </c>
      <c r="AA794" s="0" t="inlineStr">
        <is>
          <t>N/A</t>
        </is>
      </c>
    </row>
    <row r="795" ht="15.75" customHeight="1" s="51">
      <c r="A795" s="43" t="inlineStr">
        <is>
          <t>AGL-079-03</t>
        </is>
      </c>
      <c r="B795" s="43" t="inlineStr">
        <is>
          <t>Aglaea</t>
        </is>
      </c>
      <c r="C795" s="43" t="inlineStr">
        <is>
          <t>Smartphones &amp; Tablets</t>
        </is>
      </c>
      <c r="D795" s="43" t="inlineStr">
        <is>
          <t>Smartphone</t>
        </is>
      </c>
      <c r="E795" s="44" t="inlineStr">
        <is>
          <t>Aglaea Lumen SE Budget Smartphone</t>
        </is>
      </c>
      <c r="F795" s="45" t="n">
        <v>373.99</v>
      </c>
      <c r="G795" s="43" t="inlineStr">
        <is>
          <t>the Lumen SE; Aglaea Lumen SE; Agglaea Lumen SE; Lumen SE smartphone</t>
        </is>
      </c>
      <c r="H795" s="43" t="inlineStr">
        <is>
          <t>2 year limited</t>
        </is>
      </c>
      <c r="I795" s="43" t="inlineStr">
        <is>
          <t>FCC, CE, IP54</t>
        </is>
      </c>
      <c r="J795" s="43" t="inlineStr">
        <is>
          <t>MediaTek Dimensity 7300</t>
        </is>
      </c>
      <c r="K795" s="43" t="inlineStr">
        <is>
          <t>Arm Mali-G615 MC2</t>
        </is>
      </c>
      <c r="L795" s="43" t="inlineStr">
        <is>
          <t>AMOLED, 120Hz</t>
        </is>
      </c>
      <c r="M795" s="43" t="inlineStr">
        <is>
          <t>1080x2400</t>
        </is>
      </c>
      <c r="N795" s="43" t="inlineStr">
        <is>
          <t>USB-C (USB 2.0), nano-SIM + eSIM, 3.5mm headphone jack, microSD slot</t>
        </is>
      </c>
      <c r="O795" s="43" t="inlineStr">
        <is>
          <t>Android 15</t>
        </is>
      </c>
      <c r="P795" s="43" t="n">
        <v>25</v>
      </c>
      <c r="Q795" s="46" t="n">
        <v>195</v>
      </c>
      <c r="R795" s="43" t="inlineStr">
        <is>
          <t>Lighter than Pallas Lumen Plus Budget Smartphone [PAL-057-02] (195 g vs 201 g); Lower price than Athena Axis Plus Budget Smartphone [ATH-064-03] ($373.99 vs $398.99)</t>
        </is>
      </c>
      <c r="S795" s="43" t="inlineStr">
        <is>
          <t>budget, first phone, everyday</t>
        </is>
      </c>
      <c r="T795" s="0" t="inlineStr">
        <is>
          <t>in_stock</t>
        </is>
      </c>
      <c r="U795" s="0" t="n">
        <v>30</v>
      </c>
      <c r="V795" s="52" t="n">
        <v>397.99</v>
      </c>
      <c r="W795" s="0" t="inlineStr">
        <is>
          <t>2026-08-16</t>
        </is>
      </c>
      <c r="X795" s="0" t="inlineStr">
        <is>
          <t>N/A</t>
        </is>
      </c>
      <c r="Y795" s="0" t="inlineStr">
        <is>
          <t>N/A</t>
        </is>
      </c>
      <c r="Z795" s="0" t="inlineStr">
        <is>
          <t>N/A</t>
        </is>
      </c>
      <c r="AA795" s="0" t="inlineStr">
        <is>
          <t>N/A</t>
        </is>
      </c>
    </row>
    <row r="796" ht="15.75" customHeight="1" s="51">
      <c r="A796" s="43" t="inlineStr">
        <is>
          <t>AGL-079-04</t>
        </is>
      </c>
      <c r="B796" s="43" t="inlineStr">
        <is>
          <t>Aglaea</t>
        </is>
      </c>
      <c r="C796" s="43" t="inlineStr">
        <is>
          <t>Smartphones &amp; Tablets</t>
        </is>
      </c>
      <c r="D796" s="43" t="inlineStr">
        <is>
          <t>Tablet</t>
        </is>
      </c>
      <c r="E796" s="44" t="inlineStr">
        <is>
          <t>Aglaea Echo Plus E-Ink Note Tablet</t>
        </is>
      </c>
      <c r="F796" s="45" t="n">
        <v>526.99</v>
      </c>
      <c r="G796" s="43" t="inlineStr">
        <is>
          <t>the Echo Plus; Aglaea Echo Plus; Aglae Echo Plus; Echo Plus tablet</t>
        </is>
      </c>
      <c r="H796" s="43" t="inlineStr">
        <is>
          <t>1 year limited</t>
        </is>
      </c>
      <c r="I796" s="43" t="inlineStr">
        <is>
          <t>FCC, CE, TUV Rheinland Low Blue Light, Energy Star</t>
        </is>
      </c>
      <c r="J796" s="43" t="inlineStr">
        <is>
          <t>Rockchip RK3566</t>
        </is>
      </c>
      <c r="K796" s="43" t="inlineStr">
        <is>
          <t>Arm Mali-G52 2EE</t>
        </is>
      </c>
      <c r="L796" s="43" t="inlineStr">
        <is>
          <t>E Ink Carta 1300, front-lit</t>
        </is>
      </c>
      <c r="M796" s="43" t="inlineStr">
        <is>
          <t>1404x1872</t>
        </is>
      </c>
      <c r="N796" s="43" t="inlineStr">
        <is>
          <t>USB-C (USB 2.0), microSD slot</t>
        </is>
      </c>
      <c r="O796" s="43" t="inlineStr">
        <is>
          <t>Android 13 (E Ink optimized)</t>
        </is>
      </c>
      <c r="P796" s="43" t="n">
        <v>247</v>
      </c>
      <c r="Q796" s="46" t="n">
        <v>437</v>
      </c>
      <c r="R796" s="43" t="inlineStr">
        <is>
          <t>Longer battery than Aletheia Aria Lite E-Ink Note Tablet [ALE-089-06] (247 vs 238 hrs); Lower price than Nemesis Axis Lite E-Ink Note Tablet [NEM-051-03] ($526.99 vs $612.99)</t>
        </is>
      </c>
      <c r="S796" s="43" t="inlineStr">
        <is>
          <t>reading, note-taking, school</t>
        </is>
      </c>
      <c r="T796" s="0" t="inlineStr">
        <is>
          <t>in_stock</t>
        </is>
      </c>
      <c r="U796" s="0" t="n">
        <v>30</v>
      </c>
      <c r="V796" s="52" t="n">
        <v>564.99</v>
      </c>
      <c r="W796" s="0" t="inlineStr">
        <is>
          <t>2026-08-28</t>
        </is>
      </c>
      <c r="X796" s="0" t="inlineStr">
        <is>
          <t>N/A</t>
        </is>
      </c>
      <c r="Y796" s="0" t="inlineStr">
        <is>
          <t>N/A</t>
        </is>
      </c>
      <c r="Z796" s="0" t="inlineStr">
        <is>
          <t>N/A</t>
        </is>
      </c>
      <c r="AA796" s="0" t="inlineStr">
        <is>
          <t>N/A</t>
        </is>
      </c>
    </row>
    <row r="797" ht="15.75" customHeight="1" s="51">
      <c r="A797" s="43" t="inlineStr">
        <is>
          <t>AGL-079-05</t>
        </is>
      </c>
      <c r="B797" s="43" t="inlineStr">
        <is>
          <t>Aglaea</t>
        </is>
      </c>
      <c r="C797" s="43" t="inlineStr">
        <is>
          <t>Smartphones &amp; Tablets</t>
        </is>
      </c>
      <c r="D797" s="43" t="inlineStr">
        <is>
          <t>Tablet</t>
        </is>
      </c>
      <c r="E797" s="44" t="inlineStr">
        <is>
          <t>Aglaea Quanta Air 8" Mini Tablet</t>
        </is>
      </c>
      <c r="F797" s="45" t="n">
        <v>557.99</v>
      </c>
      <c r="G797" s="43" t="inlineStr">
        <is>
          <t>the Quanta Air; Aglaea Quanta Air; Aglaaea Quanta Air; Quanta Air tablet</t>
        </is>
      </c>
      <c r="H797" s="43" t="inlineStr">
        <is>
          <t>2 year limited</t>
        </is>
      </c>
      <c r="I797" s="43" t="inlineStr">
        <is>
          <t>FCC, CE, TUV Rheinland Low Blue Light, Energy Star</t>
        </is>
      </c>
      <c r="J797" s="43" t="inlineStr">
        <is>
          <t>Qualcomm Snapdragon 7+ Gen 3</t>
        </is>
      </c>
      <c r="K797" s="43" t="inlineStr">
        <is>
          <t>Qualcomm Adreno 732</t>
        </is>
      </c>
      <c r="L797" s="43" t="inlineStr">
        <is>
          <t>OLED, 120Hz</t>
        </is>
      </c>
      <c r="M797" s="43" t="inlineStr">
        <is>
          <t>1600x2560</t>
        </is>
      </c>
      <c r="N797" s="43" t="inlineStr">
        <is>
          <t>USB-C (USB 2.0), microSD slot</t>
        </is>
      </c>
      <c r="O797" s="43" t="inlineStr">
        <is>
          <t>Android 15</t>
        </is>
      </c>
      <c r="P797" s="43" t="n">
        <v>10</v>
      </c>
      <c r="Q797" s="46" t="n">
        <v>292</v>
      </c>
      <c r="R797" s="43" t="inlineStr">
        <is>
          <t>Lighter than Aether Drift SE 8" Mini Tablet [AET-080-03] (292 g vs 310 g); Longer battery than Plutus Titan Ultra 8" Mini Tablet [PLU-100-03] (10 vs 9 hrs)</t>
        </is>
      </c>
      <c r="S797" s="43" t="inlineStr">
        <is>
          <t>reading, travel, gaming</t>
        </is>
      </c>
      <c r="T797" s="0" t="inlineStr">
        <is>
          <t>in_stock</t>
        </is>
      </c>
      <c r="U797" s="0" t="n">
        <v>30</v>
      </c>
      <c r="V797" s="52" t="n">
        <v>588.99</v>
      </c>
      <c r="W797" s="0" t="inlineStr">
        <is>
          <t>2026-09-02</t>
        </is>
      </c>
      <c r="X797" s="0" t="inlineStr">
        <is>
          <t>N/A</t>
        </is>
      </c>
      <c r="Y797" s="0" t="inlineStr">
        <is>
          <t>N/A</t>
        </is>
      </c>
      <c r="Z797" s="0" t="inlineStr">
        <is>
          <t>N/A</t>
        </is>
      </c>
      <c r="AA797" s="0" t="inlineStr">
        <is>
          <t>N/A</t>
        </is>
      </c>
    </row>
    <row r="798" ht="15.75" customHeight="1" s="51">
      <c r="A798" s="43" t="inlineStr">
        <is>
          <t>AGL-079-06</t>
        </is>
      </c>
      <c r="B798" s="43" t="inlineStr">
        <is>
          <t>Aglaea</t>
        </is>
      </c>
      <c r="C798" s="43" t="inlineStr">
        <is>
          <t>Smartphones &amp; Tablets</t>
        </is>
      </c>
      <c r="D798" s="43" t="inlineStr">
        <is>
          <t>Tablet</t>
        </is>
      </c>
      <c r="E798" s="44" t="inlineStr">
        <is>
          <t>Aglaea Apex Lite 5G Tablet</t>
        </is>
      </c>
      <c r="F798" s="45" t="n">
        <v>756.99</v>
      </c>
      <c r="G798" s="43" t="inlineStr">
        <is>
          <t>the Apex Lite; Aglaea Apex Lite; Agglaea Apex Lite; Apex Lite tablet</t>
        </is>
      </c>
      <c r="H798" s="43" t="inlineStr">
        <is>
          <t>1 year limited</t>
        </is>
      </c>
      <c r="I798" s="43" t="inlineStr">
        <is>
          <t>FCC, CE</t>
        </is>
      </c>
      <c r="J798" s="43" t="inlineStr">
        <is>
          <t>MediaTek Dimensity 8300</t>
        </is>
      </c>
      <c r="K798" s="43" t="inlineStr">
        <is>
          <t>Arm Mali-G615 MC6</t>
        </is>
      </c>
      <c r="L798" s="43" t="inlineStr">
        <is>
          <t>IPS LCD, 90Hz</t>
        </is>
      </c>
      <c r="M798" s="43" t="inlineStr">
        <is>
          <t>1600x2560</t>
        </is>
      </c>
      <c r="N798" s="43" t="inlineStr">
        <is>
          <t>USB-C (USB 3.2), microSD slot, nano-SIM + eSIM</t>
        </is>
      </c>
      <c r="O798" s="43" t="inlineStr">
        <is>
          <t>Android 15</t>
        </is>
      </c>
      <c r="P798" s="43" t="n">
        <v>10</v>
      </c>
      <c r="Q798" s="46" t="n">
        <v>506</v>
      </c>
      <c r="R798" s="43" t="inlineStr">
        <is>
          <t>Lower price than Proteus Rift Pro 5G Tablet [PRO-070-05] ($756.99 vs $904.99); Lighter than Hecate Rift 5G Tablet [HEC-052-07] (506 g vs 513 g)</t>
        </is>
      </c>
      <c r="S798" s="43" t="inlineStr">
        <is>
          <t>travel, streaming, work on the go</t>
        </is>
      </c>
      <c r="T798" s="0" t="inlineStr">
        <is>
          <t>in_stock</t>
        </is>
      </c>
      <c r="U798" s="0" t="n">
        <v>30</v>
      </c>
      <c r="V798" s="52" t="n">
        <v>866.99</v>
      </c>
      <c r="W798" s="0" t="inlineStr">
        <is>
          <t>2026-08-03</t>
        </is>
      </c>
      <c r="X798" s="0" t="inlineStr">
        <is>
          <t>N/A</t>
        </is>
      </c>
      <c r="Y798" s="0" t="inlineStr">
        <is>
          <t>N/A</t>
        </is>
      </c>
      <c r="Z798" s="0" t="inlineStr">
        <is>
          <t>N/A</t>
        </is>
      </c>
      <c r="AA798" s="0" t="inlineStr">
        <is>
          <t>N/A</t>
        </is>
      </c>
    </row>
    <row r="799" ht="15.75" customHeight="1" s="51">
      <c r="A799" s="43" t="inlineStr">
        <is>
          <t>AGL-079-07</t>
        </is>
      </c>
      <c r="B799" s="43" t="inlineStr">
        <is>
          <t>Aglaea</t>
        </is>
      </c>
      <c r="C799" s="43" t="inlineStr">
        <is>
          <t>Smartphones &amp; Tablets</t>
        </is>
      </c>
      <c r="D799" s="43" t="inlineStr">
        <is>
          <t>Smartphone</t>
        </is>
      </c>
      <c r="E799" s="44" t="inlineStr">
        <is>
          <t>Aglaea Spark Lite Compact Smartphone</t>
        </is>
      </c>
      <c r="F799" s="45" t="n">
        <v>842.99</v>
      </c>
      <c r="G799" s="43" t="inlineStr">
        <is>
          <t>the Spark Lite; Aglaea Spark Lite; Agllaea Spark Lite; Spark Lite smartphone</t>
        </is>
      </c>
      <c r="H799" s="43" t="inlineStr">
        <is>
          <t>2 year limited</t>
        </is>
      </c>
      <c r="I799" s="43" t="inlineStr">
        <is>
          <t>FCC, CE, IP68</t>
        </is>
      </c>
      <c r="J799" s="43" t="inlineStr">
        <is>
          <t>Qualcomm Snapdragon 8 Gen 3</t>
        </is>
      </c>
      <c r="K799" s="43" t="inlineStr">
        <is>
          <t>Qualcomm Adreno 750</t>
        </is>
      </c>
      <c r="L799" s="43" t="inlineStr">
        <is>
          <t>AMOLED, 120Hz</t>
        </is>
      </c>
      <c r="M799" s="43" t="inlineStr">
        <is>
          <t>1080x2340</t>
        </is>
      </c>
      <c r="N799" s="43" t="inlineStr">
        <is>
          <t>USB-C (USB 3.2), nano-SIM + eSIM</t>
        </is>
      </c>
      <c r="O799" s="43" t="inlineStr">
        <is>
          <t>Android 15</t>
        </is>
      </c>
      <c r="P799" s="43" t="n">
        <v>22</v>
      </c>
      <c r="Q799" s="46" t="n">
        <v>158</v>
      </c>
      <c r="R799" s="43" t="inlineStr">
        <is>
          <t>Lighter than Anteros Vertex Plus Compact Smartphone [ANT-090-03] (158 g vs 162 g); Lower price than Erato Titan Plus Compact Smartphone [ERA-085-06] ($842.99 vs $894.99)</t>
        </is>
      </c>
      <c r="S799" s="43" t="inlineStr">
        <is>
          <t>everyday, one-handed use</t>
        </is>
      </c>
      <c r="T799" s="0" t="inlineStr">
        <is>
          <t>out_of_stock</t>
        </is>
      </c>
      <c r="U799" s="0" t="n">
        <v>30</v>
      </c>
      <c r="V799" s="52" t="n">
        <v>903.99</v>
      </c>
      <c r="W799" s="0" t="inlineStr">
        <is>
          <t>2026-08-10</t>
        </is>
      </c>
      <c r="X799" s="0" t="inlineStr">
        <is>
          <t>N/A</t>
        </is>
      </c>
      <c r="Y799" s="0" t="inlineStr">
        <is>
          <t>N/A</t>
        </is>
      </c>
      <c r="Z799" s="0" t="inlineStr">
        <is>
          <t>N/A</t>
        </is>
      </c>
      <c r="AA799" s="0" t="inlineStr">
        <is>
          <t>N/A</t>
        </is>
      </c>
    </row>
    <row r="800" ht="15.75" customHeight="1" s="51">
      <c r="A800" s="43" t="inlineStr">
        <is>
          <t>AGL-079-08</t>
        </is>
      </c>
      <c r="B800" s="43" t="inlineStr">
        <is>
          <t>Aglaea</t>
        </is>
      </c>
      <c r="C800" s="43" t="inlineStr">
        <is>
          <t>Smartphones &amp; Tablets</t>
        </is>
      </c>
      <c r="D800" s="43" t="inlineStr">
        <is>
          <t>Tablet</t>
        </is>
      </c>
      <c r="E800" s="44" t="inlineStr">
        <is>
          <t>Aglaea Orbit SE Drawing Tablet with Stylus</t>
        </is>
      </c>
      <c r="F800" s="45" t="n">
        <v>945.99</v>
      </c>
      <c r="G800" s="43" t="inlineStr">
        <is>
          <t>the Orbit SE; Aglaea Orbit SE; Aglae Orbit SE; Orbit SE tablet</t>
        </is>
      </c>
      <c r="H800" s="43" t="inlineStr">
        <is>
          <t>1 year limited</t>
        </is>
      </c>
      <c r="I800" s="43" t="inlineStr">
        <is>
          <t>FCC, CE, TUV Rheinland Low Blue Light, Energy Star</t>
        </is>
      </c>
      <c r="J800" s="43" t="inlineStr">
        <is>
          <t>Qualcomm Snapdragon 8 Gen 3</t>
        </is>
      </c>
      <c r="K800" s="43" t="inlineStr">
        <is>
          <t>Qualcomm Adreno 750</t>
        </is>
      </c>
      <c r="L800" s="43" t="inlineStr">
        <is>
          <t>OLED, 120Hz, pen digitizer</t>
        </is>
      </c>
      <c r="M800" s="43" t="inlineStr">
        <is>
          <t>2560x1600</t>
        </is>
      </c>
      <c r="N800" s="43" t="inlineStr">
        <is>
          <t>USB-C (USB 3.2), magnetic keyboard connector</t>
        </is>
      </c>
      <c r="O800" s="43" t="inlineStr">
        <is>
          <t>Android 15</t>
        </is>
      </c>
      <c r="P800" s="43" t="n">
        <v>12</v>
      </c>
      <c r="Q800" s="46" t="n">
        <v>607</v>
      </c>
      <c r="R800" s="43" t="inlineStr">
        <is>
          <t>Longer battery than Amphitrite Vibe Air Drawing Tablet with Stylus [AMP-065-06] (12 vs 11 hrs); Lower price than Plutus Pulse SE Drawing Tablet with Stylus [PLU-100-09] ($945.99 vs $1,211.99)</t>
        </is>
      </c>
      <c r="S800" s="43" t="inlineStr">
        <is>
          <t>drawing, design, note-taking</t>
        </is>
      </c>
      <c r="T800" s="0" t="inlineStr">
        <is>
          <t>in_stock</t>
        </is>
      </c>
      <c r="U800" s="0" t="n">
        <v>30</v>
      </c>
      <c r="V800" s="52" t="n">
        <v>996.99</v>
      </c>
      <c r="W800" s="0" t="inlineStr">
        <is>
          <t>2026-08-13</t>
        </is>
      </c>
      <c r="X800" s="0" t="inlineStr">
        <is>
          <t>N/A</t>
        </is>
      </c>
      <c r="Y800" s="0" t="inlineStr">
        <is>
          <t>N/A</t>
        </is>
      </c>
      <c r="Z800" s="0" t="inlineStr">
        <is>
          <t>N/A</t>
        </is>
      </c>
      <c r="AA800" s="0" t="inlineStr">
        <is>
          <t>N/A</t>
        </is>
      </c>
    </row>
    <row r="801" ht="15.75" customHeight="1" s="51">
      <c r="A801" s="43" t="inlineStr">
        <is>
          <t>AGL-079-09</t>
        </is>
      </c>
      <c r="B801" s="43" t="inlineStr">
        <is>
          <t>Aglaea</t>
        </is>
      </c>
      <c r="C801" s="43" t="inlineStr">
        <is>
          <t>Smartphones &amp; Tablets</t>
        </is>
      </c>
      <c r="D801" s="43" t="inlineStr">
        <is>
          <t>Smartphone</t>
        </is>
      </c>
      <c r="E801" s="44" t="inlineStr">
        <is>
          <t>Aglaea Vertex SE Flagship Smartphone</t>
        </is>
      </c>
      <c r="F801" s="45" t="n">
        <v>1164.99</v>
      </c>
      <c r="G801" s="43" t="inlineStr">
        <is>
          <t>the Vertex SE; Aglaea Vertex SE; Aglaeaa Vertex SE; Vertex SE smartphone</t>
        </is>
      </c>
      <c r="H801" s="43" t="inlineStr">
        <is>
          <t>2 year limited</t>
        </is>
      </c>
      <c r="I801" s="43" t="inlineStr">
        <is>
          <t>FCC, CE, IP68, Qi2</t>
        </is>
      </c>
      <c r="J801" s="43" t="inlineStr">
        <is>
          <t>MediaTek Dimensity 9400</t>
        </is>
      </c>
      <c r="K801" s="43" t="inlineStr">
        <is>
          <t>Arm Immortalis-G925</t>
        </is>
      </c>
      <c r="L801" s="43" t="inlineStr">
        <is>
          <t>LTPO AMOLED, 1-120Hz</t>
        </is>
      </c>
      <c r="M801" s="43" t="inlineStr">
        <is>
          <t>1440x3120</t>
        </is>
      </c>
      <c r="N801" s="43" t="inlineStr">
        <is>
          <t>USB-C (USB 3.2), nano-SIM + eSIM</t>
        </is>
      </c>
      <c r="O801" s="43" t="inlineStr">
        <is>
          <t>Android 15</t>
        </is>
      </c>
      <c r="P801" s="43" t="n">
        <v>22</v>
      </c>
      <c r="Q801" s="46" t="n">
        <v>194</v>
      </c>
      <c r="R801" s="43" t="inlineStr">
        <is>
          <t>Lighter than Aether Pulse Ultra Flagship Smartphone [AET-080-06] (194 g vs 195 g); Lower price than Eurus Axis Pro Flagship Smartphone [EUR-088-08] ($1,164.99 vs $1,169.99)</t>
        </is>
      </c>
      <c r="S801" s="43" t="inlineStr">
        <is>
          <t>photography, everyday, business</t>
        </is>
      </c>
      <c r="T801" s="0" t="inlineStr">
        <is>
          <t>in_stock</t>
        </is>
      </c>
      <c r="U801" s="0" t="n">
        <v>30</v>
      </c>
      <c r="V801" s="52" t="n">
        <v>1315.99</v>
      </c>
      <c r="W801" s="0" t="inlineStr">
        <is>
          <t>2026-08-30</t>
        </is>
      </c>
      <c r="X801" s="0" t="inlineStr">
        <is>
          <t>N/A</t>
        </is>
      </c>
      <c r="Y801" s="0" t="inlineStr">
        <is>
          <t>N/A</t>
        </is>
      </c>
      <c r="Z801" s="0" t="inlineStr">
        <is>
          <t>N/A</t>
        </is>
      </c>
      <c r="AA801" s="0" t="inlineStr">
        <is>
          <t>N/A</t>
        </is>
      </c>
    </row>
    <row r="802" ht="15.75" customHeight="1" s="51">
      <c r="A802" s="43" t="inlineStr">
        <is>
          <t>AGL-079-10</t>
        </is>
      </c>
      <c r="B802" s="43" t="inlineStr">
        <is>
          <t>Aglaea</t>
        </is>
      </c>
      <c r="C802" s="43" t="inlineStr">
        <is>
          <t>Smartphones &amp; Tablets</t>
        </is>
      </c>
      <c r="D802" s="43" t="inlineStr">
        <is>
          <t>Tablet</t>
        </is>
      </c>
      <c r="E802" s="44" t="inlineStr">
        <is>
          <t>Aglaea Strata SE 13" Pro Tablet</t>
        </is>
      </c>
      <c r="F802" s="45" t="n">
        <v>1836.99</v>
      </c>
      <c r="G802" s="43" t="inlineStr">
        <is>
          <t>the Strata SE; Aglaea Strata SE; Aglea Strata SE; Strata SE tablet</t>
        </is>
      </c>
      <c r="H802" s="43" t="inlineStr">
        <is>
          <t>2 year limited</t>
        </is>
      </c>
      <c r="I802" s="43" t="inlineStr">
        <is>
          <t>FCC, CE, Energy Star</t>
        </is>
      </c>
      <c r="J802" s="43" t="inlineStr">
        <is>
          <t>Qualcomm Snapdragon 8 Elite</t>
        </is>
      </c>
      <c r="K802" s="43" t="inlineStr">
        <is>
          <t>Qualcomm Adreno 830</t>
        </is>
      </c>
      <c r="L802" s="43" t="inlineStr">
        <is>
          <t>Mini-LED, 144Hz</t>
        </is>
      </c>
      <c r="M802" s="43" t="inlineStr">
        <is>
          <t>2960x1848</t>
        </is>
      </c>
      <c r="N802" s="43" t="inlineStr">
        <is>
          <t>USB-C (USB 3.2), magnetic keyboard connector</t>
        </is>
      </c>
      <c r="O802" s="43" t="inlineStr">
        <is>
          <t>Android 15</t>
        </is>
      </c>
      <c r="P802" s="43" t="n">
        <v>11</v>
      </c>
      <c r="Q802" s="46" t="n">
        <v>587</v>
      </c>
      <c r="R802" s="43" t="inlineStr">
        <is>
          <t>Lighter than Pan Aria Plus 13" Pro Tablet [PAN-097-10] (587 g vs 603 g); Longer battery than Iapetus Pulse SE 13" Pro Tablet [IAP-096-08] (11 vs 9 hrs)</t>
        </is>
      </c>
      <c r="S802" s="43" t="inlineStr">
        <is>
          <t>creative work, productivity, drawing</t>
        </is>
      </c>
      <c r="T802" s="0" t="inlineStr">
        <is>
          <t>in_stock</t>
        </is>
      </c>
      <c r="U802" s="0" t="n">
        <v>30</v>
      </c>
      <c r="V802" s="52" t="n">
        <v>2003.99</v>
      </c>
      <c r="W802" s="0" t="inlineStr">
        <is>
          <t>2026-08-08</t>
        </is>
      </c>
      <c r="X802" s="0" t="inlineStr">
        <is>
          <t>N/A</t>
        </is>
      </c>
      <c r="Y802" s="0" t="inlineStr">
        <is>
          <t>N/A</t>
        </is>
      </c>
      <c r="Z802" s="0" t="inlineStr">
        <is>
          <t>N/A</t>
        </is>
      </c>
      <c r="AA802" s="0" t="inlineStr">
        <is>
          <t>N/A</t>
        </is>
      </c>
    </row>
    <row r="803" ht="15.75" customHeight="1" s="51">
      <c r="A803" s="43" t="inlineStr">
        <is>
          <t>AET-080-01</t>
        </is>
      </c>
      <c r="B803" s="43" t="inlineStr">
        <is>
          <t>Aether</t>
        </is>
      </c>
      <c r="C803" s="43" t="inlineStr">
        <is>
          <t>Smartphones &amp; Tablets</t>
        </is>
      </c>
      <c r="D803" s="43" t="inlineStr">
        <is>
          <t>Tablet</t>
        </is>
      </c>
      <c r="E803" s="44" t="inlineStr">
        <is>
          <t>Aether Zen SE Kids Tablet</t>
        </is>
      </c>
      <c r="F803" s="45" t="n">
        <v>174.99</v>
      </c>
      <c r="G803" s="43" t="inlineStr">
        <is>
          <t>the Zen SE; Aether Zen SE; Aethe Zen SE; Zen SE tablet</t>
        </is>
      </c>
      <c r="H803" s="43" t="inlineStr">
        <is>
          <t>2 year limited</t>
        </is>
      </c>
      <c r="I803" s="43" t="inlineStr">
        <is>
          <t>FCC, CE, TUV Rheinland Low Blue Light, EN 71 Toy Safety, Energy Star</t>
        </is>
      </c>
      <c r="J803" s="43" t="inlineStr">
        <is>
          <t>MediaTek Helio G88</t>
        </is>
      </c>
      <c r="K803" s="43" t="inlineStr">
        <is>
          <t>Arm Mali-G52 MC2</t>
        </is>
      </c>
      <c r="L803" s="43" t="inlineStr">
        <is>
          <t>IPS LCD, 60Hz</t>
        </is>
      </c>
      <c r="M803" s="43" t="inlineStr">
        <is>
          <t>800x1280</t>
        </is>
      </c>
      <c r="N803" s="43" t="inlineStr">
        <is>
          <t>USB-C (USB 2.0), microSD slot</t>
        </is>
      </c>
      <c r="O803" s="43" t="inlineStr">
        <is>
          <t>Android 14 with parental controls</t>
        </is>
      </c>
      <c r="P803" s="43" t="n">
        <v>12</v>
      </c>
      <c r="Q803" s="46" t="n">
        <v>450</v>
      </c>
      <c r="R803" s="43" t="inlineStr">
        <is>
          <t>Longer battery than Adrastea Wave Max Kids Tablet [ADR-094-01] (12 vs 10 hrs); Lower price than Leucothea Prism X Kids Tablet [LEU-095-01] ($174.99 vs $178.99)</t>
        </is>
      </c>
      <c r="S803" s="43" t="inlineStr">
        <is>
          <t>kids, learning, games</t>
        </is>
      </c>
      <c r="T803" s="0" t="inlineStr">
        <is>
          <t>in_stock</t>
        </is>
      </c>
      <c r="U803" s="0" t="n">
        <v>30</v>
      </c>
      <c r="V803" s="52" t="n">
        <v>200.99</v>
      </c>
      <c r="W803" s="0" t="inlineStr">
        <is>
          <t>2026-09-20</t>
        </is>
      </c>
      <c r="X803" s="0" t="inlineStr">
        <is>
          <t>N/A</t>
        </is>
      </c>
      <c r="Y803" s="0" t="inlineStr">
        <is>
          <t>N/A</t>
        </is>
      </c>
      <c r="Z803" s="0" t="inlineStr">
        <is>
          <t>N/A</t>
        </is>
      </c>
      <c r="AA803" s="0" t="inlineStr">
        <is>
          <t>N/A</t>
        </is>
      </c>
    </row>
    <row r="804" ht="15.75" customHeight="1" s="51">
      <c r="A804" s="43" t="inlineStr">
        <is>
          <t>AET-080-02</t>
        </is>
      </c>
      <c r="B804" s="43" t="inlineStr">
        <is>
          <t>Aether</t>
        </is>
      </c>
      <c r="C804" s="43" t="inlineStr">
        <is>
          <t>Smartphones &amp; Tablets</t>
        </is>
      </c>
      <c r="D804" s="43" t="inlineStr">
        <is>
          <t>Smartphone</t>
        </is>
      </c>
      <c r="E804" s="44" t="inlineStr">
        <is>
          <t>Aether Titan X Budget Smartphone</t>
        </is>
      </c>
      <c r="F804" s="45" t="n">
        <v>393.99</v>
      </c>
      <c r="G804" s="43" t="inlineStr">
        <is>
          <t>the Titan X; Aether Titan X; Aetehr Titan X; Titan X smartphone</t>
        </is>
      </c>
      <c r="H804" s="43" t="inlineStr">
        <is>
          <t>2 year limited</t>
        </is>
      </c>
      <c r="I804" s="43" t="inlineStr">
        <is>
          <t>FCC, CE, IP54</t>
        </is>
      </c>
      <c r="J804" s="43" t="inlineStr">
        <is>
          <t>MediaTek Dimensity 7300</t>
        </is>
      </c>
      <c r="K804" s="43" t="inlineStr">
        <is>
          <t>Arm Mali-G615 MC2</t>
        </is>
      </c>
      <c r="L804" s="43" t="inlineStr">
        <is>
          <t>AMOLED, 120Hz</t>
        </is>
      </c>
      <c r="M804" s="43" t="inlineStr">
        <is>
          <t>1080x2400</t>
        </is>
      </c>
      <c r="N804" s="43" t="inlineStr">
        <is>
          <t>USB-C (USB 2.0), nano-SIM + eSIM, 3.5mm headphone jack, microSD slot</t>
        </is>
      </c>
      <c r="O804" s="43" t="inlineStr">
        <is>
          <t>Android 15</t>
        </is>
      </c>
      <c r="P804" s="43" t="n">
        <v>29</v>
      </c>
      <c r="Q804" s="46" t="n">
        <v>202</v>
      </c>
      <c r="R804" s="43" t="inlineStr">
        <is>
          <t>Longer battery than Epimetheus Nimbus X Budget Smartphone [EPI-091-01] (29 vs 27 hrs); Lighter than Adrastea Rift Budget Smartphone [ADR-094-02] (202 g vs 208 g)</t>
        </is>
      </c>
      <c r="S804" s="43" t="inlineStr">
        <is>
          <t>budget, first phone, everyday</t>
        </is>
      </c>
      <c r="T804" s="0" t="inlineStr">
        <is>
          <t>in_stock</t>
        </is>
      </c>
      <c r="U804" s="0" t="n">
        <v>30</v>
      </c>
      <c r="V804" s="52" t="n">
        <v>409.99</v>
      </c>
      <c r="W804" s="0" t="inlineStr">
        <is>
          <t>2026-08-28</t>
        </is>
      </c>
      <c r="X804" s="0" t="inlineStr">
        <is>
          <t>N/A</t>
        </is>
      </c>
      <c r="Y804" s="0" t="inlineStr">
        <is>
          <t>N/A</t>
        </is>
      </c>
      <c r="Z804" s="0" t="inlineStr">
        <is>
          <t>N/A</t>
        </is>
      </c>
      <c r="AA804" s="0" t="inlineStr">
        <is>
          <t>N/A</t>
        </is>
      </c>
    </row>
    <row r="805" ht="15.75" customHeight="1" s="51">
      <c r="A805" s="43" t="inlineStr">
        <is>
          <t>AET-080-03</t>
        </is>
      </c>
      <c r="B805" s="43" t="inlineStr">
        <is>
          <t>Aether</t>
        </is>
      </c>
      <c r="C805" s="43" t="inlineStr">
        <is>
          <t>Smartphones &amp; Tablets</t>
        </is>
      </c>
      <c r="D805" s="43" t="inlineStr">
        <is>
          <t>Tablet</t>
        </is>
      </c>
      <c r="E805" s="44" t="inlineStr">
        <is>
          <t>Aether Drift SE 8" Mini Tablet</t>
        </is>
      </c>
      <c r="F805" s="45" t="n">
        <v>486.99</v>
      </c>
      <c r="G805" s="43" t="inlineStr">
        <is>
          <t>the Drift SE; Aether Drift SE; Aethe Drift SE; Drift SE tablet</t>
        </is>
      </c>
      <c r="H805" s="43" t="inlineStr">
        <is>
          <t>2 year limited</t>
        </is>
      </c>
      <c r="I805" s="43" t="inlineStr">
        <is>
          <t>FCC, CE, TUV Rheinland Low Blue Light, Energy Star</t>
        </is>
      </c>
      <c r="J805" s="43" t="inlineStr">
        <is>
          <t>MediaTek Dimensity 7300</t>
        </is>
      </c>
      <c r="K805" s="43" t="inlineStr">
        <is>
          <t>Arm Mali-G615 MC2</t>
        </is>
      </c>
      <c r="L805" s="43" t="inlineStr">
        <is>
          <t>OLED, 120Hz</t>
        </is>
      </c>
      <c r="M805" s="43" t="inlineStr">
        <is>
          <t>1600x2560</t>
        </is>
      </c>
      <c r="N805" s="43" t="inlineStr">
        <is>
          <t>USB-C (USB 2.0), microSD slot</t>
        </is>
      </c>
      <c r="O805" s="43" t="inlineStr">
        <is>
          <t>Android 15</t>
        </is>
      </c>
      <c r="P805" s="43" t="n">
        <v>10</v>
      </c>
      <c r="Q805" s="46" t="n">
        <v>310</v>
      </c>
      <c r="R805" s="43" t="inlineStr">
        <is>
          <t>Lighter than Alpheus Volt Plus 8" Mini Tablet [ALP-082-02] (310 g vs 312 g); Longer battery than Hecate Vibe Plus 8" Mini Tablet [HEC-052-03] (10 vs 9 hrs)</t>
        </is>
      </c>
      <c r="S805" s="43" t="inlineStr">
        <is>
          <t>reading, travel, gaming</t>
        </is>
      </c>
      <c r="T805" s="0" t="inlineStr">
        <is>
          <t>low_stock</t>
        </is>
      </c>
      <c r="U805" s="0" t="n">
        <v>30</v>
      </c>
      <c r="V805" s="52" t="n">
        <v>514.99</v>
      </c>
      <c r="W805" s="0" t="inlineStr">
        <is>
          <t>2026-08-27</t>
        </is>
      </c>
      <c r="X805" s="0" t="inlineStr">
        <is>
          <t>N/A</t>
        </is>
      </c>
      <c r="Y805" s="0" t="inlineStr">
        <is>
          <t>N/A</t>
        </is>
      </c>
      <c r="Z805" s="0" t="inlineStr">
        <is>
          <t>N/A</t>
        </is>
      </c>
      <c r="AA805" s="0" t="inlineStr">
        <is>
          <t>N/A</t>
        </is>
      </c>
    </row>
    <row r="806" ht="15.75" customHeight="1" s="51">
      <c r="A806" s="43" t="inlineStr">
        <is>
          <t>AET-080-04</t>
        </is>
      </c>
      <c r="B806" s="43" t="inlineStr">
        <is>
          <t>Aether</t>
        </is>
      </c>
      <c r="C806" s="43" t="inlineStr">
        <is>
          <t>Smartphones &amp; Tablets</t>
        </is>
      </c>
      <c r="D806" s="43" t="inlineStr">
        <is>
          <t>Tablet</t>
        </is>
      </c>
      <c r="E806" s="44" t="inlineStr">
        <is>
          <t>Aether Arc Air Drawing Tablet with Stylus</t>
        </is>
      </c>
      <c r="F806" s="45" t="n">
        <v>662.99</v>
      </c>
      <c r="G806" s="43" t="inlineStr">
        <is>
          <t>the Arc Air; Aether Arc Air; Aetherr Arc Air; Arc Air tablet</t>
        </is>
      </c>
      <c r="H806" s="43" t="inlineStr">
        <is>
          <t>1 year limited</t>
        </is>
      </c>
      <c r="I806" s="43" t="inlineStr">
        <is>
          <t>FCC, CE, TUV Rheinland Low Blue Light</t>
        </is>
      </c>
      <c r="J806" s="43" t="inlineStr">
        <is>
          <t>MediaTek Dimensity 8300</t>
        </is>
      </c>
      <c r="K806" s="43" t="inlineStr">
        <is>
          <t>Arm Mali-G615 MC6</t>
        </is>
      </c>
      <c r="L806" s="43" t="inlineStr">
        <is>
          <t>IPS LCD anti-glare, pen digitizer</t>
        </is>
      </c>
      <c r="M806" s="43" t="inlineStr">
        <is>
          <t>2000x1200</t>
        </is>
      </c>
      <c r="N806" s="43" t="inlineStr">
        <is>
          <t>USB-C (USB 2.0), microSD slot</t>
        </is>
      </c>
      <c r="O806" s="43" t="inlineStr">
        <is>
          <t>Android 15</t>
        </is>
      </c>
      <c r="P806" s="43" t="n">
        <v>10</v>
      </c>
      <c r="Q806" s="46" t="n">
        <v>560</v>
      </c>
      <c r="R806" s="43" t="inlineStr">
        <is>
          <t>Lower price than Comus Axis Ultra Drawing Tablet with Stylus [COM-078-08] ($662.99 vs $1,150.99); Lighter than Pan Volt Pro Drawing Tablet with Stylus [PAN-097-07] (560 g vs 590 g)</t>
        </is>
      </c>
      <c r="S806" s="43" t="inlineStr">
        <is>
          <t>drawing, design, note-taking</t>
        </is>
      </c>
      <c r="T806" s="0" t="inlineStr">
        <is>
          <t>in_stock</t>
        </is>
      </c>
      <c r="U806" s="0" t="n">
        <v>30</v>
      </c>
      <c r="V806" s="52" t="n">
        <v>748.99</v>
      </c>
      <c r="W806" s="0" t="inlineStr">
        <is>
          <t>2026-09-18</t>
        </is>
      </c>
      <c r="X806" s="0" t="inlineStr">
        <is>
          <t>N/A</t>
        </is>
      </c>
      <c r="Y806" s="0" t="inlineStr">
        <is>
          <t>N/A</t>
        </is>
      </c>
      <c r="Z806" s="0" t="inlineStr">
        <is>
          <t>N/A</t>
        </is>
      </c>
      <c r="AA806" s="0" t="inlineStr">
        <is>
          <t>N/A</t>
        </is>
      </c>
    </row>
    <row r="807" ht="15.75" customHeight="1" s="51">
      <c r="A807" s="43" t="inlineStr">
        <is>
          <t>AET-080-05</t>
        </is>
      </c>
      <c r="B807" s="43" t="inlineStr">
        <is>
          <t>Aether</t>
        </is>
      </c>
      <c r="C807" s="43" t="inlineStr">
        <is>
          <t>Smartphones &amp; Tablets</t>
        </is>
      </c>
      <c r="D807" s="43" t="inlineStr">
        <is>
          <t>Smartphone</t>
        </is>
      </c>
      <c r="E807" s="44" t="inlineStr">
        <is>
          <t>Aether Volt SE Compact Smartphone</t>
        </is>
      </c>
      <c r="F807" s="45" t="n">
        <v>726.99</v>
      </c>
      <c r="G807" s="43" t="inlineStr">
        <is>
          <t>the Volt SE; Aether Volt SE; Aetheer Volt SE; Volt SE smartphone</t>
        </is>
      </c>
      <c r="H807" s="43" t="inlineStr">
        <is>
          <t>1 year limited</t>
        </is>
      </c>
      <c r="I807" s="43" t="inlineStr">
        <is>
          <t>FCC, CE, IP68</t>
        </is>
      </c>
      <c r="J807" s="43" t="inlineStr">
        <is>
          <t>MediaTek Dimensity 8300</t>
        </is>
      </c>
      <c r="K807" s="43" t="inlineStr">
        <is>
          <t>Arm Mali-G615 MC6</t>
        </is>
      </c>
      <c r="L807" s="43" t="inlineStr">
        <is>
          <t>AMOLED, 120Hz</t>
        </is>
      </c>
      <c r="M807" s="43" t="inlineStr">
        <is>
          <t>1080x2340</t>
        </is>
      </c>
      <c r="N807" s="43" t="inlineStr">
        <is>
          <t>USB-C (USB 3.2), nano-SIM + eSIM</t>
        </is>
      </c>
      <c r="O807" s="43" t="inlineStr">
        <is>
          <t>Android 15</t>
        </is>
      </c>
      <c r="P807" s="43" t="n">
        <v>19</v>
      </c>
      <c r="Q807" s="46" t="n">
        <v>156</v>
      </c>
      <c r="R807" s="43" t="inlineStr">
        <is>
          <t>Longer battery than Panacea Nova Air Compact Smartphone [PAN-069-05] (19 vs 18 hrs); Lighter than Styx Axis Pro Compact Smartphone [STY-058-04] (156 g vs 159 g)</t>
        </is>
      </c>
      <c r="S807" s="43" t="inlineStr">
        <is>
          <t>everyday, one-handed use</t>
        </is>
      </c>
      <c r="T807" s="0" t="inlineStr">
        <is>
          <t>out_of_stock</t>
        </is>
      </c>
      <c r="U807" s="0" t="n">
        <v>30</v>
      </c>
      <c r="V807" s="52" t="n">
        <v>822.99</v>
      </c>
      <c r="W807" s="0" t="inlineStr">
        <is>
          <t>2026-08-25</t>
        </is>
      </c>
      <c r="X807" s="0" t="inlineStr">
        <is>
          <t>N/A</t>
        </is>
      </c>
      <c r="Y807" s="0" t="inlineStr">
        <is>
          <t>N/A</t>
        </is>
      </c>
      <c r="Z807" s="0" t="inlineStr">
        <is>
          <t>N/A</t>
        </is>
      </c>
      <c r="AA807" s="0" t="inlineStr">
        <is>
          <t>N/A</t>
        </is>
      </c>
    </row>
    <row r="808" ht="15.75" customHeight="1" s="51">
      <c r="A808" s="43" t="inlineStr">
        <is>
          <t>AET-080-06</t>
        </is>
      </c>
      <c r="B808" s="43" t="inlineStr">
        <is>
          <t>Aether</t>
        </is>
      </c>
      <c r="C808" s="43" t="inlineStr">
        <is>
          <t>Smartphones &amp; Tablets</t>
        </is>
      </c>
      <c r="D808" s="43" t="inlineStr">
        <is>
          <t>Smartphone</t>
        </is>
      </c>
      <c r="E808" s="44" t="inlineStr">
        <is>
          <t>Aether Pulse Ultra Flagship Smartphone</t>
        </is>
      </c>
      <c r="F808" s="45" t="n">
        <v>974.99</v>
      </c>
      <c r="G808" s="43" t="inlineStr">
        <is>
          <t>the Pulse Ultra; Aether Pulse Ultra; Aetheer Pulse Ultra; Pulse Ultra smartphone</t>
        </is>
      </c>
      <c r="H808" s="43" t="inlineStr">
        <is>
          <t>1 year limited</t>
        </is>
      </c>
      <c r="I808" s="43" t="inlineStr">
        <is>
          <t>FCC, CE, IP68, Qi2</t>
        </is>
      </c>
      <c r="J808" s="43" t="inlineStr">
        <is>
          <t>Qualcomm Snapdragon 8 Gen 3</t>
        </is>
      </c>
      <c r="K808" s="43" t="inlineStr">
        <is>
          <t>Qualcomm Adreno 750</t>
        </is>
      </c>
      <c r="L808" s="43" t="inlineStr">
        <is>
          <t>AMOLED, 120Hz</t>
        </is>
      </c>
      <c r="M808" s="43" t="inlineStr">
        <is>
          <t>1080x2400</t>
        </is>
      </c>
      <c r="N808" s="43" t="inlineStr">
        <is>
          <t>USB-C (USB 3.2), nano-SIM + eSIM</t>
        </is>
      </c>
      <c r="O808" s="43" t="inlineStr">
        <is>
          <t>Android 15</t>
        </is>
      </c>
      <c r="P808" s="43" t="n">
        <v>32</v>
      </c>
      <c r="Q808" s="46" t="n">
        <v>195</v>
      </c>
      <c r="R808" s="43" t="inlineStr">
        <is>
          <t>Lower price than Arete Vertex Ultra Flagship Smartphone [ARE-054-07] ($974.99 vs $1,023.99); Longer battery than Plutus Axis Plus Flagship Smartphone [PLU-100-08] (32 vs 27 hrs)</t>
        </is>
      </c>
      <c r="S808" s="43" t="inlineStr">
        <is>
          <t>photography, everyday, business</t>
        </is>
      </c>
      <c r="T808" s="0" t="inlineStr">
        <is>
          <t>in_stock</t>
        </is>
      </c>
      <c r="U808" s="0" t="n">
        <v>30</v>
      </c>
      <c r="V808" s="52" t="n">
        <v>1050.99</v>
      </c>
      <c r="W808" s="0" t="inlineStr">
        <is>
          <t>2026-09-06</t>
        </is>
      </c>
      <c r="X808" s="0" t="inlineStr">
        <is>
          <t>N/A</t>
        </is>
      </c>
      <c r="Y808" s="0" t="inlineStr">
        <is>
          <t>N/A</t>
        </is>
      </c>
      <c r="Z808" s="0" t="inlineStr">
        <is>
          <t>N/A</t>
        </is>
      </c>
      <c r="AA808" s="0" t="inlineStr">
        <is>
          <t>N/A</t>
        </is>
      </c>
    </row>
    <row r="809" ht="15.75" customHeight="1" s="51">
      <c r="A809" s="43" t="inlineStr">
        <is>
          <t>AET-080-07</t>
        </is>
      </c>
      <c r="B809" s="43" t="inlineStr">
        <is>
          <t>Aether</t>
        </is>
      </c>
      <c r="C809" s="43" t="inlineStr">
        <is>
          <t>Smartphones &amp; Tablets</t>
        </is>
      </c>
      <c r="D809" s="43" t="inlineStr">
        <is>
          <t>Smartphone</t>
        </is>
      </c>
      <c r="E809" s="44" t="inlineStr">
        <is>
          <t>Aether Lumen Pro Flip Foldable Phone</t>
        </is>
      </c>
      <c r="F809" s="45" t="n">
        <v>1150.99</v>
      </c>
      <c r="G809" s="43" t="inlineStr">
        <is>
          <t>the Lumen Pro; Aether Lumen Pro; Aeter Lumen Pro; Lumen Pro smartphone</t>
        </is>
      </c>
      <c r="H809" s="43" t="inlineStr">
        <is>
          <t>2 year limited</t>
        </is>
      </c>
      <c r="I809" s="43" t="inlineStr">
        <is>
          <t>FCC, CE, IPX8</t>
        </is>
      </c>
      <c r="J809" s="43" t="inlineStr">
        <is>
          <t>MediaTek Dimensity 9400</t>
        </is>
      </c>
      <c r="K809" s="43" t="inlineStr">
        <is>
          <t>Arm Immortalis-G925</t>
        </is>
      </c>
      <c r="L809" s="43" t="inlineStr">
        <is>
          <t>Foldable AMOLED inner + AMOLED cover screen</t>
        </is>
      </c>
      <c r="M809" s="43" t="inlineStr">
        <is>
          <t>1080x2640 inner / 720x748 cover</t>
        </is>
      </c>
      <c r="N809" s="43" t="inlineStr">
        <is>
          <t>USB-C (USB 3.2), nano-SIM + eSIM</t>
        </is>
      </c>
      <c r="O809" s="43" t="inlineStr">
        <is>
          <t>Android 15</t>
        </is>
      </c>
      <c r="P809" s="43" t="n">
        <v>19</v>
      </c>
      <c r="Q809" s="46" t="n">
        <v>188</v>
      </c>
      <c r="R809" s="43" t="inlineStr">
        <is>
          <t>Lighter than Thetis Orbit Flip Foldable Phone [THE-093-09] (188 g vs 195 g); Longer battery than Hephaestus Volt Air Flip Foldable Phone [HEP-076-08] (19 vs 18 hrs)</t>
        </is>
      </c>
      <c r="S809" s="43" t="inlineStr">
        <is>
          <t>style, everyday, compact</t>
        </is>
      </c>
      <c r="T809" s="0" t="inlineStr">
        <is>
          <t>in_stock</t>
        </is>
      </c>
      <c r="U809" s="0" t="n">
        <v>30</v>
      </c>
      <c r="V809" s="52" t="n">
        <v>1320.99</v>
      </c>
      <c r="W809" s="0" t="inlineStr">
        <is>
          <t>2026-09-05</t>
        </is>
      </c>
      <c r="X809" s="0" t="inlineStr">
        <is>
          <t>N/A</t>
        </is>
      </c>
      <c r="Y809" s="0" t="inlineStr">
        <is>
          <t>N/A</t>
        </is>
      </c>
      <c r="Z809" s="0" t="inlineStr">
        <is>
          <t>N/A</t>
        </is>
      </c>
      <c r="AA809" s="0" t="inlineStr">
        <is>
          <t>N/A</t>
        </is>
      </c>
    </row>
    <row r="810" ht="15.75" customHeight="1" s="51">
      <c r="A810" s="43" t="inlineStr">
        <is>
          <t>AET-080-08</t>
        </is>
      </c>
      <c r="B810" s="43" t="inlineStr">
        <is>
          <t>Aether</t>
        </is>
      </c>
      <c r="C810" s="43" t="inlineStr">
        <is>
          <t>Smartphones &amp; Tablets</t>
        </is>
      </c>
      <c r="D810" s="43" t="inlineStr">
        <is>
          <t>Smartphone</t>
        </is>
      </c>
      <c r="E810" s="44" t="inlineStr">
        <is>
          <t>Aether Pulse Pro Max Smartphone</t>
        </is>
      </c>
      <c r="F810" s="45" t="n">
        <v>1152.99</v>
      </c>
      <c r="G810" s="43" t="inlineStr">
        <is>
          <t>the Pulse; Aether Pulse; Aeether Pulse; Pulse smartphone</t>
        </is>
      </c>
      <c r="H810" s="43" t="inlineStr">
        <is>
          <t>1 year limited</t>
        </is>
      </c>
      <c r="I810" s="43" t="inlineStr">
        <is>
          <t>FCC, CE, IP68, Qi2</t>
        </is>
      </c>
      <c r="J810" s="43" t="inlineStr">
        <is>
          <t>MediaTek Dimensity 9400</t>
        </is>
      </c>
      <c r="K810" s="43" t="inlineStr">
        <is>
          <t>Arm Immortalis-G925</t>
        </is>
      </c>
      <c r="L810" s="43" t="inlineStr">
        <is>
          <t>LTPO AMOLED, 1-120Hz</t>
        </is>
      </c>
      <c r="M810" s="43" t="inlineStr">
        <is>
          <t>1440x3120</t>
        </is>
      </c>
      <c r="N810" s="43" t="inlineStr">
        <is>
          <t>USB-C (USB 3.2), nano-SIM + eSIM</t>
        </is>
      </c>
      <c r="O810" s="43" t="inlineStr">
        <is>
          <t>Android 15</t>
        </is>
      </c>
      <c r="P810" s="43" t="n">
        <v>31</v>
      </c>
      <c r="Q810" s="46" t="n">
        <v>222</v>
      </c>
      <c r="R810" s="43" t="inlineStr">
        <is>
          <t>Longer battery than Thetis Volt Air Pro Max Smartphone [THE-093-10] (31 vs 29 hrs); Lower price than Nemesis Titan Max Pro Max Smartphone [NEM-051-09] ($1,152.99 vs $1,379.99)</t>
        </is>
      </c>
      <c r="S810" s="43" t="inlineStr">
        <is>
          <t>photography, video, mobile gaming</t>
        </is>
      </c>
      <c r="T810" s="0" t="inlineStr">
        <is>
          <t>in_stock</t>
        </is>
      </c>
      <c r="U810" s="0" t="n">
        <v>30</v>
      </c>
      <c r="V810" s="52" t="n">
        <v>1282.99</v>
      </c>
      <c r="W810" s="0" t="inlineStr">
        <is>
          <t>2026-08-31</t>
        </is>
      </c>
      <c r="X810" s="0" t="inlineStr">
        <is>
          <t>N/A</t>
        </is>
      </c>
      <c r="Y810" s="0" t="inlineStr">
        <is>
          <t>N/A</t>
        </is>
      </c>
      <c r="Z810" s="0" t="inlineStr">
        <is>
          <t>N/A</t>
        </is>
      </c>
      <c r="AA810" s="0" t="inlineStr">
        <is>
          <t>N/A</t>
        </is>
      </c>
    </row>
    <row r="811" ht="15.75" customHeight="1" s="51">
      <c r="A811" s="43" t="inlineStr">
        <is>
          <t>AET-080-09</t>
        </is>
      </c>
      <c r="B811" s="43" t="inlineStr">
        <is>
          <t>Aether</t>
        </is>
      </c>
      <c r="C811" s="43" t="inlineStr">
        <is>
          <t>Smartphones &amp; Tablets</t>
        </is>
      </c>
      <c r="D811" s="43" t="inlineStr">
        <is>
          <t>Tablet</t>
        </is>
      </c>
      <c r="E811" s="44" t="inlineStr">
        <is>
          <t>Aether Onyx X 13" Pro Tablet</t>
        </is>
      </c>
      <c r="F811" s="45" t="n">
        <v>1472.99</v>
      </c>
      <c r="G811" s="43" t="inlineStr">
        <is>
          <t>the Onyx X; Aether Onyx X; Aetehr Onyx X; Onyx X tablet</t>
        </is>
      </c>
      <c r="H811" s="43" t="inlineStr">
        <is>
          <t>1 year limited</t>
        </is>
      </c>
      <c r="I811" s="43" t="inlineStr">
        <is>
          <t>FCC, CE, Energy Star</t>
        </is>
      </c>
      <c r="J811" s="43" t="inlineStr">
        <is>
          <t>Qualcomm Snapdragon 8 Elite</t>
        </is>
      </c>
      <c r="K811" s="43" t="inlineStr">
        <is>
          <t>Qualcomm Adreno 830</t>
        </is>
      </c>
      <c r="L811" s="43" t="inlineStr">
        <is>
          <t>Mini-LED, 144Hz</t>
        </is>
      </c>
      <c r="M811" s="43" t="inlineStr">
        <is>
          <t>2960x1848</t>
        </is>
      </c>
      <c r="N811" s="43" t="inlineStr">
        <is>
          <t>USB-C (USB 3.2), magnetic keyboard connector</t>
        </is>
      </c>
      <c r="O811" s="43" t="inlineStr">
        <is>
          <t>Android 15</t>
        </is>
      </c>
      <c r="P811" s="43" t="n">
        <v>10</v>
      </c>
      <c r="Q811" s="46" t="n">
        <v>590</v>
      </c>
      <c r="R811" s="43" t="inlineStr">
        <is>
          <t>Lower price than Pan Aria Plus 13" Pro Tablet [PAN-097-10] ($1,472.99 vs $1,715.99); Lighter than Proteus Aria Plus 13" Pro Tablet [PRO-070-10] (590 g vs 597 g)</t>
        </is>
      </c>
      <c r="S811" s="43" t="inlineStr">
        <is>
          <t>creative work, productivity, drawing</t>
        </is>
      </c>
      <c r="T811" s="0" t="inlineStr">
        <is>
          <t>in_stock</t>
        </is>
      </c>
      <c r="U811" s="0" t="n">
        <v>30</v>
      </c>
      <c r="V811" s="52" t="n">
        <v>1561.99</v>
      </c>
      <c r="W811" s="0" t="inlineStr">
        <is>
          <t>2026-09-16</t>
        </is>
      </c>
      <c r="X811" s="0" t="inlineStr">
        <is>
          <t>N/A</t>
        </is>
      </c>
      <c r="Y811" s="0" t="inlineStr">
        <is>
          <t>N/A</t>
        </is>
      </c>
      <c r="Z811" s="0" t="inlineStr">
        <is>
          <t>N/A</t>
        </is>
      </c>
      <c r="AA811" s="0" t="inlineStr">
        <is>
          <t>N/A</t>
        </is>
      </c>
    </row>
    <row r="812" ht="15.75" customHeight="1" s="51">
      <c r="A812" s="43" t="inlineStr">
        <is>
          <t>AET-080-10</t>
        </is>
      </c>
      <c r="B812" s="43" t="inlineStr">
        <is>
          <t>Aether</t>
        </is>
      </c>
      <c r="C812" s="43" t="inlineStr">
        <is>
          <t>Smartphones &amp; Tablets</t>
        </is>
      </c>
      <c r="D812" s="43" t="inlineStr">
        <is>
          <t>Smartphone</t>
        </is>
      </c>
      <c r="E812" s="44" t="inlineStr">
        <is>
          <t>Aether Orbit Lite Foldable Phone</t>
        </is>
      </c>
      <c r="F812" s="45" t="n">
        <v>2005.99</v>
      </c>
      <c r="G812" s="43" t="inlineStr">
        <is>
          <t>the Orbit Lite; Aether Orbit Lite; Aetther Orbit Lite; Orbit Lite smartphone</t>
        </is>
      </c>
      <c r="H812" s="43" t="inlineStr">
        <is>
          <t>2 year limited</t>
        </is>
      </c>
      <c r="I812" s="43" t="inlineStr">
        <is>
          <t>FCC, CE, IPX8</t>
        </is>
      </c>
      <c r="J812" s="43" t="inlineStr">
        <is>
          <t>Qualcomm Snapdragon 8 Elite</t>
        </is>
      </c>
      <c r="K812" s="43" t="inlineStr">
        <is>
          <t>Qualcomm Adreno 830</t>
        </is>
      </c>
      <c r="L812" s="43" t="inlineStr">
        <is>
          <t>Foldable LTPO AMOLED inner + AMOLED cover, 120Hz</t>
        </is>
      </c>
      <c r="M812" s="43" t="inlineStr">
        <is>
          <t>2160x1856 inner / 1080x2376 cover</t>
        </is>
      </c>
      <c r="N812" s="43" t="inlineStr">
        <is>
          <t>USB-C (USB 3.2), nano-SIM + eSIM</t>
        </is>
      </c>
      <c r="O812" s="43" t="inlineStr">
        <is>
          <t>Android 15</t>
        </is>
      </c>
      <c r="P812" s="43" t="n">
        <v>19</v>
      </c>
      <c r="Q812" s="46" t="n">
        <v>259</v>
      </c>
      <c r="R812" s="43" t="inlineStr">
        <is>
          <t>Lighter than Proteus Aeon Air Foldable Phone [PRO-070-09] (259 g vs 260 g); Lower price than Tyche Prism Ultra Foldable Phone [TYC-055-10] ($2,005.99 vs $2,198.99)</t>
        </is>
      </c>
      <c r="S812" s="43" t="inlineStr">
        <is>
          <t>multitasking, business, media</t>
        </is>
      </c>
      <c r="T812" s="0" t="inlineStr">
        <is>
          <t>in_stock</t>
        </is>
      </c>
      <c r="U812" s="0" t="n">
        <v>30</v>
      </c>
      <c r="V812" s="52" t="n">
        <v>2103.99</v>
      </c>
      <c r="W812" s="0" t="inlineStr">
        <is>
          <t>2026-08-09</t>
        </is>
      </c>
      <c r="X812" s="0" t="inlineStr">
        <is>
          <t>N/A</t>
        </is>
      </c>
      <c r="Y812" s="0" t="inlineStr">
        <is>
          <t>N/A</t>
        </is>
      </c>
      <c r="Z812" s="0" t="inlineStr">
        <is>
          <t>N/A</t>
        </is>
      </c>
      <c r="AA812" s="0" t="inlineStr">
        <is>
          <t>N/A</t>
        </is>
      </c>
    </row>
    <row r="813" ht="15.75" customHeight="1" s="51">
      <c r="A813" s="43" t="inlineStr">
        <is>
          <t>THE-081-01</t>
        </is>
      </c>
      <c r="B813" s="43" t="inlineStr">
        <is>
          <t>Theia</t>
        </is>
      </c>
      <c r="C813" s="43" t="inlineStr">
        <is>
          <t>Smartphones &amp; Tablets</t>
        </is>
      </c>
      <c r="D813" s="43" t="inlineStr">
        <is>
          <t>Tablet</t>
        </is>
      </c>
      <c r="E813" s="44" t="inlineStr">
        <is>
          <t>Theia Sable Kids Tablet</t>
        </is>
      </c>
      <c r="F813" s="45" t="n">
        <v>83.98999999999999</v>
      </c>
      <c r="G813" s="43" t="inlineStr">
        <is>
          <t>the Sable; Theia Sable; Theiia Sable; Sable tablet</t>
        </is>
      </c>
      <c r="H813" s="43" t="inlineStr">
        <is>
          <t>1 year limited</t>
        </is>
      </c>
      <c r="I813" s="43" t="inlineStr">
        <is>
          <t>FCC, CE, TUV Rheinland Low Blue Light, EN 71 Toy Safety</t>
        </is>
      </c>
      <c r="J813" s="43" t="inlineStr">
        <is>
          <t>MediaTek Helio G88</t>
        </is>
      </c>
      <c r="K813" s="43" t="inlineStr">
        <is>
          <t>Arm Mali-G52 MC2</t>
        </is>
      </c>
      <c r="L813" s="43" t="inlineStr">
        <is>
          <t>IPS LCD, 60Hz</t>
        </is>
      </c>
      <c r="M813" s="43" t="inlineStr">
        <is>
          <t>800x1280</t>
        </is>
      </c>
      <c r="N813" s="43" t="inlineStr">
        <is>
          <t>USB-C (USB 2.0), microSD slot</t>
        </is>
      </c>
      <c r="O813" s="43" t="inlineStr">
        <is>
          <t>Android 14 with parental controls</t>
        </is>
      </c>
      <c r="P813" s="43" t="n">
        <v>12</v>
      </c>
      <c r="Q813" s="46" t="n">
        <v>437</v>
      </c>
      <c r="R813" s="43" t="inlineStr">
        <is>
          <t>Longer battery than Alpheus Onyx Kids Tablet [ALP-082-01] (12 vs 8 hrs); Lower price than Athena Rift X Kids Tablet [ATH-064-01] ($83.99 vs $87.99)</t>
        </is>
      </c>
      <c r="S813" s="43" t="inlineStr">
        <is>
          <t>kids, learning, games</t>
        </is>
      </c>
      <c r="T813" s="0" t="inlineStr">
        <is>
          <t>in_stock</t>
        </is>
      </c>
      <c r="U813" s="0" t="n">
        <v>30</v>
      </c>
      <c r="V813" s="52" t="n">
        <v>88.98999999999999</v>
      </c>
      <c r="W813" s="0" t="inlineStr">
        <is>
          <t>2026-09-15</t>
        </is>
      </c>
      <c r="X813" s="0" t="inlineStr">
        <is>
          <t>N/A</t>
        </is>
      </c>
      <c r="Y813" s="0" t="inlineStr">
        <is>
          <t>N/A</t>
        </is>
      </c>
      <c r="Z813" s="0" t="inlineStr">
        <is>
          <t>N/A</t>
        </is>
      </c>
      <c r="AA813" s="0" t="inlineStr">
        <is>
          <t>N/A</t>
        </is>
      </c>
    </row>
    <row r="814" ht="15.75" customHeight="1" s="51">
      <c r="A814" s="43" t="inlineStr">
        <is>
          <t>THE-081-02</t>
        </is>
      </c>
      <c r="B814" s="43" t="inlineStr">
        <is>
          <t>Theia</t>
        </is>
      </c>
      <c r="C814" s="43" t="inlineStr">
        <is>
          <t>Smartphones &amp; Tablets</t>
        </is>
      </c>
      <c r="D814" s="43" t="inlineStr">
        <is>
          <t>Smartphone</t>
        </is>
      </c>
      <c r="E814" s="44" t="inlineStr">
        <is>
          <t>Theia Titan SE Budget Smartphone</t>
        </is>
      </c>
      <c r="F814" s="45" t="n">
        <v>297.99</v>
      </c>
      <c r="G814" s="43" t="inlineStr">
        <is>
          <t>the Titan SE; Theia Titan SE; Thei Titan SE; Titan SE smartphone</t>
        </is>
      </c>
      <c r="H814" s="43" t="inlineStr">
        <is>
          <t>1 year limited</t>
        </is>
      </c>
      <c r="I814" s="43" t="inlineStr">
        <is>
          <t>FCC, CE, IP54</t>
        </is>
      </c>
      <c r="J814" s="43" t="inlineStr">
        <is>
          <t>Qualcomm Snapdragon 6 Gen 1</t>
        </is>
      </c>
      <c r="K814" s="43" t="inlineStr">
        <is>
          <t>Qualcomm Adreno 710</t>
        </is>
      </c>
      <c r="L814" s="43" t="inlineStr">
        <is>
          <t>IPS LCD, 90Hz</t>
        </is>
      </c>
      <c r="M814" s="43" t="inlineStr">
        <is>
          <t>1080x2400</t>
        </is>
      </c>
      <c r="N814" s="43" t="inlineStr">
        <is>
          <t>USB-C (USB 2.0), nano-SIM + eSIM, 3.5mm headphone jack, microSD slot</t>
        </is>
      </c>
      <c r="O814" s="43" t="inlineStr">
        <is>
          <t>Android 14</t>
        </is>
      </c>
      <c r="P814" s="43" t="n">
        <v>27</v>
      </c>
      <c r="Q814" s="46" t="n">
        <v>192</v>
      </c>
      <c r="R814" s="43" t="inlineStr">
        <is>
          <t>Longer battery than Proteus Rift Pro Budget Smartphone [PRO-070-02] (27 vs 26 hrs); Lower price than Alpheus Nimbus Budget Smartphone [ALP-082-03] ($297.99 vs $347.99)</t>
        </is>
      </c>
      <c r="S814" s="43" t="inlineStr">
        <is>
          <t>budget, first phone, everyday</t>
        </is>
      </c>
      <c r="T814" s="0" t="inlineStr">
        <is>
          <t>in_stock</t>
        </is>
      </c>
      <c r="U814" s="0" t="n">
        <v>30</v>
      </c>
      <c r="V814" s="52" t="n">
        <v>333.99</v>
      </c>
      <c r="W814" s="0" t="inlineStr">
        <is>
          <t>2026-08-02</t>
        </is>
      </c>
      <c r="X814" s="0" t="inlineStr">
        <is>
          <t>N/A</t>
        </is>
      </c>
      <c r="Y814" s="0" t="inlineStr">
        <is>
          <t>N/A</t>
        </is>
      </c>
      <c r="Z814" s="0" t="inlineStr">
        <is>
          <t>N/A</t>
        </is>
      </c>
      <c r="AA814" s="0" t="inlineStr">
        <is>
          <t>N/A</t>
        </is>
      </c>
    </row>
    <row r="815" ht="15.75" customHeight="1" s="51">
      <c r="A815" s="43" t="inlineStr">
        <is>
          <t>THE-081-03</t>
        </is>
      </c>
      <c r="B815" s="43" t="inlineStr">
        <is>
          <t>Theia</t>
        </is>
      </c>
      <c r="C815" s="43" t="inlineStr">
        <is>
          <t>Smartphones &amp; Tablets</t>
        </is>
      </c>
      <c r="D815" s="43" t="inlineStr">
        <is>
          <t>Smartphone</t>
        </is>
      </c>
      <c r="E815" s="44" t="inlineStr">
        <is>
          <t>Theia Aeon Ultra Rugged Smartphone</t>
        </is>
      </c>
      <c r="F815" s="45" t="n">
        <v>347.99</v>
      </c>
      <c r="G815" s="43" t="inlineStr">
        <is>
          <t>the Aeon Ultra; Theia Aeon Ultra; Theiia Aeon Ultra; Aeon Ultra smartphone</t>
        </is>
      </c>
      <c r="H815" s="43" t="inlineStr">
        <is>
          <t>2 year limited</t>
        </is>
      </c>
      <c r="I815" s="43" t="inlineStr">
        <is>
          <t>FCC, CE, IP69K, MIL-STD-810H</t>
        </is>
      </c>
      <c r="J815" s="43" t="inlineStr">
        <is>
          <t>Qualcomm Snapdragon 6 Gen 1</t>
        </is>
      </c>
      <c r="K815" s="43" t="inlineStr">
        <is>
          <t>Qualcomm Adreno 710</t>
        </is>
      </c>
      <c r="L815" s="43" t="inlineStr">
        <is>
          <t>IPS LCD, Gorilla Glass Victus, 120Hz</t>
        </is>
      </c>
      <c r="M815" s="43" t="inlineStr">
        <is>
          <t>1080x2400</t>
        </is>
      </c>
      <c r="N815" s="43" t="inlineStr">
        <is>
          <t>USB-C (USB 2.0), nano-SIM + eSIM, 3.5mm headphone jack, microSD slot</t>
        </is>
      </c>
      <c r="O815" s="43" t="inlineStr">
        <is>
          <t>Android 14</t>
        </is>
      </c>
      <c r="P815" s="43" t="n">
        <v>29</v>
      </c>
      <c r="Q815" s="46" t="n">
        <v>276</v>
      </c>
      <c r="R815" s="43" t="inlineStr">
        <is>
          <t>Lower price than Peitho Crest X Rugged Smartphone [PEI-083-05] ($347.99 vs $768.99); Lighter than Lethe Lumen Max Rugged Smartphone [LET-086-03] (276 g vs 306 g)</t>
        </is>
      </c>
      <c r="S815" s="43" t="inlineStr">
        <is>
          <t>outdoor, construction, fieldwork</t>
        </is>
      </c>
      <c r="T815" s="0" t="inlineStr">
        <is>
          <t>in_stock</t>
        </is>
      </c>
      <c r="U815" s="0" t="n">
        <v>30</v>
      </c>
      <c r="V815" s="52" t="n">
        <v>366.99</v>
      </c>
      <c r="W815" s="0" t="inlineStr">
        <is>
          <t>2026-09-19</t>
        </is>
      </c>
      <c r="X815" s="0" t="inlineStr">
        <is>
          <t>N/A</t>
        </is>
      </c>
      <c r="Y815" s="0" t="inlineStr">
        <is>
          <t>N/A</t>
        </is>
      </c>
      <c r="Z815" s="0" t="inlineStr">
        <is>
          <t>N/A</t>
        </is>
      </c>
      <c r="AA815" s="0" t="inlineStr">
        <is>
          <t>N/A</t>
        </is>
      </c>
    </row>
    <row r="816" ht="15.75" customHeight="1" s="51">
      <c r="A816" s="43" t="inlineStr">
        <is>
          <t>THE-081-04</t>
        </is>
      </c>
      <c r="B816" s="43" t="inlineStr">
        <is>
          <t>Theia</t>
        </is>
      </c>
      <c r="C816" s="43" t="inlineStr">
        <is>
          <t>Smartphones &amp; Tablets</t>
        </is>
      </c>
      <c r="D816" s="43" t="inlineStr">
        <is>
          <t>Smartphone</t>
        </is>
      </c>
      <c r="E816" s="44" t="inlineStr">
        <is>
          <t>Theia Strata Plus Compact Smartphone</t>
        </is>
      </c>
      <c r="F816" s="45" t="n">
        <v>509.99</v>
      </c>
      <c r="G816" s="43" t="inlineStr">
        <is>
          <t>the Strata Plus; Theia Strata Plus; Theiia Strata Plus; Strata Plus smartphone</t>
        </is>
      </c>
      <c r="H816" s="43" t="inlineStr">
        <is>
          <t>1 year limited</t>
        </is>
      </c>
      <c r="I816" s="43" t="inlineStr">
        <is>
          <t>FCC, CE, IP68</t>
        </is>
      </c>
      <c r="J816" s="43" t="inlineStr">
        <is>
          <t>Qualcomm Snapdragon 7+ Gen 3</t>
        </is>
      </c>
      <c r="K816" s="43" t="inlineStr">
        <is>
          <t>Qualcomm Adreno 732</t>
        </is>
      </c>
      <c r="L816" s="43" t="inlineStr">
        <is>
          <t>AMOLED, 120Hz</t>
        </is>
      </c>
      <c r="M816" s="43" t="inlineStr">
        <is>
          <t>1080x2340</t>
        </is>
      </c>
      <c r="N816" s="43" t="inlineStr">
        <is>
          <t>USB-C (USB 2.0), nano-SIM + eSIM</t>
        </is>
      </c>
      <c r="O816" s="43" t="inlineStr">
        <is>
          <t>Android 15</t>
        </is>
      </c>
      <c r="P816" s="43" t="n">
        <v>21</v>
      </c>
      <c r="Q816" s="46" t="n">
        <v>161</v>
      </c>
      <c r="R816" s="43" t="inlineStr">
        <is>
          <t>Lower price than Phorcys Drift Compact Smartphone [PHO-087-02] ($509.99 vs $536.99); Longer battery than Aether Volt SE Compact Smartphone [AET-080-05] (21 vs 19 hrs)</t>
        </is>
      </c>
      <c r="S816" s="43" t="inlineStr">
        <is>
          <t>everyday, one-handed use</t>
        </is>
      </c>
      <c r="T816" s="0" t="inlineStr">
        <is>
          <t>in_stock</t>
        </is>
      </c>
      <c r="U816" s="0" t="n">
        <v>30</v>
      </c>
      <c r="V816" s="52" t="n">
        <v>573.99</v>
      </c>
      <c r="W816" s="0" t="inlineStr">
        <is>
          <t>2026-08-22</t>
        </is>
      </c>
      <c r="X816" s="0" t="inlineStr">
        <is>
          <t>N/A</t>
        </is>
      </c>
      <c r="Y816" s="0" t="inlineStr">
        <is>
          <t>N/A</t>
        </is>
      </c>
      <c r="Z816" s="0" t="inlineStr">
        <is>
          <t>N/A</t>
        </is>
      </c>
      <c r="AA816" s="0" t="inlineStr">
        <is>
          <t>N/A</t>
        </is>
      </c>
    </row>
    <row r="817" ht="15.75" customHeight="1" s="51">
      <c r="A817" s="43" t="inlineStr">
        <is>
          <t>THE-081-05</t>
        </is>
      </c>
      <c r="B817" s="43" t="inlineStr">
        <is>
          <t>Theia</t>
        </is>
      </c>
      <c r="C817" s="43" t="inlineStr">
        <is>
          <t>Smartphones &amp; Tablets</t>
        </is>
      </c>
      <c r="D817" s="43" t="inlineStr">
        <is>
          <t>Tablet</t>
        </is>
      </c>
      <c r="E817" s="44" t="inlineStr">
        <is>
          <t>Theia Titan Lite Drawing Tablet with Stylus</t>
        </is>
      </c>
      <c r="F817" s="45" t="n">
        <v>576.99</v>
      </c>
      <c r="G817" s="43" t="inlineStr">
        <is>
          <t>the Titan Lite; Theia Titan Lite; Theiaa Titan Lite; Titan Lite tablet</t>
        </is>
      </c>
      <c r="H817" s="43" t="inlineStr">
        <is>
          <t>1 year limited</t>
        </is>
      </c>
      <c r="I817" s="43" t="inlineStr">
        <is>
          <t>FCC, CE, TUV Rheinland Low Blue Light</t>
        </is>
      </c>
      <c r="J817" s="43" t="inlineStr">
        <is>
          <t>Qualcomm Snapdragon 7+ Gen 3</t>
        </is>
      </c>
      <c r="K817" s="43" t="inlineStr">
        <is>
          <t>Qualcomm Adreno 732</t>
        </is>
      </c>
      <c r="L817" s="43" t="inlineStr">
        <is>
          <t>IPS LCD anti-glare, pen digitizer</t>
        </is>
      </c>
      <c r="M817" s="43" t="inlineStr">
        <is>
          <t>2000x1200</t>
        </is>
      </c>
      <c r="N817" s="43" t="inlineStr">
        <is>
          <t>USB-C (USB 2.0), microSD slot</t>
        </is>
      </c>
      <c r="O817" s="43" t="inlineStr">
        <is>
          <t>Android 15</t>
        </is>
      </c>
      <c r="P817" s="43" t="n">
        <v>12</v>
      </c>
      <c r="Q817" s="46" t="n">
        <v>526</v>
      </c>
      <c r="R817" s="43" t="inlineStr">
        <is>
          <t>Lighter than Erebus Sable Lite Drawing Tablet with Stylus [ERE-098-03] (526 g vs 613 g); Lower price than Comus Axis Ultra Drawing Tablet with Stylus [COM-078-08] ($576.99 vs $1,150.99)</t>
        </is>
      </c>
      <c r="S817" s="43" t="inlineStr">
        <is>
          <t>drawing, design, note-taking</t>
        </is>
      </c>
      <c r="T817" s="0" t="inlineStr">
        <is>
          <t>in_stock</t>
        </is>
      </c>
      <c r="U817" s="0" t="n">
        <v>30</v>
      </c>
      <c r="V817" s="52" t="n">
        <v>653.99</v>
      </c>
      <c r="W817" s="0" t="inlineStr">
        <is>
          <t>2026-09-21</t>
        </is>
      </c>
      <c r="X817" s="0" t="inlineStr">
        <is>
          <t>N/A</t>
        </is>
      </c>
      <c r="Y817" s="0" t="inlineStr">
        <is>
          <t>N/A</t>
        </is>
      </c>
      <c r="Z817" s="0" t="inlineStr">
        <is>
          <t>N/A</t>
        </is>
      </c>
      <c r="AA817" s="0" t="inlineStr">
        <is>
          <t>N/A</t>
        </is>
      </c>
    </row>
    <row r="818" ht="15.75" customHeight="1" s="51">
      <c r="A818" s="43" t="inlineStr">
        <is>
          <t>THE-081-06</t>
        </is>
      </c>
      <c r="B818" s="43" t="inlineStr">
        <is>
          <t>Theia</t>
        </is>
      </c>
      <c r="C818" s="43" t="inlineStr">
        <is>
          <t>Smartphones &amp; Tablets</t>
        </is>
      </c>
      <c r="D818" s="43" t="inlineStr">
        <is>
          <t>Tablet</t>
        </is>
      </c>
      <c r="E818" s="44" t="inlineStr">
        <is>
          <t>Theia Nova Max 5G Tablet</t>
        </is>
      </c>
      <c r="F818" s="45" t="n">
        <v>824.99</v>
      </c>
      <c r="G818" s="43" t="inlineStr">
        <is>
          <t>the Nova Max; Theia Nova Max; Theiaa Nova Max; Nova Max tablet</t>
        </is>
      </c>
      <c r="H818" s="43" t="inlineStr">
        <is>
          <t>1 year limited</t>
        </is>
      </c>
      <c r="I818" s="43" t="inlineStr">
        <is>
          <t>FCC, CE</t>
        </is>
      </c>
      <c r="J818" s="43" t="inlineStr">
        <is>
          <t>Qualcomm Snapdragon 8 Gen 3</t>
        </is>
      </c>
      <c r="K818" s="43" t="inlineStr">
        <is>
          <t>Qualcomm Adreno 750</t>
        </is>
      </c>
      <c r="L818" s="43" t="inlineStr">
        <is>
          <t>IPS LCD, 90Hz</t>
        </is>
      </c>
      <c r="M818" s="43" t="inlineStr">
        <is>
          <t>1600x2560</t>
        </is>
      </c>
      <c r="N818" s="43" t="inlineStr">
        <is>
          <t>USB-C (USB 3.2), microSD slot, nano-SIM + eSIM</t>
        </is>
      </c>
      <c r="O818" s="43" t="inlineStr">
        <is>
          <t>Android 15</t>
        </is>
      </c>
      <c r="P818" s="43" t="n">
        <v>11</v>
      </c>
      <c r="Q818" s="46" t="n">
        <v>541</v>
      </c>
      <c r="R818" s="43" t="inlineStr">
        <is>
          <t>Lower price than Peitho Vertex Lite 5G Tablet [PEI-083-07] ($824.99 vs $890.99); Lighter than Panacea Halo Plus 5G Tablet [PAN-069-07] (541 g vs 548 g)</t>
        </is>
      </c>
      <c r="S818" s="43" t="inlineStr">
        <is>
          <t>travel, streaming, work on the go</t>
        </is>
      </c>
      <c r="T818" s="0" t="inlineStr">
        <is>
          <t>in_stock</t>
        </is>
      </c>
      <c r="U818" s="0" t="n">
        <v>30</v>
      </c>
      <c r="V818" s="52" t="n">
        <v>941.99</v>
      </c>
      <c r="W818" s="0" t="inlineStr">
        <is>
          <t>2026-09-08</t>
        </is>
      </c>
      <c r="X818" s="0" t="inlineStr">
        <is>
          <t>N/A</t>
        </is>
      </c>
      <c r="Y818" s="0" t="inlineStr">
        <is>
          <t>N/A</t>
        </is>
      </c>
      <c r="Z818" s="0" t="inlineStr">
        <is>
          <t>N/A</t>
        </is>
      </c>
      <c r="AA818" s="0" t="inlineStr">
        <is>
          <t>N/A</t>
        </is>
      </c>
    </row>
    <row r="819" ht="15.75" customHeight="1" s="51">
      <c r="A819" s="43" t="inlineStr">
        <is>
          <t>THE-081-07</t>
        </is>
      </c>
      <c r="B819" s="43" t="inlineStr">
        <is>
          <t>Theia</t>
        </is>
      </c>
      <c r="C819" s="43" t="inlineStr">
        <is>
          <t>Smartphones &amp; Tablets</t>
        </is>
      </c>
      <c r="D819" s="43" t="inlineStr">
        <is>
          <t>Smartphone</t>
        </is>
      </c>
      <c r="E819" s="44" t="inlineStr">
        <is>
          <t>Theia Flux Lite Flip Foldable Phone</t>
        </is>
      </c>
      <c r="F819" s="45" t="n">
        <v>1129.99</v>
      </c>
      <c r="G819" s="43" t="inlineStr">
        <is>
          <t>the Flux Lite; Theia Flux Lite; Theiaa Flux Lite; Flux Lite smartphone</t>
        </is>
      </c>
      <c r="H819" s="43" t="inlineStr">
        <is>
          <t>2 year limited</t>
        </is>
      </c>
      <c r="I819" s="43" t="inlineStr">
        <is>
          <t>FCC, CE, IPX8</t>
        </is>
      </c>
      <c r="J819" s="43" t="inlineStr">
        <is>
          <t>MediaTek Dimensity 9400</t>
        </is>
      </c>
      <c r="K819" s="43" t="inlineStr">
        <is>
          <t>Arm Immortalis-G925</t>
        </is>
      </c>
      <c r="L819" s="43" t="inlineStr">
        <is>
          <t>Foldable AMOLED inner + AMOLED cover screen</t>
        </is>
      </c>
      <c r="M819" s="43" t="inlineStr">
        <is>
          <t>1080x2640 inner / 720x748 cover</t>
        </is>
      </c>
      <c r="N819" s="43" t="inlineStr">
        <is>
          <t>USB-C (USB 3.2), nano-SIM + eSIM</t>
        </is>
      </c>
      <c r="O819" s="43" t="inlineStr">
        <is>
          <t>Android 15</t>
        </is>
      </c>
      <c r="P819" s="43" t="n">
        <v>21</v>
      </c>
      <c r="Q819" s="46" t="n">
        <v>186</v>
      </c>
      <c r="R819" s="43" t="inlineStr">
        <is>
          <t>Lighter than Peitho Flux Lite Flip Foldable Phone [PEI-083-08] (186 g vs 192 g); Longer battery than Clymene Halo Flip Foldable Phone [CLY-067-08] (21 vs 18 hrs)</t>
        </is>
      </c>
      <c r="S819" s="43" t="inlineStr">
        <is>
          <t>style, everyday, compact</t>
        </is>
      </c>
      <c r="T819" s="0" t="inlineStr">
        <is>
          <t>in_stock</t>
        </is>
      </c>
      <c r="U819" s="0" t="n">
        <v>30</v>
      </c>
      <c r="V819" s="52" t="n">
        <v>1236.99</v>
      </c>
      <c r="W819" s="0" t="inlineStr">
        <is>
          <t>2026-08-30</t>
        </is>
      </c>
      <c r="X819" s="0" t="inlineStr">
        <is>
          <t>N/A</t>
        </is>
      </c>
      <c r="Y819" s="0" t="inlineStr">
        <is>
          <t>N/A</t>
        </is>
      </c>
      <c r="Z819" s="0" t="inlineStr">
        <is>
          <t>N/A</t>
        </is>
      </c>
      <c r="AA819" s="0" t="inlineStr">
        <is>
          <t>N/A</t>
        </is>
      </c>
    </row>
    <row r="820" ht="15.75" customHeight="1" s="51">
      <c r="A820" s="43" t="inlineStr">
        <is>
          <t>THE-081-08</t>
        </is>
      </c>
      <c r="B820" s="43" t="inlineStr">
        <is>
          <t>Theia</t>
        </is>
      </c>
      <c r="C820" s="43" t="inlineStr">
        <is>
          <t>Smartphones &amp; Tablets</t>
        </is>
      </c>
      <c r="D820" s="43" t="inlineStr">
        <is>
          <t>Smartphone</t>
        </is>
      </c>
      <c r="E820" s="44" t="inlineStr">
        <is>
          <t>Theia Halo Air Pro Max Smartphone</t>
        </is>
      </c>
      <c r="F820" s="45" t="n">
        <v>1499.99</v>
      </c>
      <c r="G820" s="43" t="inlineStr">
        <is>
          <t>the Halo Air; Theia Halo Air; Theeia Halo Air; Halo Air smartphone</t>
        </is>
      </c>
      <c r="H820" s="43" t="inlineStr">
        <is>
          <t>2 year limited</t>
        </is>
      </c>
      <c r="I820" s="43" t="inlineStr">
        <is>
          <t>FCC, CE, IP68, Qi2</t>
        </is>
      </c>
      <c r="J820" s="43" t="inlineStr">
        <is>
          <t>Qualcomm Snapdragon 8 Elite</t>
        </is>
      </c>
      <c r="K820" s="43" t="inlineStr">
        <is>
          <t>Qualcomm Adreno 830</t>
        </is>
      </c>
      <c r="L820" s="43" t="inlineStr">
        <is>
          <t>LTPO AMOLED, 1-120Hz</t>
        </is>
      </c>
      <c r="M820" s="43" t="inlineStr">
        <is>
          <t>1440x3120</t>
        </is>
      </c>
      <c r="N820" s="43" t="inlineStr">
        <is>
          <t>USB-C (USB 3.2), nano-SIM + eSIM</t>
        </is>
      </c>
      <c r="O820" s="43" t="inlineStr">
        <is>
          <t>Android 15</t>
        </is>
      </c>
      <c r="P820" s="43" t="n">
        <v>33</v>
      </c>
      <c r="Q820" s="46" t="n">
        <v>233</v>
      </c>
      <c r="R820" s="43" t="inlineStr">
        <is>
          <t>Longer battery than Iapetus Strata Air Pro Max Smartphone [IAP-096-09] (33 vs 31 hrs); Lighter than Coeus Aeon Ultra Pro Max Smartphone [COE-075-10] (233 g vs 234 g)</t>
        </is>
      </c>
      <c r="S820" s="43" t="inlineStr">
        <is>
          <t>photography, video, mobile gaming</t>
        </is>
      </c>
      <c r="T820" s="0" t="inlineStr">
        <is>
          <t>in_stock</t>
        </is>
      </c>
      <c r="U820" s="0" t="n">
        <v>30</v>
      </c>
      <c r="V820" s="52" t="n">
        <v>1570.99</v>
      </c>
      <c r="W820" s="0" t="inlineStr">
        <is>
          <t>2026-08-08</t>
        </is>
      </c>
      <c r="X820" s="0" t="inlineStr">
        <is>
          <t>N/A</t>
        </is>
      </c>
      <c r="Y820" s="0" t="inlineStr">
        <is>
          <t>N/A</t>
        </is>
      </c>
      <c r="Z820" s="0" t="inlineStr">
        <is>
          <t>N/A</t>
        </is>
      </c>
      <c r="AA820" s="0" t="inlineStr">
        <is>
          <t>N/A</t>
        </is>
      </c>
    </row>
    <row r="821" ht="15.75" customHeight="1" s="51">
      <c r="A821" s="43" t="inlineStr">
        <is>
          <t>THE-081-09</t>
        </is>
      </c>
      <c r="B821" s="43" t="inlineStr">
        <is>
          <t>Theia</t>
        </is>
      </c>
      <c r="C821" s="43" t="inlineStr">
        <is>
          <t>Smartphones &amp; Tablets</t>
        </is>
      </c>
      <c r="D821" s="43" t="inlineStr">
        <is>
          <t>Tablet</t>
        </is>
      </c>
      <c r="E821" s="44" t="inlineStr">
        <is>
          <t>Theia Arc Air 13" Pro Tablet</t>
        </is>
      </c>
      <c r="F821" s="45" t="n">
        <v>1756.99</v>
      </c>
      <c r="G821" s="43" t="inlineStr">
        <is>
          <t>the Arc Air; Theia Arc Air; Thiea Arc Air; Arc Air tablet</t>
        </is>
      </c>
      <c r="H821" s="43" t="inlineStr">
        <is>
          <t>2 year limited</t>
        </is>
      </c>
      <c r="I821" s="43" t="inlineStr">
        <is>
          <t>FCC, CE, Energy Star</t>
        </is>
      </c>
      <c r="J821" s="43" t="inlineStr">
        <is>
          <t>Qualcomm Snapdragon 8 Elite</t>
        </is>
      </c>
      <c r="K821" s="43" t="inlineStr">
        <is>
          <t>Qualcomm Adreno 830</t>
        </is>
      </c>
      <c r="L821" s="43" t="inlineStr">
        <is>
          <t>Mini-LED, 144Hz</t>
        </is>
      </c>
      <c r="M821" s="43" t="inlineStr">
        <is>
          <t>2960x1848</t>
        </is>
      </c>
      <c r="N821" s="43" t="inlineStr">
        <is>
          <t>USB-C (USB 3.2), magnetic keyboard connector</t>
        </is>
      </c>
      <c r="O821" s="43" t="inlineStr">
        <is>
          <t>Android 15</t>
        </is>
      </c>
      <c r="P821" s="43" t="n">
        <v>13</v>
      </c>
      <c r="Q821" s="46" t="n">
        <v>607</v>
      </c>
      <c r="R821" s="43" t="inlineStr">
        <is>
          <t>Longer battery than Coeus Volt Air 13" Pro Tablet [COE-075-09] (13 vs 10 hrs); Lighter than Amphitrite Quanta Air 13" Pro Tablet [AMP-065-08] (607 g vs 643 g)</t>
        </is>
      </c>
      <c r="S821" s="43" t="inlineStr">
        <is>
          <t>creative work, productivity, drawing</t>
        </is>
      </c>
      <c r="T821" s="0" t="inlineStr">
        <is>
          <t>in_stock</t>
        </is>
      </c>
      <c r="U821" s="0" t="n">
        <v>30</v>
      </c>
      <c r="V821" s="52" t="n">
        <v>1992.99</v>
      </c>
      <c r="W821" s="0" t="inlineStr">
        <is>
          <t>2026-09-16</t>
        </is>
      </c>
      <c r="X821" s="0" t="inlineStr">
        <is>
          <t>N/A</t>
        </is>
      </c>
      <c r="Y821" s="0" t="inlineStr">
        <is>
          <t>N/A</t>
        </is>
      </c>
      <c r="Z821" s="0" t="inlineStr">
        <is>
          <t>N/A</t>
        </is>
      </c>
      <c r="AA821" s="0" t="inlineStr">
        <is>
          <t>N/A</t>
        </is>
      </c>
    </row>
    <row r="822" ht="15.75" customHeight="1" s="51">
      <c r="A822" s="43" t="inlineStr">
        <is>
          <t>THE-081-10</t>
        </is>
      </c>
      <c r="B822" s="43" t="inlineStr">
        <is>
          <t>Theia</t>
        </is>
      </c>
      <c r="C822" s="43" t="inlineStr">
        <is>
          <t>Smartphones &amp; Tablets</t>
        </is>
      </c>
      <c r="D822" s="43" t="inlineStr">
        <is>
          <t>Smartphone</t>
        </is>
      </c>
      <c r="E822" s="44" t="inlineStr">
        <is>
          <t>Theia Volt Ultra Foldable Phone</t>
        </is>
      </c>
      <c r="F822" s="45" t="n">
        <v>1792.99</v>
      </c>
      <c r="G822" s="43" t="inlineStr">
        <is>
          <t>the Volt Ultra; Theia Volt Ultra; Theeia Volt Ultra; Volt Ultra smartphone</t>
        </is>
      </c>
      <c r="H822" s="43" t="inlineStr">
        <is>
          <t>1 year limited</t>
        </is>
      </c>
      <c r="I822" s="43" t="inlineStr">
        <is>
          <t>FCC, CE, IPX8</t>
        </is>
      </c>
      <c r="J822" s="43" t="inlineStr">
        <is>
          <t>Qualcomm Snapdragon 8 Elite</t>
        </is>
      </c>
      <c r="K822" s="43" t="inlineStr">
        <is>
          <t>Qualcomm Adreno 830</t>
        </is>
      </c>
      <c r="L822" s="43" t="inlineStr">
        <is>
          <t>Foldable LTPO AMOLED inner + AMOLED cover, 120Hz</t>
        </is>
      </c>
      <c r="M822" s="43" t="inlineStr">
        <is>
          <t>2160x1856 inner / 1080x2376 cover</t>
        </is>
      </c>
      <c r="N822" s="43" t="inlineStr">
        <is>
          <t>USB-C (USB 3.2), nano-SIM + eSIM</t>
        </is>
      </c>
      <c r="O822" s="43" t="inlineStr">
        <is>
          <t>Android 15</t>
        </is>
      </c>
      <c r="P822" s="43" t="n">
        <v>23</v>
      </c>
      <c r="Q822" s="46" t="n">
        <v>234</v>
      </c>
      <c r="R822" s="43" t="inlineStr">
        <is>
          <t>Lighter than Erato Aria Foldable Phone [ERA-085-10] (234 g vs 241 g); Longer battery than Elpis Quanta Air Foldable Phone [ELP-074-10] (23 vs 18 hrs)</t>
        </is>
      </c>
      <c r="S822" s="43" t="inlineStr">
        <is>
          <t>multitasking, business, media</t>
        </is>
      </c>
      <c r="T822" s="0" t="inlineStr">
        <is>
          <t>in_stock</t>
        </is>
      </c>
      <c r="U822" s="0" t="n">
        <v>30</v>
      </c>
      <c r="V822" s="52" t="n">
        <v>1990.99</v>
      </c>
      <c r="W822" s="0" t="inlineStr">
        <is>
          <t>2026-08-09</t>
        </is>
      </c>
      <c r="X822" s="0" t="inlineStr">
        <is>
          <t>N/A</t>
        </is>
      </c>
      <c r="Y822" s="0" t="inlineStr">
        <is>
          <t>N/A</t>
        </is>
      </c>
      <c r="Z822" s="0" t="inlineStr">
        <is>
          <t>N/A</t>
        </is>
      </c>
      <c r="AA822" s="0" t="inlineStr">
        <is>
          <t>N/A</t>
        </is>
      </c>
    </row>
    <row r="823" ht="15.75" customHeight="1" s="51">
      <c r="A823" s="43" t="inlineStr">
        <is>
          <t>ALP-082-01</t>
        </is>
      </c>
      <c r="B823" s="43" t="inlineStr">
        <is>
          <t>Alpheus</t>
        </is>
      </c>
      <c r="C823" s="43" t="inlineStr">
        <is>
          <t>Smartphones &amp; Tablets</t>
        </is>
      </c>
      <c r="D823" s="43" t="inlineStr">
        <is>
          <t>Tablet</t>
        </is>
      </c>
      <c r="E823" s="44" t="inlineStr">
        <is>
          <t>Alpheus Onyx Kids Tablet</t>
        </is>
      </c>
      <c r="F823" s="45" t="n">
        <v>113.99</v>
      </c>
      <c r="G823" s="43" t="inlineStr">
        <is>
          <t>the Onyx; Alpheus Onyx; Alphus Onyx; Onyx tablet</t>
        </is>
      </c>
      <c r="H823" s="43" t="inlineStr">
        <is>
          <t>1 year limited</t>
        </is>
      </c>
      <c r="I823" s="43" t="inlineStr">
        <is>
          <t>FCC, CE, TUV Rheinland Low Blue Light, EN 71 Toy Safety</t>
        </is>
      </c>
      <c r="J823" s="43" t="inlineStr">
        <is>
          <t>MediaTek Helio G88</t>
        </is>
      </c>
      <c r="K823" s="43" t="inlineStr">
        <is>
          <t>Arm Mali-G52 MC2</t>
        </is>
      </c>
      <c r="L823" s="43" t="inlineStr">
        <is>
          <t>IPS LCD, 60Hz</t>
        </is>
      </c>
      <c r="M823" s="43" t="inlineStr">
        <is>
          <t>800x1280</t>
        </is>
      </c>
      <c r="N823" s="43" t="inlineStr">
        <is>
          <t>USB-C (USB 2.0), microSD slot</t>
        </is>
      </c>
      <c r="O823" s="43" t="inlineStr">
        <is>
          <t>Android 14 with parental controls</t>
        </is>
      </c>
      <c r="P823" s="43" t="n">
        <v>8</v>
      </c>
      <c r="Q823" s="46" t="n">
        <v>387</v>
      </c>
      <c r="R823" s="43" t="inlineStr">
        <is>
          <t>Lighter than Arete Echo Lite Kids Tablet [ARE-054-01] (387 g vs 401 g); Lower price than Iapetus Blaze Kids Tablet [IAP-096-01] ($113.99 vs $136.99)</t>
        </is>
      </c>
      <c r="S823" s="43" t="inlineStr">
        <is>
          <t>kids, learning, games</t>
        </is>
      </c>
      <c r="T823" s="0" t="inlineStr">
        <is>
          <t>out_of_stock</t>
        </is>
      </c>
      <c r="U823" s="0" t="n">
        <v>45</v>
      </c>
      <c r="V823" s="52" t="n">
        <v>130.99</v>
      </c>
      <c r="W823" s="0" t="inlineStr">
        <is>
          <t>2026-08-31</t>
        </is>
      </c>
      <c r="X823" s="0" t="inlineStr">
        <is>
          <t>N/A</t>
        </is>
      </c>
      <c r="Y823" s="0" t="inlineStr">
        <is>
          <t>N/A</t>
        </is>
      </c>
      <c r="Z823" s="0" t="inlineStr">
        <is>
          <t>N/A</t>
        </is>
      </c>
      <c r="AA823" s="0" t="inlineStr">
        <is>
          <t>N/A</t>
        </is>
      </c>
    </row>
    <row r="824" ht="15.75" customHeight="1" s="51">
      <c r="A824" s="43" t="inlineStr">
        <is>
          <t>ALP-082-02</t>
        </is>
      </c>
      <c r="B824" s="43" t="inlineStr">
        <is>
          <t>Alpheus</t>
        </is>
      </c>
      <c r="C824" s="43" t="inlineStr">
        <is>
          <t>Smartphones &amp; Tablets</t>
        </is>
      </c>
      <c r="D824" s="43" t="inlineStr">
        <is>
          <t>Tablet</t>
        </is>
      </c>
      <c r="E824" s="44" t="inlineStr">
        <is>
          <t>Alpheus Volt Plus 8" Mini Tablet</t>
        </is>
      </c>
      <c r="F824" s="45" t="n">
        <v>293.99</v>
      </c>
      <c r="G824" s="43" t="inlineStr">
        <is>
          <t>the Volt Plus; Alpheus Volt Plus; Alpheu Volt Plus; Volt Plus tablet</t>
        </is>
      </c>
      <c r="H824" s="43" t="inlineStr">
        <is>
          <t>1 year limited</t>
        </is>
      </c>
      <c r="I824" s="43" t="inlineStr">
        <is>
          <t>FCC, CE, TUV Rheinland Low Blue Light</t>
        </is>
      </c>
      <c r="J824" s="43" t="inlineStr">
        <is>
          <t>Qualcomm Snapdragon 6 Gen 1</t>
        </is>
      </c>
      <c r="K824" s="43" t="inlineStr">
        <is>
          <t>Qualcomm Adreno 710</t>
        </is>
      </c>
      <c r="L824" s="43" t="inlineStr">
        <is>
          <t>IPS LCD, 60Hz</t>
        </is>
      </c>
      <c r="M824" s="43" t="inlineStr">
        <is>
          <t>1200x1920</t>
        </is>
      </c>
      <c r="N824" s="43" t="inlineStr">
        <is>
          <t>USB-C (USB 2.0), microSD slot</t>
        </is>
      </c>
      <c r="O824" s="43" t="inlineStr">
        <is>
          <t>Android 15</t>
        </is>
      </c>
      <c r="P824" s="43" t="n">
        <v>9</v>
      </c>
      <c r="Q824" s="46" t="n">
        <v>312</v>
      </c>
      <c r="R824" s="43" t="inlineStr">
        <is>
          <t>Lower price than Clotho Wave Ultra 8" Mini Tablet [CLO-062-02] ($293.99 vs $367.99); Lighter than Lethe Axis Max 8" Mini Tablet [LET-086-02] (312 g vs 339 g)</t>
        </is>
      </c>
      <c r="S824" s="43" t="inlineStr">
        <is>
          <t>reading, travel, gaming</t>
        </is>
      </c>
      <c r="T824" s="0" t="inlineStr">
        <is>
          <t>in_stock</t>
        </is>
      </c>
      <c r="U824" s="0" t="n">
        <v>45</v>
      </c>
      <c r="V824" s="52" t="n">
        <v>331.99</v>
      </c>
      <c r="W824" s="0" t="inlineStr">
        <is>
          <t>2026-09-06</t>
        </is>
      </c>
      <c r="X824" s="0" t="inlineStr">
        <is>
          <t>N/A</t>
        </is>
      </c>
      <c r="Y824" s="0" t="inlineStr">
        <is>
          <t>N/A</t>
        </is>
      </c>
      <c r="Z824" s="0" t="inlineStr">
        <is>
          <t>N/A</t>
        </is>
      </c>
      <c r="AA824" s="0" t="inlineStr">
        <is>
          <t>N/A</t>
        </is>
      </c>
    </row>
    <row r="825" ht="15.75" customHeight="1" s="51">
      <c r="A825" s="43" t="inlineStr">
        <is>
          <t>ALP-082-03</t>
        </is>
      </c>
      <c r="B825" s="43" t="inlineStr">
        <is>
          <t>Alpheus</t>
        </is>
      </c>
      <c r="C825" s="43" t="inlineStr">
        <is>
          <t>Smartphones &amp; Tablets</t>
        </is>
      </c>
      <c r="D825" s="43" t="inlineStr">
        <is>
          <t>Smartphone</t>
        </is>
      </c>
      <c r="E825" s="44" t="inlineStr">
        <is>
          <t>Alpheus Nimbus Budget Smartphone</t>
        </is>
      </c>
      <c r="F825" s="45" t="n">
        <v>347.99</v>
      </c>
      <c r="G825" s="43" t="inlineStr">
        <is>
          <t>the Nimbus; Alpheus Nimbus; Alppheus Nimbus; Nimbus smartphone</t>
        </is>
      </c>
      <c r="H825" s="43" t="inlineStr">
        <is>
          <t>2 year limited</t>
        </is>
      </c>
      <c r="I825" s="43" t="inlineStr">
        <is>
          <t>FCC, CE, IP54</t>
        </is>
      </c>
      <c r="J825" s="43" t="inlineStr">
        <is>
          <t>Qualcomm Snapdragon 6 Gen 1</t>
        </is>
      </c>
      <c r="K825" s="43" t="inlineStr">
        <is>
          <t>Qualcomm Adreno 710</t>
        </is>
      </c>
      <c r="L825" s="43" t="inlineStr">
        <is>
          <t>AMOLED, 120Hz</t>
        </is>
      </c>
      <c r="M825" s="43" t="inlineStr">
        <is>
          <t>1080x2400</t>
        </is>
      </c>
      <c r="N825" s="43" t="inlineStr">
        <is>
          <t>USB-C (USB 2.0), nano-SIM + eSIM, 3.5mm headphone jack, microSD slot</t>
        </is>
      </c>
      <c r="O825" s="43" t="inlineStr">
        <is>
          <t>Android 14</t>
        </is>
      </c>
      <c r="P825" s="43" t="n">
        <v>27</v>
      </c>
      <c r="Q825" s="46" t="n">
        <v>180</v>
      </c>
      <c r="R825" s="43" t="inlineStr">
        <is>
          <t>Longer battery than Helios Nova SE Budget Smartphone [HEL-073-02] (27 vs 22 hrs); Lighter than Coeus Sable Pro Budget Smartphone [COE-075-01] (180 g vs 209 g)</t>
        </is>
      </c>
      <c r="S825" s="43" t="inlineStr">
        <is>
          <t>budget, first phone, everyday</t>
        </is>
      </c>
      <c r="T825" s="0" t="inlineStr">
        <is>
          <t>in_stock</t>
        </is>
      </c>
      <c r="U825" s="0" t="n">
        <v>45</v>
      </c>
      <c r="V825" s="52" t="n">
        <v>371.99</v>
      </c>
      <c r="W825" s="0" t="inlineStr">
        <is>
          <t>2026-09-14</t>
        </is>
      </c>
      <c r="X825" s="0" t="inlineStr">
        <is>
          <t>N/A</t>
        </is>
      </c>
      <c r="Y825" s="0" t="inlineStr">
        <is>
          <t>N/A</t>
        </is>
      </c>
      <c r="Z825" s="0" t="inlineStr">
        <is>
          <t>N/A</t>
        </is>
      </c>
      <c r="AA825" s="0" t="inlineStr">
        <is>
          <t>N/A</t>
        </is>
      </c>
    </row>
    <row r="826" ht="15.75" customHeight="1" s="51">
      <c r="A826" s="43" t="inlineStr">
        <is>
          <t>ALP-082-04</t>
        </is>
      </c>
      <c r="B826" s="43" t="inlineStr">
        <is>
          <t>Alpheus</t>
        </is>
      </c>
      <c r="C826" s="43" t="inlineStr">
        <is>
          <t>Smartphones &amp; Tablets</t>
        </is>
      </c>
      <c r="D826" s="43" t="inlineStr">
        <is>
          <t>Tablet</t>
        </is>
      </c>
      <c r="E826" s="44" t="inlineStr">
        <is>
          <t>Alpheus Apex Ultra E-Ink Note Tablet</t>
        </is>
      </c>
      <c r="F826" s="45" t="n">
        <v>382.99</v>
      </c>
      <c r="G826" s="43" t="inlineStr">
        <is>
          <t>the Apex Ultra; Alpheus Apex Ultra; Aplheus Apex Ultra; Apex Ultra tablet</t>
        </is>
      </c>
      <c r="H826" s="43" t="inlineStr">
        <is>
          <t>1 year limited</t>
        </is>
      </c>
      <c r="I826" s="43" t="inlineStr">
        <is>
          <t>FCC, CE, TUV Rheinland Low Blue Light</t>
        </is>
      </c>
      <c r="J826" s="43" t="inlineStr">
        <is>
          <t>Rockchip RK3566</t>
        </is>
      </c>
      <c r="K826" s="43" t="inlineStr">
        <is>
          <t>Arm Mali-G52 2EE</t>
        </is>
      </c>
      <c r="L826" s="43" t="inlineStr">
        <is>
          <t>E Ink Carta 1300, front-lit</t>
        </is>
      </c>
      <c r="M826" s="43" t="inlineStr">
        <is>
          <t>1404x1872</t>
        </is>
      </c>
      <c r="N826" s="43" t="inlineStr">
        <is>
          <t>USB-C (USB 2.0), microSD slot</t>
        </is>
      </c>
      <c r="O826" s="43" t="inlineStr">
        <is>
          <t>Android 13 (E Ink optimized)</t>
        </is>
      </c>
      <c r="P826" s="43" t="n">
        <v>299</v>
      </c>
      <c r="Q826" s="46" t="n">
        <v>437</v>
      </c>
      <c r="R826" s="43" t="inlineStr">
        <is>
          <t>Longer battery than Amphitrite Titan Ultra E-Ink Note Tablet [AMP-065-01] (299 vs 193 hrs); Lower price than Leto Drift Ultra E-Ink Note Tablet [LET-077-06] ($382.99 vs $617.99)</t>
        </is>
      </c>
      <c r="S826" s="43" t="inlineStr">
        <is>
          <t>reading, note-taking, school</t>
        </is>
      </c>
      <c r="T826" s="0" t="inlineStr">
        <is>
          <t>in_stock</t>
        </is>
      </c>
      <c r="U826" s="0" t="n">
        <v>45</v>
      </c>
      <c r="V826" s="52" t="n">
        <v>411.99</v>
      </c>
      <c r="W826" s="0" t="inlineStr">
        <is>
          <t>2026-08-19</t>
        </is>
      </c>
      <c r="X826" s="0" t="inlineStr">
        <is>
          <t>N/A</t>
        </is>
      </c>
      <c r="Y826" s="0" t="inlineStr">
        <is>
          <t>N/A</t>
        </is>
      </c>
      <c r="Z826" s="0" t="inlineStr">
        <is>
          <t>N/A</t>
        </is>
      </c>
      <c r="AA826" s="0" t="inlineStr">
        <is>
          <t>N/A</t>
        </is>
      </c>
    </row>
    <row r="827" ht="15.75" customHeight="1" s="51">
      <c r="A827" s="43" t="inlineStr">
        <is>
          <t>ALP-082-05</t>
        </is>
      </c>
      <c r="B827" s="43" t="inlineStr">
        <is>
          <t>Alpheus</t>
        </is>
      </c>
      <c r="C827" s="43" t="inlineStr">
        <is>
          <t>Smartphones &amp; Tablets</t>
        </is>
      </c>
      <c r="D827" s="43" t="inlineStr">
        <is>
          <t>Tablet</t>
        </is>
      </c>
      <c r="E827" s="44" t="inlineStr">
        <is>
          <t>Alpheus Aeon Drawing Tablet with Stylus</t>
        </is>
      </c>
      <c r="F827" s="45" t="n">
        <v>599.99</v>
      </c>
      <c r="G827" s="43" t="inlineStr">
        <is>
          <t>the Aeon; Alpheus Aeon; Aplheus Aeon; Aeon tablet</t>
        </is>
      </c>
      <c r="H827" s="43" t="inlineStr">
        <is>
          <t>1 year limited</t>
        </is>
      </c>
      <c r="I827" s="43" t="inlineStr">
        <is>
          <t>FCC, CE, TUV Rheinland Low Blue Light</t>
        </is>
      </c>
      <c r="J827" s="43" t="inlineStr">
        <is>
          <t>Qualcomm Snapdragon 7+ Gen 3</t>
        </is>
      </c>
      <c r="K827" s="43" t="inlineStr">
        <is>
          <t>Qualcomm Adreno 732</t>
        </is>
      </c>
      <c r="L827" s="43" t="inlineStr">
        <is>
          <t>IPS LCD anti-glare, pen digitizer</t>
        </is>
      </c>
      <c r="M827" s="43" t="inlineStr">
        <is>
          <t>2000x1200</t>
        </is>
      </c>
      <c r="N827" s="43" t="inlineStr">
        <is>
          <t>USB-C (USB 2.0), microSD slot</t>
        </is>
      </c>
      <c r="O827" s="43" t="inlineStr">
        <is>
          <t>Android 15</t>
        </is>
      </c>
      <c r="P827" s="43" t="n">
        <v>8</v>
      </c>
      <c r="Q827" s="46" t="n">
        <v>580</v>
      </c>
      <c r="R827" s="43" t="inlineStr">
        <is>
          <t>Lower price than Pothos Apex Ultra Drawing Tablet with Stylus [POT-072-06] ($599.99 vs $892.99); Lighter than Triton Nova Max Drawing Tablet with Stylus [TRI-092-04] (580 g vs 581 g)</t>
        </is>
      </c>
      <c r="S827" s="43" t="inlineStr">
        <is>
          <t>drawing, design, note-taking</t>
        </is>
      </c>
      <c r="T827" s="0" t="inlineStr">
        <is>
          <t>in_stock</t>
        </is>
      </c>
      <c r="U827" s="0" t="n">
        <v>45</v>
      </c>
      <c r="V827" s="52" t="n">
        <v>631.99</v>
      </c>
      <c r="W827" s="0" t="inlineStr">
        <is>
          <t>2026-09-02</t>
        </is>
      </c>
      <c r="X827" s="0" t="inlineStr">
        <is>
          <t>N/A</t>
        </is>
      </c>
      <c r="Y827" s="0" t="inlineStr">
        <is>
          <t>N/A</t>
        </is>
      </c>
      <c r="Z827" s="0" t="inlineStr">
        <is>
          <t>N/A</t>
        </is>
      </c>
      <c r="AA827" s="0" t="inlineStr">
        <is>
          <t>N/A</t>
        </is>
      </c>
    </row>
    <row r="828" ht="15.75" customHeight="1" s="51">
      <c r="A828" s="43" t="inlineStr">
        <is>
          <t>ALP-082-06</t>
        </is>
      </c>
      <c r="B828" s="43" t="inlineStr">
        <is>
          <t>Alpheus</t>
        </is>
      </c>
      <c r="C828" s="43" t="inlineStr">
        <is>
          <t>Smartphones &amp; Tablets</t>
        </is>
      </c>
      <c r="D828" s="43" t="inlineStr">
        <is>
          <t>Smartphone</t>
        </is>
      </c>
      <c r="E828" s="44" t="inlineStr">
        <is>
          <t>Alpheus Halo Pro Rugged Smartphone</t>
        </is>
      </c>
      <c r="F828" s="45" t="n">
        <v>658.99</v>
      </c>
      <c r="G828" s="43" t="inlineStr">
        <is>
          <t>the Halo Pro; Alpheus Halo Pro; Alphus Halo Pro; Halo Pro smartphone</t>
        </is>
      </c>
      <c r="H828" s="43" t="inlineStr">
        <is>
          <t>2 year limited</t>
        </is>
      </c>
      <c r="I828" s="43" t="inlineStr">
        <is>
          <t>FCC, CE, IP69K, MIL-STD-810H</t>
        </is>
      </c>
      <c r="J828" s="43" t="inlineStr">
        <is>
          <t>MediaTek Dimensity 8300</t>
        </is>
      </c>
      <c r="K828" s="43" t="inlineStr">
        <is>
          <t>Arm Mali-G615 MC6</t>
        </is>
      </c>
      <c r="L828" s="43" t="inlineStr">
        <is>
          <t>IPS LCD, Gorilla Glass Victus, 120Hz</t>
        </is>
      </c>
      <c r="M828" s="43" t="inlineStr">
        <is>
          <t>1080x2400</t>
        </is>
      </c>
      <c r="N828" s="43" t="inlineStr">
        <is>
          <t>USB-C (USB 2.0), nano-SIM + eSIM, 3.5mm headphone jack, microSD slot</t>
        </is>
      </c>
      <c r="O828" s="43" t="inlineStr">
        <is>
          <t>Android 15</t>
        </is>
      </c>
      <c r="P828" s="43" t="n">
        <v>31</v>
      </c>
      <c r="Q828" s="46" t="n">
        <v>271</v>
      </c>
      <c r="R828" s="43" t="inlineStr">
        <is>
          <t>Lighter than Coeus Crest X Rugged Smartphone [COE-075-03] (271 g vs 292 g); Longer battery than Dike Wave X Rugged Smartphone [DIK-099-03] (31 vs 30 hrs)</t>
        </is>
      </c>
      <c r="S828" s="43" t="inlineStr">
        <is>
          <t>outdoor, construction, fieldwork</t>
        </is>
      </c>
      <c r="T828" s="0" t="inlineStr">
        <is>
          <t>in_stock</t>
        </is>
      </c>
      <c r="U828" s="0" t="n">
        <v>45</v>
      </c>
      <c r="V828" s="52" t="n">
        <v>719.99</v>
      </c>
      <c r="W828" s="0" t="inlineStr">
        <is>
          <t>2026-08-17</t>
        </is>
      </c>
      <c r="X828" s="0" t="inlineStr">
        <is>
          <t>N/A</t>
        </is>
      </c>
      <c r="Y828" s="0" t="inlineStr">
        <is>
          <t>N/A</t>
        </is>
      </c>
      <c r="Z828" s="0" t="inlineStr">
        <is>
          <t>N/A</t>
        </is>
      </c>
      <c r="AA828" s="0" t="inlineStr">
        <is>
          <t>N/A</t>
        </is>
      </c>
    </row>
    <row r="829" ht="15.75" customHeight="1" s="51">
      <c r="A829" s="43" t="inlineStr">
        <is>
          <t>ALP-082-07</t>
        </is>
      </c>
      <c r="B829" s="43" t="inlineStr">
        <is>
          <t>Alpheus</t>
        </is>
      </c>
      <c r="C829" s="43" t="inlineStr">
        <is>
          <t>Smartphones &amp; Tablets</t>
        </is>
      </c>
      <c r="D829" s="43" t="inlineStr">
        <is>
          <t>Tablet</t>
        </is>
      </c>
      <c r="E829" s="44" t="inlineStr">
        <is>
          <t>Alpheus Halo Ultra 11" Tablet</t>
        </is>
      </c>
      <c r="F829" s="45" t="n">
        <v>780.99</v>
      </c>
      <c r="G829" s="43" t="inlineStr">
        <is>
          <t>the Halo Ultra; Alpheus Halo Ultra; Allpheus Halo Ultra; Halo Ultra tablet</t>
        </is>
      </c>
      <c r="H829" s="43" t="inlineStr">
        <is>
          <t>2 year limited</t>
        </is>
      </c>
      <c r="I829" s="43" t="inlineStr">
        <is>
          <t>FCC, CE, Energy Star</t>
        </is>
      </c>
      <c r="J829" s="43" t="inlineStr">
        <is>
          <t>MediaTek Dimensity 8300</t>
        </is>
      </c>
      <c r="K829" s="43" t="inlineStr">
        <is>
          <t>Arm Mali-G615 MC6</t>
        </is>
      </c>
      <c r="L829" s="43" t="inlineStr">
        <is>
          <t>OLED, 120Hz</t>
        </is>
      </c>
      <c r="M829" s="43" t="inlineStr">
        <is>
          <t>1752x2800</t>
        </is>
      </c>
      <c r="N829" s="43" t="inlineStr">
        <is>
          <t>USB-C (USB 3.2), microSD slot</t>
        </is>
      </c>
      <c r="O829" s="43" t="inlineStr">
        <is>
          <t>Android 15</t>
        </is>
      </c>
      <c r="P829" s="43" t="n">
        <v>11</v>
      </c>
      <c r="Q829" s="46" t="n">
        <v>465</v>
      </c>
      <c r="R829" s="43" t="inlineStr">
        <is>
          <t>Longer battery than Panacea Aria Pro 11" Tablet [PAN-069-06] (11 vs 10 hrs); Lighter than Epimetheus Nova 11" Tablet [EPI-091-04] (465 g vs 483 g)</t>
        </is>
      </c>
      <c r="S829" s="43" t="inlineStr">
        <is>
          <t>school, streaming, reading</t>
        </is>
      </c>
      <c r="T829" s="0" t="inlineStr">
        <is>
          <t>in_stock</t>
        </is>
      </c>
      <c r="U829" s="0" t="n">
        <v>45</v>
      </c>
      <c r="V829" s="52" t="n">
        <v>883.99</v>
      </c>
      <c r="W829" s="0" t="inlineStr">
        <is>
          <t>2026-09-05</t>
        </is>
      </c>
      <c r="X829" s="0" t="inlineStr">
        <is>
          <t>N/A</t>
        </is>
      </c>
      <c r="Y829" s="0" t="inlineStr">
        <is>
          <t>N/A</t>
        </is>
      </c>
      <c r="Z829" s="0" t="inlineStr">
        <is>
          <t>N/A</t>
        </is>
      </c>
      <c r="AA829" s="0" t="inlineStr">
        <is>
          <t>N/A</t>
        </is>
      </c>
    </row>
    <row r="830" ht="15.75" customHeight="1" s="51">
      <c r="A830" s="43" t="inlineStr">
        <is>
          <t>ALP-082-08</t>
        </is>
      </c>
      <c r="B830" s="43" t="inlineStr">
        <is>
          <t>Alpheus</t>
        </is>
      </c>
      <c r="C830" s="43" t="inlineStr">
        <is>
          <t>Smartphones &amp; Tablets</t>
        </is>
      </c>
      <c r="D830" s="43" t="inlineStr">
        <is>
          <t>Smartphone</t>
        </is>
      </c>
      <c r="E830" s="44" t="inlineStr">
        <is>
          <t>Alpheus Flux Air Compact Smartphone</t>
        </is>
      </c>
      <c r="F830" s="45" t="n">
        <v>793.99</v>
      </c>
      <c r="G830" s="43" t="inlineStr">
        <is>
          <t>the Flux Air; Alpheus Flux Air; Allpheus Flux Air; Flux Air smartphone</t>
        </is>
      </c>
      <c r="H830" s="43" t="inlineStr">
        <is>
          <t>2 year limited</t>
        </is>
      </c>
      <c r="I830" s="43" t="inlineStr">
        <is>
          <t>FCC, CE, IP68</t>
        </is>
      </c>
      <c r="J830" s="43" t="inlineStr">
        <is>
          <t>MediaTek Dimensity 8300</t>
        </is>
      </c>
      <c r="K830" s="43" t="inlineStr">
        <is>
          <t>Arm Mali-G615 MC6</t>
        </is>
      </c>
      <c r="L830" s="43" t="inlineStr">
        <is>
          <t>AMOLED, 120Hz</t>
        </is>
      </c>
      <c r="M830" s="43" t="inlineStr">
        <is>
          <t>1080x2340</t>
        </is>
      </c>
      <c r="N830" s="43" t="inlineStr">
        <is>
          <t>USB-C (USB 3.2), nano-SIM + eSIM</t>
        </is>
      </c>
      <c r="O830" s="43" t="inlineStr">
        <is>
          <t>Android 15</t>
        </is>
      </c>
      <c r="P830" s="43" t="n">
        <v>19</v>
      </c>
      <c r="Q830" s="46" t="n">
        <v>169</v>
      </c>
      <c r="R830" s="43" t="inlineStr">
        <is>
          <t>Lower price than Peitho Vibe X Compact Smartphone [PEI-083-06] ($793.99 vs $803.99); Longer battery than Phobos Lumen SE Compact Smartphone [PHO-053-05] (19 vs 18 hrs)</t>
        </is>
      </c>
      <c r="S830" s="43" t="inlineStr">
        <is>
          <t>everyday, one-handed use</t>
        </is>
      </c>
      <c r="T830" s="0" t="inlineStr">
        <is>
          <t>in_stock</t>
        </is>
      </c>
      <c r="U830" s="0" t="n">
        <v>45</v>
      </c>
      <c r="V830" s="52" t="n">
        <v>894.99</v>
      </c>
      <c r="W830" s="0" t="inlineStr">
        <is>
          <t>2026-09-17</t>
        </is>
      </c>
      <c r="X830" s="0" t="inlineStr">
        <is>
          <t>N/A</t>
        </is>
      </c>
      <c r="Y830" s="0" t="inlineStr">
        <is>
          <t>N/A</t>
        </is>
      </c>
      <c r="Z830" s="0" t="inlineStr">
        <is>
          <t>N/A</t>
        </is>
      </c>
      <c r="AA830" s="0" t="inlineStr">
        <is>
          <t>N/A</t>
        </is>
      </c>
    </row>
    <row r="831" ht="15.75" customHeight="1" s="51">
      <c r="A831" s="43" t="inlineStr">
        <is>
          <t>ALP-082-09</t>
        </is>
      </c>
      <c r="B831" s="43" t="inlineStr">
        <is>
          <t>Alpheus</t>
        </is>
      </c>
      <c r="C831" s="43" t="inlineStr">
        <is>
          <t>Smartphones &amp; Tablets</t>
        </is>
      </c>
      <c r="D831" s="43" t="inlineStr">
        <is>
          <t>Smartphone</t>
        </is>
      </c>
      <c r="E831" s="44" t="inlineStr">
        <is>
          <t>Alpheus Drift Plus Flagship Smartphone</t>
        </is>
      </c>
      <c r="F831" s="45" t="n">
        <v>1068.99</v>
      </c>
      <c r="G831" s="43" t="inlineStr">
        <is>
          <t>the Drift Plus; Alpheus Drift Plus; Alfeus Drift Plus; Drift Plus smartphone</t>
        </is>
      </c>
      <c r="H831" s="43" t="inlineStr">
        <is>
          <t>1 year limited</t>
        </is>
      </c>
      <c r="I831" s="43" t="inlineStr">
        <is>
          <t>FCC, CE, IP68, Qi2</t>
        </is>
      </c>
      <c r="J831" s="43" t="inlineStr">
        <is>
          <t>MediaTek Dimensity 9400</t>
        </is>
      </c>
      <c r="K831" s="43" t="inlineStr">
        <is>
          <t>Arm Immortalis-G925</t>
        </is>
      </c>
      <c r="L831" s="43" t="inlineStr">
        <is>
          <t>LTPO AMOLED, 1-120Hz</t>
        </is>
      </c>
      <c r="M831" s="43" t="inlineStr">
        <is>
          <t>1440x3120</t>
        </is>
      </c>
      <c r="N831" s="43" t="inlineStr">
        <is>
          <t>USB-C (USB 3.2), nano-SIM + eSIM</t>
        </is>
      </c>
      <c r="O831" s="43" t="inlineStr">
        <is>
          <t>Android 15</t>
        </is>
      </c>
      <c r="P831" s="43" t="n">
        <v>25</v>
      </c>
      <c r="Q831" s="46" t="n">
        <v>185</v>
      </c>
      <c r="R831" s="43" t="inlineStr">
        <is>
          <t>Lower price than Proteus Volt Max Flagship Smartphone [PRO-070-07] ($1,068.99 vs $1,130.99); Longer battery than Aglaea Vertex SE Flagship Smartphone [AGL-079-09] (25 vs 22 hrs)</t>
        </is>
      </c>
      <c r="S831" s="43" t="inlineStr">
        <is>
          <t>photography, everyday, business</t>
        </is>
      </c>
      <c r="T831" s="0" t="inlineStr">
        <is>
          <t>in_stock</t>
        </is>
      </c>
      <c r="U831" s="0" t="n">
        <v>45</v>
      </c>
      <c r="V831" s="52" t="n">
        <v>1112.99</v>
      </c>
      <c r="W831" s="0" t="inlineStr">
        <is>
          <t>2026-08-26</t>
        </is>
      </c>
      <c r="X831" s="0" t="inlineStr">
        <is>
          <t>N/A</t>
        </is>
      </c>
      <c r="Y831" s="0" t="inlineStr">
        <is>
          <t>N/A</t>
        </is>
      </c>
      <c r="Z831" s="0" t="inlineStr">
        <is>
          <t>N/A</t>
        </is>
      </c>
      <c r="AA831" s="0" t="inlineStr">
        <is>
          <t>N/A</t>
        </is>
      </c>
    </row>
    <row r="832" ht="15.75" customHeight="1" s="51">
      <c r="A832" s="43" t="inlineStr">
        <is>
          <t>ALP-082-10</t>
        </is>
      </c>
      <c r="B832" s="43" t="inlineStr">
        <is>
          <t>Alpheus</t>
        </is>
      </c>
      <c r="C832" s="43" t="inlineStr">
        <is>
          <t>Smartphones &amp; Tablets</t>
        </is>
      </c>
      <c r="D832" s="43" t="inlineStr">
        <is>
          <t>Smartphone</t>
        </is>
      </c>
      <c r="E832" s="44" t="inlineStr">
        <is>
          <t>Alpheus Nimbus X Foldable Phone</t>
        </is>
      </c>
      <c r="F832" s="45" t="n">
        <v>1909.99</v>
      </c>
      <c r="G832" s="43" t="inlineStr">
        <is>
          <t>the Nimbus X; Alpheus Nimbus X; Alphues Nimbus X; Nimbus X smartphone</t>
        </is>
      </c>
      <c r="H832" s="43" t="inlineStr">
        <is>
          <t>1 year limited</t>
        </is>
      </c>
      <c r="I832" s="43" t="inlineStr">
        <is>
          <t>FCC, CE, IPX8</t>
        </is>
      </c>
      <c r="J832" s="43" t="inlineStr">
        <is>
          <t>Qualcomm Snapdragon 8 Elite</t>
        </is>
      </c>
      <c r="K832" s="43" t="inlineStr">
        <is>
          <t>Qualcomm Adreno 830</t>
        </is>
      </c>
      <c r="L832" s="43" t="inlineStr">
        <is>
          <t>Foldable LTPO AMOLED inner + AMOLED cover, 120Hz</t>
        </is>
      </c>
      <c r="M832" s="43" t="inlineStr">
        <is>
          <t>2160x1856 inner / 1080x2376 cover</t>
        </is>
      </c>
      <c r="N832" s="43" t="inlineStr">
        <is>
          <t>USB-C (USB 3.2), nano-SIM + eSIM</t>
        </is>
      </c>
      <c r="O832" s="43" t="inlineStr">
        <is>
          <t>Android 15</t>
        </is>
      </c>
      <c r="P832" s="43" t="n">
        <v>19</v>
      </c>
      <c r="Q832" s="46" t="n">
        <v>260</v>
      </c>
      <c r="R832" s="43" t="inlineStr">
        <is>
          <t>Longer battery than Phorcys Halo SE Foldable Phone [PHO-087-10] (19 vs 18 hrs); Lower price than Epimetheus Echo Pro Foldable Phone [EPI-091-10] ($1,909.99 vs $1,959.99)</t>
        </is>
      </c>
      <c r="S832" s="43" t="inlineStr">
        <is>
          <t>multitasking, business, media</t>
        </is>
      </c>
      <c r="T832" s="0" t="inlineStr">
        <is>
          <t>in_stock</t>
        </is>
      </c>
      <c r="U832" s="0" t="n">
        <v>45</v>
      </c>
      <c r="V832" s="52" t="n">
        <v>2191.99</v>
      </c>
      <c r="W832" s="0" t="inlineStr">
        <is>
          <t>2026-09-11</t>
        </is>
      </c>
      <c r="X832" s="0" t="inlineStr">
        <is>
          <t>N/A</t>
        </is>
      </c>
      <c r="Y832" s="0" t="inlineStr">
        <is>
          <t>N/A</t>
        </is>
      </c>
      <c r="Z832" s="0" t="inlineStr">
        <is>
          <t>N/A</t>
        </is>
      </c>
      <c r="AA832" s="0" t="inlineStr">
        <is>
          <t>N/A</t>
        </is>
      </c>
    </row>
    <row r="833" ht="15.75" customHeight="1" s="51">
      <c r="A833" s="43" t="inlineStr">
        <is>
          <t>PEI-083-01</t>
        </is>
      </c>
      <c r="B833" s="43" t="inlineStr">
        <is>
          <t>Peitho</t>
        </is>
      </c>
      <c r="C833" s="43" t="inlineStr">
        <is>
          <t>Smartphones &amp; Tablets</t>
        </is>
      </c>
      <c r="D833" s="43" t="inlineStr">
        <is>
          <t>Tablet</t>
        </is>
      </c>
      <c r="E833" s="44" t="inlineStr">
        <is>
          <t>Peitho Axis Lite Kids Tablet</t>
        </is>
      </c>
      <c r="F833" s="45" t="n">
        <v>125.99</v>
      </c>
      <c r="G833" s="43" t="inlineStr">
        <is>
          <t>the Axis Lite; Peitho Axis Lite; Pietho Axis Lite; Axis Lite tablet</t>
        </is>
      </c>
      <c r="H833" s="43" t="inlineStr">
        <is>
          <t>1 year limited</t>
        </is>
      </c>
      <c r="I833" s="43" t="inlineStr">
        <is>
          <t>FCC, CE, TUV Rheinland Low Blue Light, EN 71 Toy Safety</t>
        </is>
      </c>
      <c r="J833" s="43" t="inlineStr">
        <is>
          <t>MediaTek Helio G88</t>
        </is>
      </c>
      <c r="K833" s="43" t="inlineStr">
        <is>
          <t>Arm Mali-G52 MC2</t>
        </is>
      </c>
      <c r="L833" s="43" t="inlineStr">
        <is>
          <t>IPS LCD, 60Hz</t>
        </is>
      </c>
      <c r="M833" s="43" t="inlineStr">
        <is>
          <t>800x1280</t>
        </is>
      </c>
      <c r="N833" s="43" t="inlineStr">
        <is>
          <t>USB-C (USB 2.0), microSD slot</t>
        </is>
      </c>
      <c r="O833" s="43" t="inlineStr">
        <is>
          <t>Android 14 with parental controls</t>
        </is>
      </c>
      <c r="P833" s="43" t="n">
        <v>11</v>
      </c>
      <c r="Q833" s="46" t="n">
        <v>382</v>
      </c>
      <c r="R833" s="43" t="inlineStr">
        <is>
          <t>Longer battery than Eunomia Echo SE Kids Tablet [EUN-056-01] (11 vs 10 hrs); Lighter than Aletheia Pulse Plus Kids Tablet [ALE-089-01] (382 g vs 416 g)</t>
        </is>
      </c>
      <c r="S833" s="43" t="inlineStr">
        <is>
          <t>kids, learning, games</t>
        </is>
      </c>
      <c r="T833" s="0" t="inlineStr">
        <is>
          <t>in_stock</t>
        </is>
      </c>
      <c r="U833" s="0" t="n">
        <v>30</v>
      </c>
      <c r="V833" s="52" t="n">
        <v>134.99</v>
      </c>
      <c r="W833" s="0" t="inlineStr">
        <is>
          <t>2026-08-08</t>
        </is>
      </c>
      <c r="X833" s="0" t="inlineStr">
        <is>
          <t>N/A</t>
        </is>
      </c>
      <c r="Y833" s="0" t="inlineStr">
        <is>
          <t>N/A</t>
        </is>
      </c>
      <c r="Z833" s="0" t="inlineStr">
        <is>
          <t>N/A</t>
        </is>
      </c>
      <c r="AA833" s="0" t="inlineStr">
        <is>
          <t>N/A</t>
        </is>
      </c>
    </row>
    <row r="834" ht="15.75" customHeight="1" s="51">
      <c r="A834" s="43" t="inlineStr">
        <is>
          <t>PEI-083-02</t>
        </is>
      </c>
      <c r="B834" s="43" t="inlineStr">
        <is>
          <t>Peitho</t>
        </is>
      </c>
      <c r="C834" s="43" t="inlineStr">
        <is>
          <t>Smartphones &amp; Tablets</t>
        </is>
      </c>
      <c r="D834" s="43" t="inlineStr">
        <is>
          <t>Tablet</t>
        </is>
      </c>
      <c r="E834" s="44" t="inlineStr">
        <is>
          <t>Peitho Apex Lite 8" Mini Tablet</t>
        </is>
      </c>
      <c r="F834" s="45" t="n">
        <v>241.99</v>
      </c>
      <c r="G834" s="43" t="inlineStr">
        <is>
          <t>the Apex Lite; Peitho Apex Lite; Peito Apex Lite; Apex Lite tablet</t>
        </is>
      </c>
      <c r="H834" s="43" t="inlineStr">
        <is>
          <t>1 year limited</t>
        </is>
      </c>
      <c r="I834" s="43" t="inlineStr">
        <is>
          <t>FCC, CE, TUV Rheinland Low Blue Light</t>
        </is>
      </c>
      <c r="J834" s="43" t="inlineStr">
        <is>
          <t>MediaTek Helio G99</t>
        </is>
      </c>
      <c r="K834" s="43" t="inlineStr">
        <is>
          <t>Arm Mali-G57 MC2</t>
        </is>
      </c>
      <c r="L834" s="43" t="inlineStr">
        <is>
          <t>IPS LCD, 60Hz</t>
        </is>
      </c>
      <c r="M834" s="43" t="inlineStr">
        <is>
          <t>1200x1920</t>
        </is>
      </c>
      <c r="N834" s="43" t="inlineStr">
        <is>
          <t>USB-C (USB 2.0), microSD slot</t>
        </is>
      </c>
      <c r="O834" s="43" t="inlineStr">
        <is>
          <t>Android 15</t>
        </is>
      </c>
      <c r="P834" s="43" t="n">
        <v>11</v>
      </c>
      <c r="Q834" s="46" t="n">
        <v>312</v>
      </c>
      <c r="R834" s="43" t="inlineStr">
        <is>
          <t>Lower price than Erato Halo SE 8" Mini Tablet [ERA-085-01] ($241.99 vs $477.99); Lighter than Leto Flux Lite 8" Mini Tablet [LET-077-03] (312 g vs 325 g)</t>
        </is>
      </c>
      <c r="S834" s="43" t="inlineStr">
        <is>
          <t>reading, travel, gaming</t>
        </is>
      </c>
      <c r="T834" s="0" t="inlineStr">
        <is>
          <t>in_stock</t>
        </is>
      </c>
      <c r="U834" s="0" t="n">
        <v>30</v>
      </c>
      <c r="V834" s="52" t="n">
        <v>277.99</v>
      </c>
      <c r="W834" s="0" t="inlineStr">
        <is>
          <t>2026-09-02</t>
        </is>
      </c>
      <c r="X834" s="0" t="inlineStr">
        <is>
          <t>N/A</t>
        </is>
      </c>
      <c r="Y834" s="0" t="inlineStr">
        <is>
          <t>N/A</t>
        </is>
      </c>
      <c r="Z834" s="0" t="inlineStr">
        <is>
          <t>N/A</t>
        </is>
      </c>
      <c r="AA834" s="0" t="inlineStr">
        <is>
          <t>N/A</t>
        </is>
      </c>
    </row>
    <row r="835" ht="15.75" customHeight="1" s="51">
      <c r="A835" s="43" t="inlineStr">
        <is>
          <t>PEI-083-03</t>
        </is>
      </c>
      <c r="B835" s="43" t="inlineStr">
        <is>
          <t>Peitho</t>
        </is>
      </c>
      <c r="C835" s="43" t="inlineStr">
        <is>
          <t>Smartphones &amp; Tablets</t>
        </is>
      </c>
      <c r="D835" s="43" t="inlineStr">
        <is>
          <t>Tablet</t>
        </is>
      </c>
      <c r="E835" s="44" t="inlineStr">
        <is>
          <t>Peitho Drift Air E-Ink Note Tablet</t>
        </is>
      </c>
      <c r="F835" s="45" t="n">
        <v>497.99</v>
      </c>
      <c r="G835" s="43" t="inlineStr">
        <is>
          <t>the Drift Air; Peitho Drift Air; Petiho Drift Air; Drift Air tablet</t>
        </is>
      </c>
      <c r="H835" s="43" t="inlineStr">
        <is>
          <t>1 year limited</t>
        </is>
      </c>
      <c r="I835" s="43" t="inlineStr">
        <is>
          <t>FCC, CE, TUV Rheinland Low Blue Light, Energy Star</t>
        </is>
      </c>
      <c r="J835" s="43" t="inlineStr">
        <is>
          <t>Rockchip RK3566</t>
        </is>
      </c>
      <c r="K835" s="43" t="inlineStr">
        <is>
          <t>Arm Mali-G52 2EE</t>
        </is>
      </c>
      <c r="L835" s="43" t="inlineStr">
        <is>
          <t>E Ink Carta 1300, front-lit</t>
        </is>
      </c>
      <c r="M835" s="43" t="inlineStr">
        <is>
          <t>1404x1872</t>
        </is>
      </c>
      <c r="N835" s="43" t="inlineStr">
        <is>
          <t>USB-C (USB 2.0), microSD slot</t>
        </is>
      </c>
      <c r="O835" s="43" t="inlineStr">
        <is>
          <t>Android 13 (E Ink optimized)</t>
        </is>
      </c>
      <c r="P835" s="43" t="n">
        <v>131</v>
      </c>
      <c r="Q835" s="46" t="n">
        <v>414</v>
      </c>
      <c r="R835" s="43" t="inlineStr">
        <is>
          <t>Lower price than Pothos Aria SE E-Ink Note Tablet [POT-072-03] ($497.99 vs $505.99); Lighter than Panacea Strata E-Ink Note Tablet [PAN-069-02] (414 g vs 418 g)</t>
        </is>
      </c>
      <c r="S835" s="43" t="inlineStr">
        <is>
          <t>reading, note-taking, school</t>
        </is>
      </c>
      <c r="T835" s="0" t="inlineStr">
        <is>
          <t>in_stock</t>
        </is>
      </c>
      <c r="U835" s="0" t="n">
        <v>30</v>
      </c>
      <c r="V835" s="52" t="n">
        <v>525.99</v>
      </c>
      <c r="W835" s="0" t="inlineStr">
        <is>
          <t>2026-08-28</t>
        </is>
      </c>
      <c r="X835" s="0" t="inlineStr">
        <is>
          <t>N/A</t>
        </is>
      </c>
      <c r="Y835" s="0" t="inlineStr">
        <is>
          <t>N/A</t>
        </is>
      </c>
      <c r="Z835" s="0" t="inlineStr">
        <is>
          <t>N/A</t>
        </is>
      </c>
      <c r="AA835" s="0" t="inlineStr">
        <is>
          <t>N/A</t>
        </is>
      </c>
    </row>
    <row r="836" ht="15.75" customHeight="1" s="51">
      <c r="A836" s="43" t="inlineStr">
        <is>
          <t>PEI-083-04</t>
        </is>
      </c>
      <c r="B836" s="43" t="inlineStr">
        <is>
          <t>Peitho</t>
        </is>
      </c>
      <c r="C836" s="43" t="inlineStr">
        <is>
          <t>Smartphones &amp; Tablets</t>
        </is>
      </c>
      <c r="D836" s="43" t="inlineStr">
        <is>
          <t>Tablet</t>
        </is>
      </c>
      <c r="E836" s="44" t="inlineStr">
        <is>
          <t>Peitho Nimbus SE 11" Tablet</t>
        </is>
      </c>
      <c r="F836" s="45" t="n">
        <v>589.99</v>
      </c>
      <c r="G836" s="43" t="inlineStr">
        <is>
          <t>the Nimbus SE; Peitho Nimbus SE; Peito Nimbus SE; Nimbus SE tablet</t>
        </is>
      </c>
      <c r="H836" s="43" t="inlineStr">
        <is>
          <t>1 year limited</t>
        </is>
      </c>
      <c r="I836" s="43" t="inlineStr">
        <is>
          <t>FCC, CE, Energy Star</t>
        </is>
      </c>
      <c r="J836" s="43" t="inlineStr">
        <is>
          <t>Qualcomm Snapdragon 7+ Gen 3</t>
        </is>
      </c>
      <c r="K836" s="43" t="inlineStr">
        <is>
          <t>Qualcomm Adreno 732</t>
        </is>
      </c>
      <c r="L836" s="43" t="inlineStr">
        <is>
          <t>OLED, 120Hz</t>
        </is>
      </c>
      <c r="M836" s="43" t="inlineStr">
        <is>
          <t>1752x2800</t>
        </is>
      </c>
      <c r="N836" s="43" t="inlineStr">
        <is>
          <t>USB-C (USB 2.0), microSD slot</t>
        </is>
      </c>
      <c r="O836" s="43" t="inlineStr">
        <is>
          <t>Android 15</t>
        </is>
      </c>
      <c r="P836" s="43" t="n">
        <v>11</v>
      </c>
      <c r="Q836" s="46" t="n">
        <v>510</v>
      </c>
      <c r="R836" s="43" t="inlineStr">
        <is>
          <t>Lower price than Phorcys Aeon Plus 11" Tablet [PHO-087-05] ($589.99 vs $702.99); Longer battery than Athena Orbit Pro 11" Tablet [ATH-064-07] (11 vs 10 hrs)</t>
        </is>
      </c>
      <c r="S836" s="43" t="inlineStr">
        <is>
          <t>school, streaming, reading</t>
        </is>
      </c>
      <c r="T836" s="0" t="inlineStr">
        <is>
          <t>in_stock</t>
        </is>
      </c>
      <c r="U836" s="0" t="n">
        <v>30</v>
      </c>
      <c r="V836" s="52" t="n">
        <v>608.99</v>
      </c>
      <c r="W836" s="0" t="inlineStr">
        <is>
          <t>2026-08-09</t>
        </is>
      </c>
      <c r="X836" s="0" t="inlineStr">
        <is>
          <t>N/A</t>
        </is>
      </c>
      <c r="Y836" s="0" t="inlineStr">
        <is>
          <t>N/A</t>
        </is>
      </c>
      <c r="Z836" s="0" t="inlineStr">
        <is>
          <t>N/A</t>
        </is>
      </c>
      <c r="AA836" s="0" t="inlineStr">
        <is>
          <t>N/A</t>
        </is>
      </c>
    </row>
    <row r="837" ht="15.75" customHeight="1" s="51">
      <c r="A837" s="43" t="inlineStr">
        <is>
          <t>PEI-083-05</t>
        </is>
      </c>
      <c r="B837" s="43" t="inlineStr">
        <is>
          <t>Peitho</t>
        </is>
      </c>
      <c r="C837" s="43" t="inlineStr">
        <is>
          <t>Smartphones &amp; Tablets</t>
        </is>
      </c>
      <c r="D837" s="43" t="inlineStr">
        <is>
          <t>Smartphone</t>
        </is>
      </c>
      <c r="E837" s="44" t="inlineStr">
        <is>
          <t>Peitho Crest X Rugged Smartphone</t>
        </is>
      </c>
      <c r="F837" s="45" t="n">
        <v>768.99</v>
      </c>
      <c r="G837" s="43" t="inlineStr">
        <is>
          <t>the Crest X; Peitho Crest X; Peith Crest X; Crest X smartphone</t>
        </is>
      </c>
      <c r="H837" s="43" t="inlineStr">
        <is>
          <t>2 year limited</t>
        </is>
      </c>
      <c r="I837" s="43" t="inlineStr">
        <is>
          <t>FCC, CE, IP69K, MIL-STD-810H</t>
        </is>
      </c>
      <c r="J837" s="43" t="inlineStr">
        <is>
          <t>MediaTek Dimensity 8300</t>
        </is>
      </c>
      <c r="K837" s="43" t="inlineStr">
        <is>
          <t>Arm Mali-G615 MC6</t>
        </is>
      </c>
      <c r="L837" s="43" t="inlineStr">
        <is>
          <t>IPS LCD, Gorilla Glass Victus, 120Hz</t>
        </is>
      </c>
      <c r="M837" s="43" t="inlineStr">
        <is>
          <t>1080x2400</t>
        </is>
      </c>
      <c r="N837" s="43" t="inlineStr">
        <is>
          <t>USB-C (USB 3.2), nano-SIM + eSIM, 3.5mm headphone jack, microSD slot</t>
        </is>
      </c>
      <c r="O837" s="43" t="inlineStr">
        <is>
          <t>Android 15</t>
        </is>
      </c>
      <c r="P837" s="43" t="n">
        <v>37</v>
      </c>
      <c r="Q837" s="46" t="n">
        <v>285</v>
      </c>
      <c r="R837" s="43" t="inlineStr">
        <is>
          <t>Longer battery than Eupheme Pulse Pro Rugged Smartphone [EUP-084-07] (37 vs 36 hrs); Lighter than Thetis Sable Max Rugged Smartphone [THE-093-03] (285 g vs 335 g)</t>
        </is>
      </c>
      <c r="S837" s="43" t="inlineStr">
        <is>
          <t>outdoor, construction, fieldwork</t>
        </is>
      </c>
      <c r="T837" s="0" t="inlineStr">
        <is>
          <t>in_stock</t>
        </is>
      </c>
      <c r="U837" s="0" t="n">
        <v>30</v>
      </c>
      <c r="V837" s="52" t="n">
        <v>810.99</v>
      </c>
      <c r="W837" s="0" t="inlineStr">
        <is>
          <t>2026-08-29</t>
        </is>
      </c>
      <c r="X837" s="0" t="inlineStr">
        <is>
          <t>N/A</t>
        </is>
      </c>
      <c r="Y837" s="0" t="inlineStr">
        <is>
          <t>N/A</t>
        </is>
      </c>
      <c r="Z837" s="0" t="inlineStr">
        <is>
          <t>N/A</t>
        </is>
      </c>
      <c r="AA837" s="0" t="inlineStr">
        <is>
          <t>N/A</t>
        </is>
      </c>
    </row>
    <row r="838" ht="15.75" customHeight="1" s="51">
      <c r="A838" s="43" t="inlineStr">
        <is>
          <t>PEI-083-06</t>
        </is>
      </c>
      <c r="B838" s="43" t="inlineStr">
        <is>
          <t>Peitho</t>
        </is>
      </c>
      <c r="C838" s="43" t="inlineStr">
        <is>
          <t>Smartphones &amp; Tablets</t>
        </is>
      </c>
      <c r="D838" s="43" t="inlineStr">
        <is>
          <t>Smartphone</t>
        </is>
      </c>
      <c r="E838" s="44" t="inlineStr">
        <is>
          <t>Peitho Vibe X Compact Smartphone</t>
        </is>
      </c>
      <c r="F838" s="45" t="n">
        <v>803.99</v>
      </c>
      <c r="G838" s="43" t="inlineStr">
        <is>
          <t>the Vibe X; Peitho Vibe X; Pietho Vibe X; Vibe X smartphone</t>
        </is>
      </c>
      <c r="H838" s="43" t="inlineStr">
        <is>
          <t>2 year limited</t>
        </is>
      </c>
      <c r="I838" s="43" t="inlineStr">
        <is>
          <t>FCC, CE, IP68</t>
        </is>
      </c>
      <c r="J838" s="43" t="inlineStr">
        <is>
          <t>Qualcomm Snapdragon 8 Gen 3</t>
        </is>
      </c>
      <c r="K838" s="43" t="inlineStr">
        <is>
          <t>Qualcomm Adreno 750</t>
        </is>
      </c>
      <c r="L838" s="43" t="inlineStr">
        <is>
          <t>AMOLED, 120Hz</t>
        </is>
      </c>
      <c r="M838" s="43" t="inlineStr">
        <is>
          <t>1080x2340</t>
        </is>
      </c>
      <c r="N838" s="43" t="inlineStr">
        <is>
          <t>USB-C (USB 3.2), nano-SIM + eSIM</t>
        </is>
      </c>
      <c r="O838" s="43" t="inlineStr">
        <is>
          <t>Android 15</t>
        </is>
      </c>
      <c r="P838" s="43" t="n">
        <v>21</v>
      </c>
      <c r="Q838" s="46" t="n">
        <v>156</v>
      </c>
      <c r="R838" s="43" t="inlineStr">
        <is>
          <t>Longer battery than Hypnos Core Air Compact Smartphone [HYP-059-06] (21 vs 18 hrs); Lighter than Hephaestus Vertex Ultra Compact Smartphone [HEP-076-05] (156 g vs 159 g)</t>
        </is>
      </c>
      <c r="S838" s="43" t="inlineStr">
        <is>
          <t>everyday, one-handed use</t>
        </is>
      </c>
      <c r="T838" s="0" t="inlineStr">
        <is>
          <t>in_stock</t>
        </is>
      </c>
      <c r="U838" s="0" t="n">
        <v>30</v>
      </c>
      <c r="V838" s="52" t="n">
        <v>854.99</v>
      </c>
      <c r="W838" s="0" t="inlineStr">
        <is>
          <t>2026-09-12</t>
        </is>
      </c>
      <c r="X838" s="0" t="inlineStr">
        <is>
          <t>N/A</t>
        </is>
      </c>
      <c r="Y838" s="0" t="inlineStr">
        <is>
          <t>N/A</t>
        </is>
      </c>
      <c r="Z838" s="0" t="inlineStr">
        <is>
          <t>N/A</t>
        </is>
      </c>
      <c r="AA838" s="0" t="inlineStr">
        <is>
          <t>N/A</t>
        </is>
      </c>
    </row>
    <row r="839" ht="15.75" customHeight="1" s="51">
      <c r="A839" s="43" t="inlineStr">
        <is>
          <t>PEI-083-07</t>
        </is>
      </c>
      <c r="B839" s="43" t="inlineStr">
        <is>
          <t>Peitho</t>
        </is>
      </c>
      <c r="C839" s="43" t="inlineStr">
        <is>
          <t>Smartphones &amp; Tablets</t>
        </is>
      </c>
      <c r="D839" s="43" t="inlineStr">
        <is>
          <t>Tablet</t>
        </is>
      </c>
      <c r="E839" s="44" t="inlineStr">
        <is>
          <t>Peitho Vertex Lite 5G Tablet</t>
        </is>
      </c>
      <c r="F839" s="45" t="n">
        <v>890.99</v>
      </c>
      <c r="G839" s="43" t="inlineStr">
        <is>
          <t>the Vertex Lite; Peitho Vertex Lite; Peithho Vertex Lite; Vertex Lite tablet</t>
        </is>
      </c>
      <c r="H839" s="43" t="inlineStr">
        <is>
          <t>1 year limited</t>
        </is>
      </c>
      <c r="I839" s="43" t="inlineStr">
        <is>
          <t>FCC, CE, Energy Star</t>
        </is>
      </c>
      <c r="J839" s="43" t="inlineStr">
        <is>
          <t>Qualcomm Snapdragon 8 Gen 3</t>
        </is>
      </c>
      <c r="K839" s="43" t="inlineStr">
        <is>
          <t>Qualcomm Adreno 750</t>
        </is>
      </c>
      <c r="L839" s="43" t="inlineStr">
        <is>
          <t>OLED, 120Hz</t>
        </is>
      </c>
      <c r="M839" s="43" t="inlineStr">
        <is>
          <t>1752x2800</t>
        </is>
      </c>
      <c r="N839" s="43" t="inlineStr">
        <is>
          <t>USB-C (USB 3.2), microSD slot, nano-SIM + eSIM</t>
        </is>
      </c>
      <c r="O839" s="43" t="inlineStr">
        <is>
          <t>Android 15</t>
        </is>
      </c>
      <c r="P839" s="43" t="n">
        <v>11</v>
      </c>
      <c r="Q839" s="46" t="n">
        <v>528</v>
      </c>
      <c r="R839" s="43" t="inlineStr">
        <is>
          <t>Lower price than Tyche Aeon Pro 5G Tablet [TYC-055-06] ($890.99 vs $1,015.99); Lighter than Theia Nova Max 5G Tablet [THE-081-06] (528 g vs 541 g)</t>
        </is>
      </c>
      <c r="S839" s="43" t="inlineStr">
        <is>
          <t>travel, streaming, work on the go</t>
        </is>
      </c>
      <c r="T839" s="0" t="inlineStr">
        <is>
          <t>in_stock</t>
        </is>
      </c>
      <c r="U839" s="0" t="n">
        <v>30</v>
      </c>
      <c r="V839" s="52" t="n">
        <v>1001.99</v>
      </c>
      <c r="W839" s="0" t="inlineStr">
        <is>
          <t>2026-09-16</t>
        </is>
      </c>
      <c r="X839" s="0" t="inlineStr">
        <is>
          <t>N/A</t>
        </is>
      </c>
      <c r="Y839" s="0" t="inlineStr">
        <is>
          <t>N/A</t>
        </is>
      </c>
      <c r="Z839" s="0" t="inlineStr">
        <is>
          <t>N/A</t>
        </is>
      </c>
      <c r="AA839" s="0" t="inlineStr">
        <is>
          <t>N/A</t>
        </is>
      </c>
    </row>
    <row r="840" ht="15.75" customHeight="1" s="51">
      <c r="A840" s="43" t="inlineStr">
        <is>
          <t>PEI-083-08</t>
        </is>
      </c>
      <c r="B840" s="43" t="inlineStr">
        <is>
          <t>Peitho</t>
        </is>
      </c>
      <c r="C840" s="43" t="inlineStr">
        <is>
          <t>Smartphones &amp; Tablets</t>
        </is>
      </c>
      <c r="D840" s="43" t="inlineStr">
        <is>
          <t>Smartphone</t>
        </is>
      </c>
      <c r="E840" s="44" t="inlineStr">
        <is>
          <t>Peitho Flux Lite Flip Foldable Phone</t>
        </is>
      </c>
      <c r="F840" s="45" t="n">
        <v>954.99</v>
      </c>
      <c r="G840" s="43" t="inlineStr">
        <is>
          <t>the Flux Lite; Peitho Flux Lite; Peeitho Flux Lite; Flux Lite smartphone</t>
        </is>
      </c>
      <c r="H840" s="43" t="inlineStr">
        <is>
          <t>1 year limited</t>
        </is>
      </c>
      <c r="I840" s="43" t="inlineStr">
        <is>
          <t>FCC, CE, IPX8</t>
        </is>
      </c>
      <c r="J840" s="43" t="inlineStr">
        <is>
          <t>Qualcomm Snapdragon 8 Gen 3</t>
        </is>
      </c>
      <c r="K840" s="43" t="inlineStr">
        <is>
          <t>Qualcomm Adreno 750</t>
        </is>
      </c>
      <c r="L840" s="43" t="inlineStr">
        <is>
          <t>Foldable AMOLED inner + AMOLED cover screen</t>
        </is>
      </c>
      <c r="M840" s="43" t="inlineStr">
        <is>
          <t>1080x2640 inner / 720x748 cover</t>
        </is>
      </c>
      <c r="N840" s="43" t="inlineStr">
        <is>
          <t>USB-C (USB 3.2), nano-SIM + eSIM</t>
        </is>
      </c>
      <c r="O840" s="43" t="inlineStr">
        <is>
          <t>Android 15</t>
        </is>
      </c>
      <c r="P840" s="43" t="n">
        <v>18</v>
      </c>
      <c r="Q840" s="46" t="n">
        <v>192</v>
      </c>
      <c r="R840" s="43" t="inlineStr">
        <is>
          <t>Lighter than Epimetheus Wave Ultra Flip Foldable Phone [EPI-091-08] (192 g vs 198 g); Longer battery than Proteus Zen Max Flip Foldable Phone [PRO-070-06] (18 vs 16 hrs)</t>
        </is>
      </c>
      <c r="S840" s="43" t="inlineStr">
        <is>
          <t>style, everyday, compact</t>
        </is>
      </c>
      <c r="T840" s="0" t="inlineStr">
        <is>
          <t>in_stock</t>
        </is>
      </c>
      <c r="U840" s="0" t="n">
        <v>30</v>
      </c>
      <c r="V840" s="52" t="n">
        <v>1034.99</v>
      </c>
      <c r="W840" s="0" t="inlineStr">
        <is>
          <t>2026-08-26</t>
        </is>
      </c>
      <c r="X840" s="0" t="inlineStr">
        <is>
          <t>N/A</t>
        </is>
      </c>
      <c r="Y840" s="0" t="inlineStr">
        <is>
          <t>N/A</t>
        </is>
      </c>
      <c r="Z840" s="0" t="inlineStr">
        <is>
          <t>N/A</t>
        </is>
      </c>
      <c r="AA840" s="0" t="inlineStr">
        <is>
          <t>N/A</t>
        </is>
      </c>
    </row>
    <row r="841" ht="15.75" customHeight="1" s="51">
      <c r="A841" s="43" t="inlineStr">
        <is>
          <t>PEI-083-09</t>
        </is>
      </c>
      <c r="B841" s="43" t="inlineStr">
        <is>
          <t>Peitho</t>
        </is>
      </c>
      <c r="C841" s="43" t="inlineStr">
        <is>
          <t>Smartphones &amp; Tablets</t>
        </is>
      </c>
      <c r="D841" s="43" t="inlineStr">
        <is>
          <t>Smartphone</t>
        </is>
      </c>
      <c r="E841" s="44" t="inlineStr">
        <is>
          <t>Peitho Flux Pro Pro Max Smartphone</t>
        </is>
      </c>
      <c r="F841" s="45" t="n">
        <v>1258.99</v>
      </c>
      <c r="G841" s="43" t="inlineStr">
        <is>
          <t>the Flux Pro; Peitho Flux Pro; Peittho Flux Pro; Flux Pro smartphone</t>
        </is>
      </c>
      <c r="H841" s="43" t="inlineStr">
        <is>
          <t>1 year limited</t>
        </is>
      </c>
      <c r="I841" s="43" t="inlineStr">
        <is>
          <t>FCC, CE, IP68, Qi2</t>
        </is>
      </c>
      <c r="J841" s="43" t="inlineStr">
        <is>
          <t>MediaTek Dimensity 9400</t>
        </is>
      </c>
      <c r="K841" s="43" t="inlineStr">
        <is>
          <t>Arm Immortalis-G925</t>
        </is>
      </c>
      <c r="L841" s="43" t="inlineStr">
        <is>
          <t>LTPO AMOLED, 1-120Hz</t>
        </is>
      </c>
      <c r="M841" s="43" t="inlineStr">
        <is>
          <t>1440x3120</t>
        </is>
      </c>
      <c r="N841" s="43" t="inlineStr">
        <is>
          <t>USB-C (USB 3.2), nano-SIM + eSIM</t>
        </is>
      </c>
      <c r="O841" s="43" t="inlineStr">
        <is>
          <t>Android 15</t>
        </is>
      </c>
      <c r="P841" s="43" t="n">
        <v>29</v>
      </c>
      <c r="Q841" s="46" t="n">
        <v>223</v>
      </c>
      <c r="R841" s="43" t="inlineStr">
        <is>
          <t>Lower price than Dike Lumen Max Pro Max Smartphone [DIK-099-10] ($1,258.99 vs $1,396.99); Lighter than Paean Vertex Lite Pro Max Smartphone [PAE-066-10] (223 g vs 225 g)</t>
        </is>
      </c>
      <c r="S841" s="43" t="inlineStr">
        <is>
          <t>photography, video, mobile gaming</t>
        </is>
      </c>
      <c r="T841" s="0" t="inlineStr">
        <is>
          <t>in_stock</t>
        </is>
      </c>
      <c r="U841" s="0" t="n">
        <v>30</v>
      </c>
      <c r="V841" s="52" t="n">
        <v>1351.99</v>
      </c>
      <c r="W841" s="0" t="inlineStr">
        <is>
          <t>2026-09-21</t>
        </is>
      </c>
      <c r="X841" s="0" t="inlineStr">
        <is>
          <t>N/A</t>
        </is>
      </c>
      <c r="Y841" s="0" t="inlineStr">
        <is>
          <t>N/A</t>
        </is>
      </c>
      <c r="Z841" s="0" t="inlineStr">
        <is>
          <t>N/A</t>
        </is>
      </c>
      <c r="AA841" s="0" t="inlineStr">
        <is>
          <t>N/A</t>
        </is>
      </c>
    </row>
    <row r="842" ht="15.75" customHeight="1" s="51">
      <c r="A842" s="43" t="inlineStr">
        <is>
          <t>PEI-083-10</t>
        </is>
      </c>
      <c r="B842" s="43" t="inlineStr">
        <is>
          <t>Peitho</t>
        </is>
      </c>
      <c r="C842" s="43" t="inlineStr">
        <is>
          <t>Smartphones &amp; Tablets</t>
        </is>
      </c>
      <c r="D842" s="43" t="inlineStr">
        <is>
          <t>Tablet</t>
        </is>
      </c>
      <c r="E842" s="44" t="inlineStr">
        <is>
          <t>Peitho Rift Lite 13" Pro Tablet</t>
        </is>
      </c>
      <c r="F842" s="45" t="n">
        <v>1708.99</v>
      </c>
      <c r="G842" s="43" t="inlineStr">
        <is>
          <t>the Rift Lite; Peitho Rift Lite; Peiitho Rift Lite; Rift Lite tablet</t>
        </is>
      </c>
      <c r="H842" s="43" t="inlineStr">
        <is>
          <t>2 year limited</t>
        </is>
      </c>
      <c r="I842" s="43" t="inlineStr">
        <is>
          <t>FCC, CE, Energy Star</t>
        </is>
      </c>
      <c r="J842" s="43" t="inlineStr">
        <is>
          <t>Qualcomm Snapdragon 8 Elite</t>
        </is>
      </c>
      <c r="K842" s="43" t="inlineStr">
        <is>
          <t>Qualcomm Adreno 830</t>
        </is>
      </c>
      <c r="L842" s="43" t="inlineStr">
        <is>
          <t>Mini-LED, 144Hz</t>
        </is>
      </c>
      <c r="M842" s="43" t="inlineStr">
        <is>
          <t>2960x1848</t>
        </is>
      </c>
      <c r="N842" s="43" t="inlineStr">
        <is>
          <t>USB-C (USB 3.2), magnetic keyboard connector</t>
        </is>
      </c>
      <c r="O842" s="43" t="inlineStr">
        <is>
          <t>Android 15</t>
        </is>
      </c>
      <c r="P842" s="43" t="n">
        <v>9</v>
      </c>
      <c r="Q842" s="46" t="n">
        <v>670</v>
      </c>
      <c r="R842" s="43" t="inlineStr">
        <is>
          <t>Lower price than Theia Arc Air 13" Pro Tablet [THE-081-09] ($1,708.99 vs $1,756.99); Lighter than Comus Halo X 13" Pro Tablet [COM-078-09] (670 g vs 672 g)</t>
        </is>
      </c>
      <c r="S842" s="43" t="inlineStr">
        <is>
          <t>creative work, productivity, drawing</t>
        </is>
      </c>
      <c r="T842" s="0" t="inlineStr">
        <is>
          <t>in_stock</t>
        </is>
      </c>
      <c r="U842" s="0" t="n">
        <v>30</v>
      </c>
      <c r="V842" s="52" t="n">
        <v>1957.99</v>
      </c>
      <c r="W842" s="0" t="inlineStr">
        <is>
          <t>2026-09-03</t>
        </is>
      </c>
      <c r="X842" s="0" t="inlineStr">
        <is>
          <t>N/A</t>
        </is>
      </c>
      <c r="Y842" s="0" t="inlineStr">
        <is>
          <t>N/A</t>
        </is>
      </c>
      <c r="Z842" s="0" t="inlineStr">
        <is>
          <t>N/A</t>
        </is>
      </c>
      <c r="AA842" s="0" t="inlineStr">
        <is>
          <t>N/A</t>
        </is>
      </c>
    </row>
    <row r="843" ht="15.75" customHeight="1" s="51">
      <c r="A843" s="43" t="inlineStr">
        <is>
          <t>EUP-084-01</t>
        </is>
      </c>
      <c r="B843" s="43" t="inlineStr">
        <is>
          <t>Eupheme</t>
        </is>
      </c>
      <c r="C843" s="43" t="inlineStr">
        <is>
          <t>Smartphones &amp; Tablets</t>
        </is>
      </c>
      <c r="D843" s="43" t="inlineStr">
        <is>
          <t>Tablet</t>
        </is>
      </c>
      <c r="E843" s="44" t="inlineStr">
        <is>
          <t>Eupheme Titan Max Kids Tablet</t>
        </is>
      </c>
      <c r="F843" s="45" t="n">
        <v>106.99</v>
      </c>
      <c r="G843" s="43" t="inlineStr">
        <is>
          <t>the Titan Max; Eupheme Titan Max; Euphem Titan Max; Titan Max tablet</t>
        </is>
      </c>
      <c r="H843" s="43" t="inlineStr">
        <is>
          <t>1 year limited</t>
        </is>
      </c>
      <c r="I843" s="43" t="inlineStr">
        <is>
          <t>FCC, CE, TUV Rheinland Low Blue Light, EN 71 Toy Safety</t>
        </is>
      </c>
      <c r="J843" s="43" t="inlineStr">
        <is>
          <t>MediaTek Helio G88</t>
        </is>
      </c>
      <c r="K843" s="43" t="inlineStr">
        <is>
          <t>Arm Mali-G52 MC2</t>
        </is>
      </c>
      <c r="L843" s="43" t="inlineStr">
        <is>
          <t>IPS LCD, 60Hz</t>
        </is>
      </c>
      <c r="M843" s="43" t="inlineStr">
        <is>
          <t>800x1280</t>
        </is>
      </c>
      <c r="N843" s="43" t="inlineStr">
        <is>
          <t>USB-C (USB 2.0), microSD slot</t>
        </is>
      </c>
      <c r="O843" s="43" t="inlineStr">
        <is>
          <t>Android 14 with parental controls</t>
        </is>
      </c>
      <c r="P843" s="43" t="n">
        <v>8</v>
      </c>
      <c r="Q843" s="46" t="n">
        <v>443</v>
      </c>
      <c r="R843" s="43" t="inlineStr">
        <is>
          <t>Lower price than Mnemosyne Wave SE Kids Tablet [MNE-061-01] ($106.99 vs $196.99); Lighter than Dike Echo Ultra Kids Tablet [DIK-099-01] (443 g vs 446 g)</t>
        </is>
      </c>
      <c r="S843" s="43" t="inlineStr">
        <is>
          <t>kids, learning, games</t>
        </is>
      </c>
      <c r="T843" s="0" t="inlineStr">
        <is>
          <t>in_stock</t>
        </is>
      </c>
      <c r="U843" s="0" t="n">
        <v>60</v>
      </c>
      <c r="V843" s="52" t="n">
        <v>116.99</v>
      </c>
      <c r="W843" s="0" t="inlineStr">
        <is>
          <t>2026-09-10</t>
        </is>
      </c>
      <c r="X843" s="0" t="inlineStr">
        <is>
          <t>N/A</t>
        </is>
      </c>
      <c r="Y843" s="0" t="inlineStr">
        <is>
          <t>N/A</t>
        </is>
      </c>
      <c r="Z843" s="0" t="inlineStr">
        <is>
          <t>N/A</t>
        </is>
      </c>
      <c r="AA843" s="0" t="inlineStr">
        <is>
          <t>N/A</t>
        </is>
      </c>
    </row>
    <row r="844" ht="15.75" customHeight="1" s="51">
      <c r="A844" s="43" t="inlineStr">
        <is>
          <t>EUP-084-02</t>
        </is>
      </c>
      <c r="B844" s="43" t="inlineStr">
        <is>
          <t>Eupheme</t>
        </is>
      </c>
      <c r="C844" s="43" t="inlineStr">
        <is>
          <t>Smartphones &amp; Tablets</t>
        </is>
      </c>
      <c r="D844" s="43" t="inlineStr">
        <is>
          <t>Smartphone</t>
        </is>
      </c>
      <c r="E844" s="44" t="inlineStr">
        <is>
          <t>Eupheme Echo Max Budget Smartphone</t>
        </is>
      </c>
      <c r="F844" s="45" t="n">
        <v>277.99</v>
      </c>
      <c r="G844" s="43" t="inlineStr">
        <is>
          <t>the Echo Max; Eupheme Echo Max; Euphemme Echo Max; Echo Max smartphone</t>
        </is>
      </c>
      <c r="H844" s="43" t="inlineStr">
        <is>
          <t>1 year limited</t>
        </is>
      </c>
      <c r="I844" s="43" t="inlineStr">
        <is>
          <t>FCC, CE, IP54</t>
        </is>
      </c>
      <c r="J844" s="43" t="inlineStr">
        <is>
          <t>Qualcomm Snapdragon 6 Gen 1</t>
        </is>
      </c>
      <c r="K844" s="43" t="inlineStr">
        <is>
          <t>Qualcomm Adreno 710</t>
        </is>
      </c>
      <c r="L844" s="43" t="inlineStr">
        <is>
          <t>IPS LCD, 90Hz</t>
        </is>
      </c>
      <c r="M844" s="43" t="inlineStr">
        <is>
          <t>1080x2400</t>
        </is>
      </c>
      <c r="N844" s="43" t="inlineStr">
        <is>
          <t>USB-C (USB 2.0), nano-SIM + eSIM, 3.5mm headphone jack, microSD slot</t>
        </is>
      </c>
      <c r="O844" s="43" t="inlineStr">
        <is>
          <t>Android 14</t>
        </is>
      </c>
      <c r="P844" s="43" t="n">
        <v>30</v>
      </c>
      <c r="Q844" s="46" t="n">
        <v>191</v>
      </c>
      <c r="R844" s="43" t="inlineStr">
        <is>
          <t>Longer battery than Circe Drift SE Budget Smartphone [CIR-068-01] (30 vs 23 hrs); Lighter than Coeus Sable Pro Budget Smartphone [COE-075-01] (191 g vs 209 g)</t>
        </is>
      </c>
      <c r="S844" s="43" t="inlineStr">
        <is>
          <t>budget, first phone, everyday</t>
        </is>
      </c>
      <c r="T844" s="0" t="inlineStr">
        <is>
          <t>out_of_stock</t>
        </is>
      </c>
      <c r="U844" s="0" t="n">
        <v>60</v>
      </c>
      <c r="V844" s="52" t="n">
        <v>299.99</v>
      </c>
      <c r="W844" s="0" t="inlineStr">
        <is>
          <t>2026-09-03</t>
        </is>
      </c>
      <c r="X844" s="0" t="inlineStr">
        <is>
          <t>N/A</t>
        </is>
      </c>
      <c r="Y844" s="0" t="inlineStr">
        <is>
          <t>N/A</t>
        </is>
      </c>
      <c r="Z844" s="0" t="inlineStr">
        <is>
          <t>N/A</t>
        </is>
      </c>
      <c r="AA844" s="0" t="inlineStr">
        <is>
          <t>N/A</t>
        </is>
      </c>
    </row>
    <row r="845" ht="15.75" customHeight="1" s="51">
      <c r="A845" s="43" t="inlineStr">
        <is>
          <t>EUP-084-03</t>
        </is>
      </c>
      <c r="B845" s="43" t="inlineStr">
        <is>
          <t>Eupheme</t>
        </is>
      </c>
      <c r="C845" s="43" t="inlineStr">
        <is>
          <t>Smartphones &amp; Tablets</t>
        </is>
      </c>
      <c r="D845" s="43" t="inlineStr">
        <is>
          <t>Tablet</t>
        </is>
      </c>
      <c r="E845" s="44" t="inlineStr">
        <is>
          <t>Eupheme Axis Ultra 8" Mini Tablet</t>
        </is>
      </c>
      <c r="F845" s="45" t="n">
        <v>410.99</v>
      </c>
      <c r="G845" s="43" t="inlineStr">
        <is>
          <t>the Axis Ultra; Eupheme Axis Ultra; Euphmee Axis Ultra; Axis Ultra tablet</t>
        </is>
      </c>
      <c r="H845" s="43" t="inlineStr">
        <is>
          <t>1 year limited</t>
        </is>
      </c>
      <c r="I845" s="43" t="inlineStr">
        <is>
          <t>FCC, CE, TUV Rheinland Low Blue Light, Energy Star</t>
        </is>
      </c>
      <c r="J845" s="43" t="inlineStr">
        <is>
          <t>MediaTek Dimensity 7300</t>
        </is>
      </c>
      <c r="K845" s="43" t="inlineStr">
        <is>
          <t>Arm Mali-G615 MC2</t>
        </is>
      </c>
      <c r="L845" s="43" t="inlineStr">
        <is>
          <t>OLED, 120Hz</t>
        </is>
      </c>
      <c r="M845" s="43" t="inlineStr">
        <is>
          <t>1600x2560</t>
        </is>
      </c>
      <c r="N845" s="43" t="inlineStr">
        <is>
          <t>USB-C (USB 2.0), microSD slot</t>
        </is>
      </c>
      <c r="O845" s="43" t="inlineStr">
        <is>
          <t>Android 15</t>
        </is>
      </c>
      <c r="P845" s="43" t="n">
        <v>11</v>
      </c>
      <c r="Q845" s="46" t="n">
        <v>308</v>
      </c>
      <c r="R845" s="43" t="inlineStr">
        <is>
          <t>Lighter than Lethe Axis Max 8" Mini Tablet [LET-086-02] (308 g vs 339 g); Longer battery than Hypnos Titan Plus 8" Mini Tablet [HYP-059-03] (11 vs 9 hrs)</t>
        </is>
      </c>
      <c r="S845" s="43" t="inlineStr">
        <is>
          <t>reading, travel, gaming</t>
        </is>
      </c>
      <c r="T845" s="0" t="inlineStr">
        <is>
          <t>in_stock</t>
        </is>
      </c>
      <c r="U845" s="0" t="n">
        <v>60</v>
      </c>
      <c r="V845" s="52" t="n">
        <v>430.99</v>
      </c>
      <c r="W845" s="0" t="inlineStr">
        <is>
          <t>2026-09-14</t>
        </is>
      </c>
      <c r="X845" s="0" t="inlineStr">
        <is>
          <t>N/A</t>
        </is>
      </c>
      <c r="Y845" s="0" t="inlineStr">
        <is>
          <t>N/A</t>
        </is>
      </c>
      <c r="Z845" s="0" t="inlineStr">
        <is>
          <t>N/A</t>
        </is>
      </c>
      <c r="AA845" s="0" t="inlineStr">
        <is>
          <t>N/A</t>
        </is>
      </c>
    </row>
    <row r="846" ht="15.75" customHeight="1" s="51">
      <c r="A846" s="43" t="inlineStr">
        <is>
          <t>EUP-084-04</t>
        </is>
      </c>
      <c r="B846" s="43" t="inlineStr">
        <is>
          <t>Eupheme</t>
        </is>
      </c>
      <c r="C846" s="43" t="inlineStr">
        <is>
          <t>Smartphones &amp; Tablets</t>
        </is>
      </c>
      <c r="D846" s="43" t="inlineStr">
        <is>
          <t>Tablet</t>
        </is>
      </c>
      <c r="E846" s="44" t="inlineStr">
        <is>
          <t>Eupheme Aria SE 11" Tablet</t>
        </is>
      </c>
      <c r="F846" s="45" t="n">
        <v>427.99</v>
      </c>
      <c r="G846" s="43" t="inlineStr">
        <is>
          <t>the Aria SE; Eupheme Aria SE; Euphem Aria SE; Aria SE tablet</t>
        </is>
      </c>
      <c r="H846" s="43" t="inlineStr">
        <is>
          <t>1 year limited</t>
        </is>
      </c>
      <c r="I846" s="43" t="inlineStr">
        <is>
          <t>FCC, CE</t>
        </is>
      </c>
      <c r="J846" s="43" t="inlineStr">
        <is>
          <t>MediaTek Dimensity 7300</t>
        </is>
      </c>
      <c r="K846" s="43" t="inlineStr">
        <is>
          <t>Arm Mali-G615 MC2</t>
        </is>
      </c>
      <c r="L846" s="43" t="inlineStr">
        <is>
          <t>IPS LCD, 90Hz</t>
        </is>
      </c>
      <c r="M846" s="43" t="inlineStr">
        <is>
          <t>1600x2560</t>
        </is>
      </c>
      <c r="N846" s="43" t="inlineStr">
        <is>
          <t>USB-C (USB 2.0), microSD slot</t>
        </is>
      </c>
      <c r="O846" s="43" t="inlineStr">
        <is>
          <t>Android 15</t>
        </is>
      </c>
      <c r="P846" s="43" t="n">
        <v>14</v>
      </c>
      <c r="Q846" s="46" t="n">
        <v>494</v>
      </c>
      <c r="R846" s="43" t="inlineStr">
        <is>
          <t>Lower price than Mnemosyne Titan 11" Tablet [MNE-061-05] ($427.99 vs $446.99); Longer battery than Clotho Titan Air 11" Tablet [CLO-062-05] (14 vs 13 hrs)</t>
        </is>
      </c>
      <c r="S846" s="43" t="inlineStr">
        <is>
          <t>school, streaming, reading</t>
        </is>
      </c>
      <c r="T846" s="0" t="inlineStr">
        <is>
          <t>in_stock</t>
        </is>
      </c>
      <c r="U846" s="0" t="n">
        <v>60</v>
      </c>
      <c r="V846" s="52" t="n">
        <v>477.99</v>
      </c>
      <c r="W846" s="0" t="inlineStr">
        <is>
          <t>2026-08-16</t>
        </is>
      </c>
      <c r="X846" s="0" t="inlineStr">
        <is>
          <t>N/A</t>
        </is>
      </c>
      <c r="Y846" s="0" t="inlineStr">
        <is>
          <t>N/A</t>
        </is>
      </c>
      <c r="Z846" s="0" t="inlineStr">
        <is>
          <t>N/A</t>
        </is>
      </c>
      <c r="AA846" s="0" t="inlineStr">
        <is>
          <t>N/A</t>
        </is>
      </c>
    </row>
    <row r="847" ht="15.75" customHeight="1" s="51">
      <c r="A847" s="43" t="inlineStr">
        <is>
          <t>EUP-084-05</t>
        </is>
      </c>
      <c r="B847" s="43" t="inlineStr">
        <is>
          <t>Eupheme</t>
        </is>
      </c>
      <c r="C847" s="43" t="inlineStr">
        <is>
          <t>Smartphones &amp; Tablets</t>
        </is>
      </c>
      <c r="D847" s="43" t="inlineStr">
        <is>
          <t>Tablet</t>
        </is>
      </c>
      <c r="E847" s="44" t="inlineStr">
        <is>
          <t>Eupheme Apex Ultra E-Ink Note Tablet</t>
        </is>
      </c>
      <c r="F847" s="45" t="n">
        <v>457.99</v>
      </c>
      <c r="G847" s="43" t="inlineStr">
        <is>
          <t>the Apex Ultra; Eupheme Apex Ultra; Euupheme Apex Ultra; Apex Ultra tablet</t>
        </is>
      </c>
      <c r="H847" s="43" t="inlineStr">
        <is>
          <t>1 year limited</t>
        </is>
      </c>
      <c r="I847" s="43" t="inlineStr">
        <is>
          <t>FCC, CE, TUV Rheinland Low Blue Light</t>
        </is>
      </c>
      <c r="J847" s="43" t="inlineStr">
        <is>
          <t>Rockchip RK3566</t>
        </is>
      </c>
      <c r="K847" s="43" t="inlineStr">
        <is>
          <t>Arm Mali-G52 2EE</t>
        </is>
      </c>
      <c r="L847" s="43" t="inlineStr">
        <is>
          <t>E Ink Carta 1300, front-lit</t>
        </is>
      </c>
      <c r="M847" s="43" t="inlineStr">
        <is>
          <t>1404x1872</t>
        </is>
      </c>
      <c r="N847" s="43" t="inlineStr">
        <is>
          <t>USB-C (USB 2.0), microSD slot</t>
        </is>
      </c>
      <c r="O847" s="43" t="inlineStr">
        <is>
          <t>Android 13 (E Ink optimized)</t>
        </is>
      </c>
      <c r="P847" s="43" t="n">
        <v>152</v>
      </c>
      <c r="Q847" s="46" t="n">
        <v>439</v>
      </c>
      <c r="R847" s="43" t="inlineStr">
        <is>
          <t>Lower price than Circe Orbit Plus E-Ink Note Tablet [CIR-068-03] ($457.99 vs $650.99); Longer battery than Hephaestus Onyx Max E-Ink Note Tablet [HEP-076-03] (152 vs 133 hrs)</t>
        </is>
      </c>
      <c r="S847" s="43" t="inlineStr">
        <is>
          <t>reading, note-taking, school</t>
        </is>
      </c>
      <c r="T847" s="0" t="inlineStr">
        <is>
          <t>in_stock</t>
        </is>
      </c>
      <c r="U847" s="0" t="n">
        <v>60</v>
      </c>
      <c r="V847" s="52" t="n">
        <v>482.99</v>
      </c>
      <c r="W847" s="0" t="inlineStr">
        <is>
          <t>2026-09-06</t>
        </is>
      </c>
      <c r="X847" s="0" t="inlineStr">
        <is>
          <t>N/A</t>
        </is>
      </c>
      <c r="Y847" s="0" t="inlineStr">
        <is>
          <t>N/A</t>
        </is>
      </c>
      <c r="Z847" s="0" t="inlineStr">
        <is>
          <t>N/A</t>
        </is>
      </c>
      <c r="AA847" s="0" t="inlineStr">
        <is>
          <t>N/A</t>
        </is>
      </c>
    </row>
    <row r="848" ht="15.75" customHeight="1" s="51">
      <c r="A848" s="43" t="inlineStr">
        <is>
          <t>EUP-084-06</t>
        </is>
      </c>
      <c r="B848" s="43" t="inlineStr">
        <is>
          <t>Eupheme</t>
        </is>
      </c>
      <c r="C848" s="43" t="inlineStr">
        <is>
          <t>Smartphones &amp; Tablets</t>
        </is>
      </c>
      <c r="D848" s="43" t="inlineStr">
        <is>
          <t>Smartphone</t>
        </is>
      </c>
      <c r="E848" s="44" t="inlineStr">
        <is>
          <t>Eupheme Spark Lite Compact Smartphone</t>
        </is>
      </c>
      <c r="F848" s="45" t="n">
        <v>502.99</v>
      </c>
      <c r="G848" s="43" t="inlineStr">
        <is>
          <t>the Spark Lite; Eupheme Spark Lite; Euphmee Spark Lite; Spark Lite smartphone</t>
        </is>
      </c>
      <c r="H848" s="43" t="inlineStr">
        <is>
          <t>1 year limited</t>
        </is>
      </c>
      <c r="I848" s="43" t="inlineStr">
        <is>
          <t>FCC, CE, IP68</t>
        </is>
      </c>
      <c r="J848" s="43" t="inlineStr">
        <is>
          <t>Qualcomm Snapdragon 7+ Gen 3</t>
        </is>
      </c>
      <c r="K848" s="43" t="inlineStr">
        <is>
          <t>Qualcomm Adreno 732</t>
        </is>
      </c>
      <c r="L848" s="43" t="inlineStr">
        <is>
          <t>AMOLED, 120Hz</t>
        </is>
      </c>
      <c r="M848" s="43" t="inlineStr">
        <is>
          <t>1080x2340</t>
        </is>
      </c>
      <c r="N848" s="43" t="inlineStr">
        <is>
          <t>USB-C (USB 2.0), nano-SIM + eSIM</t>
        </is>
      </c>
      <c r="O848" s="43" t="inlineStr">
        <is>
          <t>Android 15</t>
        </is>
      </c>
      <c r="P848" s="43" t="n">
        <v>21</v>
      </c>
      <c r="Q848" s="46" t="n">
        <v>156</v>
      </c>
      <c r="R848" s="43" t="inlineStr">
        <is>
          <t>Lighter than Erato Titan Plus Compact Smartphone [ERA-085-06] (156 g vs 158 g); Lower price than Clotho Quanta Lite Compact Smartphone [CLO-062-07] ($502.99 vs $750.99)</t>
        </is>
      </c>
      <c r="S848" s="43" t="inlineStr">
        <is>
          <t>everyday, one-handed use</t>
        </is>
      </c>
      <c r="T848" s="0" t="inlineStr">
        <is>
          <t>in_stock</t>
        </is>
      </c>
      <c r="U848" s="0" t="n">
        <v>60</v>
      </c>
      <c r="V848" s="52" t="n">
        <v>524.99</v>
      </c>
      <c r="W848" s="0" t="inlineStr">
        <is>
          <t>2026-08-17</t>
        </is>
      </c>
      <c r="X848" s="0" t="inlineStr">
        <is>
          <t>N/A</t>
        </is>
      </c>
      <c r="Y848" s="0" t="inlineStr">
        <is>
          <t>N/A</t>
        </is>
      </c>
      <c r="Z848" s="0" t="inlineStr">
        <is>
          <t>N/A</t>
        </is>
      </c>
      <c r="AA848" s="0" t="inlineStr">
        <is>
          <t>N/A</t>
        </is>
      </c>
    </row>
    <row r="849" ht="15.75" customHeight="1" s="51">
      <c r="A849" s="43" t="inlineStr">
        <is>
          <t>EUP-084-07</t>
        </is>
      </c>
      <c r="B849" s="43" t="inlineStr">
        <is>
          <t>Eupheme</t>
        </is>
      </c>
      <c r="C849" s="43" t="inlineStr">
        <is>
          <t>Smartphones &amp; Tablets</t>
        </is>
      </c>
      <c r="D849" s="43" t="inlineStr">
        <is>
          <t>Smartphone</t>
        </is>
      </c>
      <c r="E849" s="44" t="inlineStr">
        <is>
          <t>Eupheme Pulse Pro Rugged Smartphone</t>
        </is>
      </c>
      <c r="F849" s="45" t="n">
        <v>587.99</v>
      </c>
      <c r="G849" s="43" t="inlineStr">
        <is>
          <t>the Pulse Pro; Eupheme Pulse Pro; Eufeme Pulse Pro; Pulse Pro smartphone</t>
        </is>
      </c>
      <c r="H849" s="43" t="inlineStr">
        <is>
          <t>2 year limited</t>
        </is>
      </c>
      <c r="I849" s="43" t="inlineStr">
        <is>
          <t>FCC, CE, IP69K, MIL-STD-810H</t>
        </is>
      </c>
      <c r="J849" s="43" t="inlineStr">
        <is>
          <t>Qualcomm Snapdragon 7+ Gen 3</t>
        </is>
      </c>
      <c r="K849" s="43" t="inlineStr">
        <is>
          <t>Qualcomm Adreno 732</t>
        </is>
      </c>
      <c r="L849" s="43" t="inlineStr">
        <is>
          <t>IPS LCD, Gorilla Glass Victus, 120Hz</t>
        </is>
      </c>
      <c r="M849" s="43" t="inlineStr">
        <is>
          <t>1080x2400</t>
        </is>
      </c>
      <c r="N849" s="43" t="inlineStr">
        <is>
          <t>USB-C (USB 2.0), nano-SIM + eSIM, 3.5mm headphone jack, microSD slot</t>
        </is>
      </c>
      <c r="O849" s="43" t="inlineStr">
        <is>
          <t>Android 15</t>
        </is>
      </c>
      <c r="P849" s="43" t="n">
        <v>36</v>
      </c>
      <c r="Q849" s="46" t="n">
        <v>266</v>
      </c>
      <c r="R849" s="43" t="inlineStr">
        <is>
          <t>Longer battery than Aletheia Orbit Ultra Rugged Smartphone [ALE-089-05] (36 vs 35 hrs); Lighter than Lethe Lumen Max Rugged Smartphone [LET-086-03] (266 g vs 306 g)</t>
        </is>
      </c>
      <c r="S849" s="43" t="inlineStr">
        <is>
          <t>outdoor, construction, fieldwork</t>
        </is>
      </c>
      <c r="T849" s="0" t="inlineStr">
        <is>
          <t>in_stock</t>
        </is>
      </c>
      <c r="U849" s="0" t="n">
        <v>60</v>
      </c>
      <c r="V849" s="52" t="n">
        <v>628.99</v>
      </c>
      <c r="W849" s="0" t="inlineStr">
        <is>
          <t>2026-08-24</t>
        </is>
      </c>
      <c r="X849" s="0" t="inlineStr">
        <is>
          <t>N/A</t>
        </is>
      </c>
      <c r="Y849" s="0" t="inlineStr">
        <is>
          <t>N/A</t>
        </is>
      </c>
      <c r="Z849" s="0" t="inlineStr">
        <is>
          <t>N/A</t>
        </is>
      </c>
      <c r="AA849" s="0" t="inlineStr">
        <is>
          <t>N/A</t>
        </is>
      </c>
    </row>
    <row r="850" ht="15.75" customHeight="1" s="51">
      <c r="A850" s="43" t="inlineStr">
        <is>
          <t>EUP-084-08</t>
        </is>
      </c>
      <c r="B850" s="43" t="inlineStr">
        <is>
          <t>Eupheme</t>
        </is>
      </c>
      <c r="C850" s="43" t="inlineStr">
        <is>
          <t>Smartphones &amp; Tablets</t>
        </is>
      </c>
      <c r="D850" s="43" t="inlineStr">
        <is>
          <t>Smartphone</t>
        </is>
      </c>
      <c r="E850" s="44" t="inlineStr">
        <is>
          <t>Eupheme Wave Flip Foldable Phone</t>
        </is>
      </c>
      <c r="F850" s="45" t="n">
        <v>1048.99</v>
      </c>
      <c r="G850" s="43" t="inlineStr">
        <is>
          <t>the Wave; Eupheme Wave; Euphmee Wave; Wave smartphone</t>
        </is>
      </c>
      <c r="H850" s="43" t="inlineStr">
        <is>
          <t>1 year limited</t>
        </is>
      </c>
      <c r="I850" s="43" t="inlineStr">
        <is>
          <t>FCC, CE, IPX8</t>
        </is>
      </c>
      <c r="J850" s="43" t="inlineStr">
        <is>
          <t>MediaTek Dimensity 9400</t>
        </is>
      </c>
      <c r="K850" s="43" t="inlineStr">
        <is>
          <t>Arm Immortalis-G925</t>
        </is>
      </c>
      <c r="L850" s="43" t="inlineStr">
        <is>
          <t>Foldable AMOLED inner + AMOLED cover screen</t>
        </is>
      </c>
      <c r="M850" s="43" t="inlineStr">
        <is>
          <t>1080x2640 inner / 720x748 cover</t>
        </is>
      </c>
      <c r="N850" s="43" t="inlineStr">
        <is>
          <t>USB-C (USB 3.2), nano-SIM + eSIM</t>
        </is>
      </c>
      <c r="O850" s="43" t="inlineStr">
        <is>
          <t>Android 15</t>
        </is>
      </c>
      <c r="P850" s="43" t="n">
        <v>20</v>
      </c>
      <c r="Q850" s="46" t="n">
        <v>191</v>
      </c>
      <c r="R850" s="43" t="inlineStr">
        <is>
          <t>Longer battery than Paean Strata SE Flip Foldable Phone [PAE-066-06] (20 vs 16 hrs); Lighter than Styx Sable X Flip Foldable Phone [STY-058-07] (191 g vs 192 g)</t>
        </is>
      </c>
      <c r="S850" s="43" t="inlineStr">
        <is>
          <t>style, everyday, compact</t>
        </is>
      </c>
      <c r="T850" s="0" t="inlineStr">
        <is>
          <t>low_stock</t>
        </is>
      </c>
      <c r="U850" s="0" t="n">
        <v>60</v>
      </c>
      <c r="V850" s="52" t="n">
        <v>1172.99</v>
      </c>
      <c r="W850" s="0" t="inlineStr">
        <is>
          <t>2026-08-13</t>
        </is>
      </c>
      <c r="X850" s="0" t="inlineStr">
        <is>
          <t>N/A</t>
        </is>
      </c>
      <c r="Y850" s="0" t="inlineStr">
        <is>
          <t>N/A</t>
        </is>
      </c>
      <c r="Z850" s="0" t="inlineStr">
        <is>
          <t>N/A</t>
        </is>
      </c>
      <c r="AA850" s="0" t="inlineStr">
        <is>
          <t>N/A</t>
        </is>
      </c>
    </row>
    <row r="851" ht="15.75" customHeight="1" s="51">
      <c r="A851" s="43" t="inlineStr">
        <is>
          <t>EUP-084-09</t>
        </is>
      </c>
      <c r="B851" s="43" t="inlineStr">
        <is>
          <t>Eupheme</t>
        </is>
      </c>
      <c r="C851" s="43" t="inlineStr">
        <is>
          <t>Smartphones &amp; Tablets</t>
        </is>
      </c>
      <c r="D851" s="43" t="inlineStr">
        <is>
          <t>Tablet</t>
        </is>
      </c>
      <c r="E851" s="44" t="inlineStr">
        <is>
          <t>Eupheme Strata Plus 13" Pro Tablet</t>
        </is>
      </c>
      <c r="F851" s="45" t="n">
        <v>1052.99</v>
      </c>
      <c r="G851" s="43" t="inlineStr">
        <is>
          <t>the Strata Plus; Eupheme Strata Plus; Upheme Strata Plus; Strata Plus tablet</t>
        </is>
      </c>
      <c r="H851" s="43" t="inlineStr">
        <is>
          <t>1 year limited</t>
        </is>
      </c>
      <c r="I851" s="43" t="inlineStr">
        <is>
          <t>FCC, CE</t>
        </is>
      </c>
      <c r="J851" s="43" t="inlineStr">
        <is>
          <t>MediaTek Dimensity 9400</t>
        </is>
      </c>
      <c r="K851" s="43" t="inlineStr">
        <is>
          <t>Arm Immortalis-G925</t>
        </is>
      </c>
      <c r="L851" s="43" t="inlineStr">
        <is>
          <t>OLED, 120Hz</t>
        </is>
      </c>
      <c r="M851" s="43" t="inlineStr">
        <is>
          <t>2800x1752</t>
        </is>
      </c>
      <c r="N851" s="43" t="inlineStr">
        <is>
          <t>USB-C (USB 3.2), magnetic keyboard connector</t>
        </is>
      </c>
      <c r="O851" s="43" t="inlineStr">
        <is>
          <t>Android 15</t>
        </is>
      </c>
      <c r="P851" s="43" t="n">
        <v>11</v>
      </c>
      <c r="Q851" s="46" t="n">
        <v>663</v>
      </c>
      <c r="R851" s="43" t="inlineStr">
        <is>
          <t>Longer battery than Clymene Onyx 13" Pro Tablet [CLY-067-10] (11 vs 9 hrs); Lower price than Epimetheus Volt Air 13" Pro Tablet [EPI-091-09] ($1,052.99 vs $1,428.99)</t>
        </is>
      </c>
      <c r="S851" s="43" t="inlineStr">
        <is>
          <t>creative work, productivity, drawing</t>
        </is>
      </c>
      <c r="T851" s="0" t="inlineStr">
        <is>
          <t>in_stock</t>
        </is>
      </c>
      <c r="U851" s="0" t="n">
        <v>60</v>
      </c>
      <c r="V851" s="52" t="n">
        <v>1197.99</v>
      </c>
      <c r="W851" s="0" t="inlineStr">
        <is>
          <t>2026-08-30</t>
        </is>
      </c>
      <c r="X851" s="0" t="inlineStr">
        <is>
          <t>N/A</t>
        </is>
      </c>
      <c r="Y851" s="0" t="inlineStr">
        <is>
          <t>N/A</t>
        </is>
      </c>
      <c r="Z851" s="0" t="inlineStr">
        <is>
          <t>N/A</t>
        </is>
      </c>
      <c r="AA851" s="0" t="inlineStr">
        <is>
          <t>N/A</t>
        </is>
      </c>
    </row>
    <row r="852" ht="15.75" customHeight="1" s="51">
      <c r="A852" s="43" t="inlineStr">
        <is>
          <t>EUP-084-10</t>
        </is>
      </c>
      <c r="B852" s="43" t="inlineStr">
        <is>
          <t>Eupheme</t>
        </is>
      </c>
      <c r="C852" s="43" t="inlineStr">
        <is>
          <t>Smartphones &amp; Tablets</t>
        </is>
      </c>
      <c r="D852" s="43" t="inlineStr">
        <is>
          <t>Smartphone</t>
        </is>
      </c>
      <c r="E852" s="44" t="inlineStr">
        <is>
          <t>Eupheme Orbit Ultra Foldable Phone</t>
        </is>
      </c>
      <c r="F852" s="45" t="n">
        <v>1873.99</v>
      </c>
      <c r="G852" s="43" t="inlineStr">
        <is>
          <t>the Orbit Ultra; Eupheme Orbit Ultra; Upheme Orbit Ultra; Orbit Ultra smartphone</t>
        </is>
      </c>
      <c r="H852" s="43" t="inlineStr">
        <is>
          <t>1 year limited</t>
        </is>
      </c>
      <c r="I852" s="43" t="inlineStr">
        <is>
          <t>FCC, CE, IPX8</t>
        </is>
      </c>
      <c r="J852" s="43" t="inlineStr">
        <is>
          <t>Qualcomm Snapdragon 8 Elite</t>
        </is>
      </c>
      <c r="K852" s="43" t="inlineStr">
        <is>
          <t>Qualcomm Adreno 830</t>
        </is>
      </c>
      <c r="L852" s="43" t="inlineStr">
        <is>
          <t>Foldable LTPO AMOLED inner + AMOLED cover, 120Hz</t>
        </is>
      </c>
      <c r="M852" s="43" t="inlineStr">
        <is>
          <t>2160x1856 inner / 1080x2376 cover</t>
        </is>
      </c>
      <c r="N852" s="43" t="inlineStr">
        <is>
          <t>USB-C (USB 3.2), nano-SIM + eSIM</t>
        </is>
      </c>
      <c r="O852" s="43" t="inlineStr">
        <is>
          <t>Android 15</t>
        </is>
      </c>
      <c r="P852" s="43" t="n">
        <v>18</v>
      </c>
      <c r="Q852" s="46" t="n">
        <v>252</v>
      </c>
      <c r="R852" s="43" t="inlineStr">
        <is>
          <t>Lower price than Alpheus Nimbus X Foldable Phone [ALP-082-10] ($1,873.99 vs $1,909.99); Lighter than Epimetheus Echo Pro Foldable Phone [EPI-091-10] (252 g vs 257 g)</t>
        </is>
      </c>
      <c r="S852" s="43" t="inlineStr">
        <is>
          <t>multitasking, business, media</t>
        </is>
      </c>
      <c r="T852" s="0" t="inlineStr">
        <is>
          <t>in_stock</t>
        </is>
      </c>
      <c r="U852" s="0" t="n">
        <v>60</v>
      </c>
      <c r="V852" s="52" t="n">
        <v>2003.99</v>
      </c>
      <c r="W852" s="0" t="inlineStr">
        <is>
          <t>2026-08-17</t>
        </is>
      </c>
      <c r="X852" s="0" t="inlineStr">
        <is>
          <t>N/A</t>
        </is>
      </c>
      <c r="Y852" s="0" t="inlineStr">
        <is>
          <t>N/A</t>
        </is>
      </c>
      <c r="Z852" s="0" t="inlineStr">
        <is>
          <t>N/A</t>
        </is>
      </c>
      <c r="AA852" s="0" t="inlineStr">
        <is>
          <t>N/A</t>
        </is>
      </c>
    </row>
    <row r="853" ht="15.75" customHeight="1" s="51">
      <c r="A853" s="43" t="inlineStr">
        <is>
          <t>ERA-085-01</t>
        </is>
      </c>
      <c r="B853" s="43" t="inlineStr">
        <is>
          <t>Erato</t>
        </is>
      </c>
      <c r="C853" s="43" t="inlineStr">
        <is>
          <t>Smartphones &amp; Tablets</t>
        </is>
      </c>
      <c r="D853" s="43" t="inlineStr">
        <is>
          <t>Tablet</t>
        </is>
      </c>
      <c r="E853" s="44" t="inlineStr">
        <is>
          <t>Erato Halo SE 8" Mini Tablet</t>
        </is>
      </c>
      <c r="F853" s="45" t="n">
        <v>477.99</v>
      </c>
      <c r="G853" s="43" t="inlineStr">
        <is>
          <t>the Halo SE; Erato Halo SE; Eratoo Halo SE; Halo SE tablet</t>
        </is>
      </c>
      <c r="H853" s="43" t="inlineStr">
        <is>
          <t>1 year limited</t>
        </is>
      </c>
      <c r="I853" s="43" t="inlineStr">
        <is>
          <t>FCC, CE, TUV Rheinland Low Blue Light, Energy Star</t>
        </is>
      </c>
      <c r="J853" s="43" t="inlineStr">
        <is>
          <t>MediaTek Dimensity 7300</t>
        </is>
      </c>
      <c r="K853" s="43" t="inlineStr">
        <is>
          <t>Arm Mali-G615 MC2</t>
        </is>
      </c>
      <c r="L853" s="43" t="inlineStr">
        <is>
          <t>OLED, 120Hz</t>
        </is>
      </c>
      <c r="M853" s="43" t="inlineStr">
        <is>
          <t>1600x2560</t>
        </is>
      </c>
      <c r="N853" s="43" t="inlineStr">
        <is>
          <t>USB-C (USB 2.0), microSD slot</t>
        </is>
      </c>
      <c r="O853" s="43" t="inlineStr">
        <is>
          <t>Android 15</t>
        </is>
      </c>
      <c r="P853" s="43" t="n">
        <v>11</v>
      </c>
      <c r="Q853" s="46" t="n">
        <v>302</v>
      </c>
      <c r="R853" s="43" t="inlineStr">
        <is>
          <t>Lighter than Peitho Apex Lite 8" Mini Tablet [PEI-083-02] (302 g vs 312 g); Longer battery than Alpheus Volt Plus 8" Mini Tablet [ALP-082-02] (11 vs 9 hrs)</t>
        </is>
      </c>
      <c r="S853" s="43" t="inlineStr">
        <is>
          <t>reading, travel, gaming</t>
        </is>
      </c>
      <c r="T853" s="0" t="inlineStr">
        <is>
          <t>in_stock</t>
        </is>
      </c>
      <c r="U853" s="0" t="n">
        <v>30</v>
      </c>
      <c r="V853" s="52" t="n">
        <v>539.99</v>
      </c>
      <c r="W853" s="0" t="inlineStr">
        <is>
          <t>2026-09-20</t>
        </is>
      </c>
      <c r="X853" s="0" t="inlineStr">
        <is>
          <t>N/A</t>
        </is>
      </c>
      <c r="Y853" s="0" t="inlineStr">
        <is>
          <t>N/A</t>
        </is>
      </c>
      <c r="Z853" s="0" t="inlineStr">
        <is>
          <t>N/A</t>
        </is>
      </c>
      <c r="AA853" s="0" t="inlineStr">
        <is>
          <t>N/A</t>
        </is>
      </c>
    </row>
    <row r="854" ht="15.75" customHeight="1" s="51">
      <c r="A854" s="43" t="inlineStr">
        <is>
          <t>ERA-085-02</t>
        </is>
      </c>
      <c r="B854" s="43" t="inlineStr">
        <is>
          <t>Erato</t>
        </is>
      </c>
      <c r="C854" s="43" t="inlineStr">
        <is>
          <t>Smartphones &amp; Tablets</t>
        </is>
      </c>
      <c r="D854" s="43" t="inlineStr">
        <is>
          <t>Tablet</t>
        </is>
      </c>
      <c r="E854" s="44" t="inlineStr">
        <is>
          <t>Erato Blaze Pro Drawing Tablet with Stylus</t>
        </is>
      </c>
      <c r="F854" s="45" t="n">
        <v>502.99</v>
      </c>
      <c r="G854" s="43" t="inlineStr">
        <is>
          <t>the Blaze Pro; Erato Blaze Pro; Eratoo Blaze Pro; Blaze Pro tablet</t>
        </is>
      </c>
      <c r="H854" s="43" t="inlineStr">
        <is>
          <t>1 year limited</t>
        </is>
      </c>
      <c r="I854" s="43" t="inlineStr">
        <is>
          <t>FCC, CE, TUV Rheinland Low Blue Light</t>
        </is>
      </c>
      <c r="J854" s="43" t="inlineStr">
        <is>
          <t>Qualcomm Snapdragon 7+ Gen 3</t>
        </is>
      </c>
      <c r="K854" s="43" t="inlineStr">
        <is>
          <t>Qualcomm Adreno 732</t>
        </is>
      </c>
      <c r="L854" s="43" t="inlineStr">
        <is>
          <t>IPS LCD anti-glare, pen digitizer</t>
        </is>
      </c>
      <c r="M854" s="43" t="inlineStr">
        <is>
          <t>2000x1200</t>
        </is>
      </c>
      <c r="N854" s="43" t="inlineStr">
        <is>
          <t>USB-C (USB 2.0), microSD slot</t>
        </is>
      </c>
      <c r="O854" s="43" t="inlineStr">
        <is>
          <t>Android 15</t>
        </is>
      </c>
      <c r="P854" s="43" t="n">
        <v>9</v>
      </c>
      <c r="Q854" s="46" t="n">
        <v>543</v>
      </c>
      <c r="R854" s="43" t="inlineStr">
        <is>
          <t>Lighter than Aether Arc Air Drawing Tablet with Stylus [AET-080-04] (543 g vs 560 g); Lower price than Panacea Sable X Drawing Tablet with Stylus [PAN-069-03] ($502.99 vs $590.99)</t>
        </is>
      </c>
      <c r="S854" s="43" t="inlineStr">
        <is>
          <t>drawing, design, note-taking</t>
        </is>
      </c>
      <c r="T854" s="0" t="inlineStr">
        <is>
          <t>low_stock</t>
        </is>
      </c>
      <c r="U854" s="0" t="n">
        <v>30</v>
      </c>
      <c r="V854" s="52" t="n">
        <v>565.99</v>
      </c>
      <c r="W854" s="0" t="inlineStr">
        <is>
          <t>2026-09-20</t>
        </is>
      </c>
      <c r="X854" s="0" t="inlineStr">
        <is>
          <t>N/A</t>
        </is>
      </c>
      <c r="Y854" s="0" t="inlineStr">
        <is>
          <t>N/A</t>
        </is>
      </c>
      <c r="Z854" s="0" t="inlineStr">
        <is>
          <t>N/A</t>
        </is>
      </c>
      <c r="AA854" s="0" t="inlineStr">
        <is>
          <t>N/A</t>
        </is>
      </c>
    </row>
    <row r="855" ht="15.75" customHeight="1" s="51">
      <c r="A855" s="43" t="inlineStr">
        <is>
          <t>ERA-085-03</t>
        </is>
      </c>
      <c r="B855" s="43" t="inlineStr">
        <is>
          <t>Erato</t>
        </is>
      </c>
      <c r="C855" s="43" t="inlineStr">
        <is>
          <t>Smartphones &amp; Tablets</t>
        </is>
      </c>
      <c r="D855" s="43" t="inlineStr">
        <is>
          <t>Tablet</t>
        </is>
      </c>
      <c r="E855" s="44" t="inlineStr">
        <is>
          <t>Erato Aria E-Ink Note Tablet</t>
        </is>
      </c>
      <c r="F855" s="45" t="n">
        <v>525.99</v>
      </c>
      <c r="G855" s="43" t="inlineStr">
        <is>
          <t>the Aria; Erato Aria; Eraato Aria; Aria tablet</t>
        </is>
      </c>
      <c r="H855" s="43" t="inlineStr">
        <is>
          <t>1 year limited</t>
        </is>
      </c>
      <c r="I855" s="43" t="inlineStr">
        <is>
          <t>FCC, CE, TUV Rheinland Low Blue Light, Energy Star</t>
        </is>
      </c>
      <c r="J855" s="43" t="inlineStr">
        <is>
          <t>Rockchip RK3566</t>
        </is>
      </c>
      <c r="K855" s="43" t="inlineStr">
        <is>
          <t>Arm Mali-G52 2EE</t>
        </is>
      </c>
      <c r="L855" s="43" t="inlineStr">
        <is>
          <t>E Ink Carta 1300, front-lit</t>
        </is>
      </c>
      <c r="M855" s="43" t="inlineStr">
        <is>
          <t>1404x1872</t>
        </is>
      </c>
      <c r="N855" s="43" t="inlineStr">
        <is>
          <t>USB-C (USB 2.0), microSD slot</t>
        </is>
      </c>
      <c r="O855" s="43" t="inlineStr">
        <is>
          <t>Android 13 (E Ink optimized)</t>
        </is>
      </c>
      <c r="P855" s="43" t="n">
        <v>167</v>
      </c>
      <c r="Q855" s="46" t="n">
        <v>380</v>
      </c>
      <c r="R855" s="43" t="inlineStr">
        <is>
          <t>Longer battery than Clotho Prism Ultra E-Ink Note Tablet [CLO-062-03] (167 vs 163 hrs); Lower price than Hypnos Axis Ultra E-Ink Note Tablet [HYP-059-05] ($525.99 vs $601.99)</t>
        </is>
      </c>
      <c r="S855" s="43" t="inlineStr">
        <is>
          <t>reading, note-taking, school</t>
        </is>
      </c>
      <c r="T855" s="0" t="inlineStr">
        <is>
          <t>in_stock</t>
        </is>
      </c>
      <c r="U855" s="0" t="n">
        <v>30</v>
      </c>
      <c r="V855" s="52" t="n">
        <v>543.99</v>
      </c>
      <c r="W855" s="0" t="inlineStr">
        <is>
          <t>2026-08-12</t>
        </is>
      </c>
      <c r="X855" s="0" t="inlineStr">
        <is>
          <t>N/A</t>
        </is>
      </c>
      <c r="Y855" s="0" t="inlineStr">
        <is>
          <t>N/A</t>
        </is>
      </c>
      <c r="Z855" s="0" t="inlineStr">
        <is>
          <t>N/A</t>
        </is>
      </c>
      <c r="AA855" s="0" t="inlineStr">
        <is>
          <t>N/A</t>
        </is>
      </c>
    </row>
    <row r="856" ht="15.75" customHeight="1" s="51">
      <c r="A856" s="43" t="inlineStr">
        <is>
          <t>ERA-085-04</t>
        </is>
      </c>
      <c r="B856" s="43" t="inlineStr">
        <is>
          <t>Erato</t>
        </is>
      </c>
      <c r="C856" s="43" t="inlineStr">
        <is>
          <t>Smartphones &amp; Tablets</t>
        </is>
      </c>
      <c r="D856" s="43" t="inlineStr">
        <is>
          <t>Tablet</t>
        </is>
      </c>
      <c r="E856" s="44" t="inlineStr">
        <is>
          <t>Erato Blaze Ultra 11" Tablet</t>
        </is>
      </c>
      <c r="F856" s="45" t="n">
        <v>717.99</v>
      </c>
      <c r="G856" s="43" t="inlineStr">
        <is>
          <t>the Blaze Ultra; Erato Blaze Ultra; Ertao Blaze Ultra; Blaze Ultra tablet</t>
        </is>
      </c>
      <c r="H856" s="43" t="inlineStr">
        <is>
          <t>2 year limited</t>
        </is>
      </c>
      <c r="I856" s="43" t="inlineStr">
        <is>
          <t>FCC, CE, Energy Star</t>
        </is>
      </c>
      <c r="J856" s="43" t="inlineStr">
        <is>
          <t>MediaTek Dimensity 8300</t>
        </is>
      </c>
      <c r="K856" s="43" t="inlineStr">
        <is>
          <t>Arm Mali-G615 MC6</t>
        </is>
      </c>
      <c r="L856" s="43" t="inlineStr">
        <is>
          <t>OLED, 120Hz</t>
        </is>
      </c>
      <c r="M856" s="43" t="inlineStr">
        <is>
          <t>1752x2800</t>
        </is>
      </c>
      <c r="N856" s="43" t="inlineStr">
        <is>
          <t>USB-C (USB 3.2), microSD slot</t>
        </is>
      </c>
      <c r="O856" s="43" t="inlineStr">
        <is>
          <t>Android 15</t>
        </is>
      </c>
      <c r="P856" s="43" t="n">
        <v>12</v>
      </c>
      <c r="Q856" s="46" t="n">
        <v>503</v>
      </c>
      <c r="R856" s="43" t="inlineStr">
        <is>
          <t>Longer battery than Eunomia Quanta Max 11" Tablet [EUN-056-03] (12 vs 10 hrs); Lower price than Hephaestus Zen SE 11" Tablet [HEP-076-06] ($717.99 vs $729.99)</t>
        </is>
      </c>
      <c r="S856" s="43" t="inlineStr">
        <is>
          <t>school, streaming, reading</t>
        </is>
      </c>
      <c r="T856" s="0" t="inlineStr">
        <is>
          <t>low_stock</t>
        </is>
      </c>
      <c r="U856" s="0" t="n">
        <v>30</v>
      </c>
      <c r="V856" s="52" t="n">
        <v>800.99</v>
      </c>
      <c r="W856" s="0" t="inlineStr">
        <is>
          <t>2026-08-29</t>
        </is>
      </c>
      <c r="X856" s="0" t="inlineStr">
        <is>
          <t>N/A</t>
        </is>
      </c>
      <c r="Y856" s="0" t="inlineStr">
        <is>
          <t>N/A</t>
        </is>
      </c>
      <c r="Z856" s="0" t="inlineStr">
        <is>
          <t>N/A</t>
        </is>
      </c>
      <c r="AA856" s="0" t="inlineStr">
        <is>
          <t>N/A</t>
        </is>
      </c>
    </row>
    <row r="857" ht="15.75" customHeight="1" s="51">
      <c r="A857" s="43" t="inlineStr">
        <is>
          <t>ERA-085-05</t>
        </is>
      </c>
      <c r="B857" s="43" t="inlineStr">
        <is>
          <t>Erato</t>
        </is>
      </c>
      <c r="C857" s="43" t="inlineStr">
        <is>
          <t>Smartphones &amp; Tablets</t>
        </is>
      </c>
      <c r="D857" s="43" t="inlineStr">
        <is>
          <t>Tablet</t>
        </is>
      </c>
      <c r="E857" s="44" t="inlineStr">
        <is>
          <t>Erato Halo X 5G Tablet</t>
        </is>
      </c>
      <c r="F857" s="45" t="n">
        <v>740.99</v>
      </c>
      <c r="G857" s="43" t="inlineStr">
        <is>
          <t>the Halo X; Erato Halo X; Ertao Halo X; Halo X tablet</t>
        </is>
      </c>
      <c r="H857" s="43" t="inlineStr">
        <is>
          <t>1 year limited</t>
        </is>
      </c>
      <c r="I857" s="43" t="inlineStr">
        <is>
          <t>FCC, CE</t>
        </is>
      </c>
      <c r="J857" s="43" t="inlineStr">
        <is>
          <t>MediaTek Dimensity 8300</t>
        </is>
      </c>
      <c r="K857" s="43" t="inlineStr">
        <is>
          <t>Arm Mali-G615 MC6</t>
        </is>
      </c>
      <c r="L857" s="43" t="inlineStr">
        <is>
          <t>IPS LCD, 90Hz</t>
        </is>
      </c>
      <c r="M857" s="43" t="inlineStr">
        <is>
          <t>1600x2560</t>
        </is>
      </c>
      <c r="N857" s="43" t="inlineStr">
        <is>
          <t>USB-C (USB 3.2), microSD slot, nano-SIM + eSIM</t>
        </is>
      </c>
      <c r="O857" s="43" t="inlineStr">
        <is>
          <t>Android 15</t>
        </is>
      </c>
      <c r="P857" s="43" t="n">
        <v>14</v>
      </c>
      <c r="Q857" s="46" t="n">
        <v>534</v>
      </c>
      <c r="R857" s="43" t="inlineStr">
        <is>
          <t>Longer battery than Athena Apex X 5G Tablet [ATH-064-06] (14 vs 13 hrs); Lower price than Anteros Blaze X 5G Tablet [ANT-090-08] ($740.99 vs $1,112.99)</t>
        </is>
      </c>
      <c r="S857" s="43" t="inlineStr">
        <is>
          <t>travel, streaming, work on the go</t>
        </is>
      </c>
      <c r="T857" s="0" t="inlineStr">
        <is>
          <t>in_stock</t>
        </is>
      </c>
      <c r="U857" s="0" t="n">
        <v>30</v>
      </c>
      <c r="V857" s="52" t="n">
        <v>764.99</v>
      </c>
      <c r="W857" s="0" t="inlineStr">
        <is>
          <t>2026-09-22</t>
        </is>
      </c>
      <c r="X857" s="0" t="inlineStr">
        <is>
          <t>N/A</t>
        </is>
      </c>
      <c r="Y857" s="0" t="inlineStr">
        <is>
          <t>N/A</t>
        </is>
      </c>
      <c r="Z857" s="0" t="inlineStr">
        <is>
          <t>N/A</t>
        </is>
      </c>
      <c r="AA857" s="0" t="inlineStr">
        <is>
          <t>N/A</t>
        </is>
      </c>
    </row>
    <row r="858" ht="15.75" customHeight="1" s="51">
      <c r="A858" s="43" t="inlineStr">
        <is>
          <t>ERA-085-06</t>
        </is>
      </c>
      <c r="B858" s="43" t="inlineStr">
        <is>
          <t>Erato</t>
        </is>
      </c>
      <c r="C858" s="43" t="inlineStr">
        <is>
          <t>Smartphones &amp; Tablets</t>
        </is>
      </c>
      <c r="D858" s="43" t="inlineStr">
        <is>
          <t>Smartphone</t>
        </is>
      </c>
      <c r="E858" s="44" t="inlineStr">
        <is>
          <t>Erato Titan Plus Compact Smartphone</t>
        </is>
      </c>
      <c r="F858" s="45" t="n">
        <v>894.99</v>
      </c>
      <c r="G858" s="43" t="inlineStr">
        <is>
          <t>the Titan Plus; Erato Titan Plus; Earto Titan Plus; Titan Plus smartphone</t>
        </is>
      </c>
      <c r="H858" s="43" t="inlineStr">
        <is>
          <t>2 year limited</t>
        </is>
      </c>
      <c r="I858" s="43" t="inlineStr">
        <is>
          <t>FCC, CE, IP68</t>
        </is>
      </c>
      <c r="J858" s="43" t="inlineStr">
        <is>
          <t>Qualcomm Snapdragon 8 Gen 3</t>
        </is>
      </c>
      <c r="K858" s="43" t="inlineStr">
        <is>
          <t>Qualcomm Adreno 750</t>
        </is>
      </c>
      <c r="L858" s="43" t="inlineStr">
        <is>
          <t>AMOLED, 120Hz</t>
        </is>
      </c>
      <c r="M858" s="43" t="inlineStr">
        <is>
          <t>1080x2340</t>
        </is>
      </c>
      <c r="N858" s="43" t="inlineStr">
        <is>
          <t>USB-C (USB 3.2), nano-SIM + eSIM</t>
        </is>
      </c>
      <c r="O858" s="43" t="inlineStr">
        <is>
          <t>Android 15</t>
        </is>
      </c>
      <c r="P858" s="43" t="n">
        <v>23</v>
      </c>
      <c r="Q858" s="46" t="n">
        <v>158</v>
      </c>
      <c r="R858" s="43" t="inlineStr">
        <is>
          <t>Longer battery than Amphitrite Sable Compact Smartphone [AMP-065-04] (23 vs 22 hrs); Lighter than Plutus Echo Compact Smartphone [PLU-100-05] (158 g vs 159 g)</t>
        </is>
      </c>
      <c r="S858" s="43" t="inlineStr">
        <is>
          <t>everyday, one-handed use</t>
        </is>
      </c>
      <c r="T858" s="0" t="inlineStr">
        <is>
          <t>in_stock</t>
        </is>
      </c>
      <c r="U858" s="0" t="n">
        <v>30</v>
      </c>
      <c r="V858" s="52" t="n">
        <v>939.99</v>
      </c>
      <c r="W858" s="0" t="inlineStr">
        <is>
          <t>2026-09-04</t>
        </is>
      </c>
      <c r="X858" s="0" t="inlineStr">
        <is>
          <t>N/A</t>
        </is>
      </c>
      <c r="Y858" s="0" t="inlineStr">
        <is>
          <t>N/A</t>
        </is>
      </c>
      <c r="Z858" s="0" t="inlineStr">
        <is>
          <t>N/A</t>
        </is>
      </c>
      <c r="AA858" s="0" t="inlineStr">
        <is>
          <t>N/A</t>
        </is>
      </c>
    </row>
    <row r="859" ht="15.75" customHeight="1" s="51">
      <c r="A859" s="43" t="inlineStr">
        <is>
          <t>ERA-085-07</t>
        </is>
      </c>
      <c r="B859" s="43" t="inlineStr">
        <is>
          <t>Erato</t>
        </is>
      </c>
      <c r="C859" s="43" t="inlineStr">
        <is>
          <t>Smartphones &amp; Tablets</t>
        </is>
      </c>
      <c r="D859" s="43" t="inlineStr">
        <is>
          <t>Smartphone</t>
        </is>
      </c>
      <c r="E859" s="44" t="inlineStr">
        <is>
          <t>Erato Strata Flagship Smartphone</t>
        </is>
      </c>
      <c r="F859" s="45" t="n">
        <v>1022.99</v>
      </c>
      <c r="G859" s="43" t="inlineStr">
        <is>
          <t>the Strata; Erato Strata; Ertao Strata; Strata smartphone</t>
        </is>
      </c>
      <c r="H859" s="43" t="inlineStr">
        <is>
          <t>1 year limited</t>
        </is>
      </c>
      <c r="I859" s="43" t="inlineStr">
        <is>
          <t>FCC, CE, IP68, Qi2</t>
        </is>
      </c>
      <c r="J859" s="43" t="inlineStr">
        <is>
          <t>MediaTek Dimensity 9400</t>
        </is>
      </c>
      <c r="K859" s="43" t="inlineStr">
        <is>
          <t>Arm Immortalis-G925</t>
        </is>
      </c>
      <c r="L859" s="43" t="inlineStr">
        <is>
          <t>AMOLED, 120Hz</t>
        </is>
      </c>
      <c r="M859" s="43" t="inlineStr">
        <is>
          <t>1080x2400</t>
        </is>
      </c>
      <c r="N859" s="43" t="inlineStr">
        <is>
          <t>USB-C (USB 3.2), nano-SIM + eSIM</t>
        </is>
      </c>
      <c r="O859" s="43" t="inlineStr">
        <is>
          <t>Android 15</t>
        </is>
      </c>
      <c r="P859" s="43" t="n">
        <v>30</v>
      </c>
      <c r="Q859" s="46" t="n">
        <v>186</v>
      </c>
      <c r="R859" s="43" t="inlineStr">
        <is>
          <t>Lower price than Alpheus Drift Plus Flagship Smartphone [ALP-082-09] ($1,022.99 vs $1,068.99); Longer battery than Lachesis Onyx Ultra Flagship Smartphone [LAC-071-08] (30 vs 27 hrs)</t>
        </is>
      </c>
      <c r="S859" s="43" t="inlineStr">
        <is>
          <t>photography, everyday, business</t>
        </is>
      </c>
      <c r="T859" s="0" t="inlineStr">
        <is>
          <t>in_stock</t>
        </is>
      </c>
      <c r="U859" s="0" t="n">
        <v>30</v>
      </c>
      <c r="V859" s="52" t="n">
        <v>1077.99</v>
      </c>
      <c r="W859" s="0" t="inlineStr">
        <is>
          <t>2026-09-17</t>
        </is>
      </c>
      <c r="X859" s="0" t="inlineStr">
        <is>
          <t>N/A</t>
        </is>
      </c>
      <c r="Y859" s="0" t="inlineStr">
        <is>
          <t>N/A</t>
        </is>
      </c>
      <c r="Z859" s="0" t="inlineStr">
        <is>
          <t>N/A</t>
        </is>
      </c>
      <c r="AA859" s="0" t="inlineStr">
        <is>
          <t>N/A</t>
        </is>
      </c>
    </row>
    <row r="860" ht="15.75" customHeight="1" s="51">
      <c r="A860" s="43" t="inlineStr">
        <is>
          <t>ERA-085-08</t>
        </is>
      </c>
      <c r="B860" s="43" t="inlineStr">
        <is>
          <t>Erato</t>
        </is>
      </c>
      <c r="C860" s="43" t="inlineStr">
        <is>
          <t>Smartphones &amp; Tablets</t>
        </is>
      </c>
      <c r="D860" s="43" t="inlineStr">
        <is>
          <t>Tablet</t>
        </is>
      </c>
      <c r="E860" s="44" t="inlineStr">
        <is>
          <t>Erato Strata 13" Pro Tablet</t>
        </is>
      </c>
      <c r="F860" s="45" t="n">
        <v>1302.99</v>
      </c>
      <c r="G860" s="43" t="inlineStr">
        <is>
          <t>the Strata; Erato Strata; Eratoo Strata; Strata tablet</t>
        </is>
      </c>
      <c r="H860" s="43" t="inlineStr">
        <is>
          <t>1 year limited</t>
        </is>
      </c>
      <c r="I860" s="43" t="inlineStr">
        <is>
          <t>FCC, CE</t>
        </is>
      </c>
      <c r="J860" s="43" t="inlineStr">
        <is>
          <t>Qualcomm Snapdragon 8 Elite</t>
        </is>
      </c>
      <c r="K860" s="43" t="inlineStr">
        <is>
          <t>Qualcomm Adreno 830</t>
        </is>
      </c>
      <c r="L860" s="43" t="inlineStr">
        <is>
          <t>OLED, 120Hz</t>
        </is>
      </c>
      <c r="M860" s="43" t="inlineStr">
        <is>
          <t>2800x1752</t>
        </is>
      </c>
      <c r="N860" s="43" t="inlineStr">
        <is>
          <t>USB-C (USB 3.2), magnetic keyboard connector</t>
        </is>
      </c>
      <c r="O860" s="43" t="inlineStr">
        <is>
          <t>Android 15</t>
        </is>
      </c>
      <c r="P860" s="43" t="n">
        <v>13</v>
      </c>
      <c r="Q860" s="46" t="n">
        <v>581</v>
      </c>
      <c r="R860" s="43" t="inlineStr">
        <is>
          <t>Lower price than Arete Vibe Plus 13" Pro Tablet [ARE-054-09] ($1,302.99 vs $1,619.99); Lighter than Anteros Apex Ultra 13" Pro Tablet [ANT-090-10] (581 g vs 594 g)</t>
        </is>
      </c>
      <c r="S860" s="43" t="inlineStr">
        <is>
          <t>creative work, productivity, drawing</t>
        </is>
      </c>
      <c r="T860" s="0" t="inlineStr">
        <is>
          <t>in_stock</t>
        </is>
      </c>
      <c r="U860" s="0" t="n">
        <v>30</v>
      </c>
      <c r="V860" s="52" t="n">
        <v>1406.99</v>
      </c>
      <c r="W860" s="0" t="inlineStr">
        <is>
          <t>2026-09-02</t>
        </is>
      </c>
      <c r="X860" s="0" t="inlineStr">
        <is>
          <t>N/A</t>
        </is>
      </c>
      <c r="Y860" s="0" t="inlineStr">
        <is>
          <t>N/A</t>
        </is>
      </c>
      <c r="Z860" s="0" t="inlineStr">
        <is>
          <t>N/A</t>
        </is>
      </c>
      <c r="AA860" s="0" t="inlineStr">
        <is>
          <t>N/A</t>
        </is>
      </c>
    </row>
    <row r="861" ht="15.75" customHeight="1" s="51">
      <c r="A861" s="43" t="inlineStr">
        <is>
          <t>ERA-085-09</t>
        </is>
      </c>
      <c r="B861" s="43" t="inlineStr">
        <is>
          <t>Erato</t>
        </is>
      </c>
      <c r="C861" s="43" t="inlineStr">
        <is>
          <t>Smartphones &amp; Tablets</t>
        </is>
      </c>
      <c r="D861" s="43" t="inlineStr">
        <is>
          <t>Smartphone</t>
        </is>
      </c>
      <c r="E861" s="44" t="inlineStr">
        <is>
          <t>Erato Core Plus Pro Max Smartphone</t>
        </is>
      </c>
      <c r="F861" s="45" t="n">
        <v>1328.99</v>
      </c>
      <c r="G861" s="43" t="inlineStr">
        <is>
          <t>the Core Plus; Erato Core Plus; Eratto Core Plus; Core Plus smartphone</t>
        </is>
      </c>
      <c r="H861" s="43" t="inlineStr">
        <is>
          <t>1 year limited</t>
        </is>
      </c>
      <c r="I861" s="43" t="inlineStr">
        <is>
          <t>FCC, CE, IP68, Qi2</t>
        </is>
      </c>
      <c r="J861" s="43" t="inlineStr">
        <is>
          <t>Qualcomm Snapdragon 8 Elite</t>
        </is>
      </c>
      <c r="K861" s="43" t="inlineStr">
        <is>
          <t>Qualcomm Adreno 830</t>
        </is>
      </c>
      <c r="L861" s="43" t="inlineStr">
        <is>
          <t>LTPO AMOLED, 1-120Hz</t>
        </is>
      </c>
      <c r="M861" s="43" t="inlineStr">
        <is>
          <t>1440x3120</t>
        </is>
      </c>
      <c r="N861" s="43" t="inlineStr">
        <is>
          <t>USB-C (USB 3.2), nano-SIM + eSIM</t>
        </is>
      </c>
      <c r="O861" s="43" t="inlineStr">
        <is>
          <t>Android 15</t>
        </is>
      </c>
      <c r="P861" s="43" t="n">
        <v>36</v>
      </c>
      <c r="Q861" s="46" t="n">
        <v>232</v>
      </c>
      <c r="R861" s="43" t="inlineStr">
        <is>
          <t>Lower price than Adrastea Flux X Pro Max Smartphone [ADR-094-09] ($1,328.99 vs $1,493.99); Longer battery than Erebus Apex Max Pro Max Smartphone [ERE-098-09] (36 vs 35 hrs)</t>
        </is>
      </c>
      <c r="S861" s="43" t="inlineStr">
        <is>
          <t>photography, video, mobile gaming</t>
        </is>
      </c>
      <c r="T861" s="0" t="inlineStr">
        <is>
          <t>out_of_stock</t>
        </is>
      </c>
      <c r="U861" s="0" t="n">
        <v>30</v>
      </c>
      <c r="V861" s="52" t="n">
        <v>1507.99</v>
      </c>
      <c r="W861" s="0" t="inlineStr">
        <is>
          <t>2026-09-13</t>
        </is>
      </c>
      <c r="X861" s="0" t="inlineStr">
        <is>
          <t>N/A</t>
        </is>
      </c>
      <c r="Y861" s="0" t="inlineStr">
        <is>
          <t>N/A</t>
        </is>
      </c>
      <c r="Z861" s="0" t="inlineStr">
        <is>
          <t>N/A</t>
        </is>
      </c>
      <c r="AA861" s="0" t="inlineStr">
        <is>
          <t>N/A</t>
        </is>
      </c>
    </row>
    <row r="862" ht="15.75" customHeight="1" s="51">
      <c r="A862" s="43" t="inlineStr">
        <is>
          <t>ERA-085-10</t>
        </is>
      </c>
      <c r="B862" s="43" t="inlineStr">
        <is>
          <t>Erato</t>
        </is>
      </c>
      <c r="C862" s="43" t="inlineStr">
        <is>
          <t>Smartphones &amp; Tablets</t>
        </is>
      </c>
      <c r="D862" s="43" t="inlineStr">
        <is>
          <t>Smartphone</t>
        </is>
      </c>
      <c r="E862" s="44" t="inlineStr">
        <is>
          <t>Erato Aria Foldable Phone</t>
        </is>
      </c>
      <c r="F862" s="45" t="n">
        <v>2180.99</v>
      </c>
      <c r="G862" s="43" t="inlineStr">
        <is>
          <t>the Aria; Erato Aria; Eratoo Aria; Aria smartphone</t>
        </is>
      </c>
      <c r="H862" s="43" t="inlineStr">
        <is>
          <t>2 year limited</t>
        </is>
      </c>
      <c r="I862" s="43" t="inlineStr">
        <is>
          <t>FCC, CE, IPX8</t>
        </is>
      </c>
      <c r="J862" s="43" t="inlineStr">
        <is>
          <t>Qualcomm Snapdragon 8 Elite</t>
        </is>
      </c>
      <c r="K862" s="43" t="inlineStr">
        <is>
          <t>Qualcomm Adreno 830</t>
        </is>
      </c>
      <c r="L862" s="43" t="inlineStr">
        <is>
          <t>Foldable LTPO AMOLED inner + AMOLED cover, 120Hz</t>
        </is>
      </c>
      <c r="M862" s="43" t="inlineStr">
        <is>
          <t>2160x1856 inner / 1080x2376 cover</t>
        </is>
      </c>
      <c r="N862" s="43" t="inlineStr">
        <is>
          <t>USB-C (USB 3.2), nano-SIM + eSIM</t>
        </is>
      </c>
      <c r="O862" s="43" t="inlineStr">
        <is>
          <t>Android 15</t>
        </is>
      </c>
      <c r="P862" s="43" t="n">
        <v>20</v>
      </c>
      <c r="Q862" s="46" t="n">
        <v>241</v>
      </c>
      <c r="R862" s="43" t="inlineStr">
        <is>
          <t>Lighter than Epimetheus Echo Pro Foldable Phone [EPI-091-10] (241 g vs 257 g); Longer battery than Hecate Vibe Air Foldable Phone [HEC-052-09] (20 vs 19 hrs)</t>
        </is>
      </c>
      <c r="S862" s="43" t="inlineStr">
        <is>
          <t>multitasking, business, media</t>
        </is>
      </c>
      <c r="T862" s="0" t="inlineStr">
        <is>
          <t>in_stock</t>
        </is>
      </c>
      <c r="U862" s="0" t="n">
        <v>30</v>
      </c>
      <c r="V862" s="52" t="n">
        <v>2282.99</v>
      </c>
      <c r="W862" s="0" t="inlineStr">
        <is>
          <t>2026-09-11</t>
        </is>
      </c>
      <c r="X862" s="0" t="inlineStr">
        <is>
          <t>N/A</t>
        </is>
      </c>
      <c r="Y862" s="0" t="inlineStr">
        <is>
          <t>N/A</t>
        </is>
      </c>
      <c r="Z862" s="0" t="inlineStr">
        <is>
          <t>N/A</t>
        </is>
      </c>
      <c r="AA862" s="0" t="inlineStr">
        <is>
          <t>N/A</t>
        </is>
      </c>
    </row>
    <row r="863" ht="15.75" customHeight="1" s="51">
      <c r="A863" s="43" t="inlineStr">
        <is>
          <t>LET-086-01</t>
        </is>
      </c>
      <c r="B863" s="43" t="inlineStr">
        <is>
          <t>Lethe</t>
        </is>
      </c>
      <c r="C863" s="43" t="inlineStr">
        <is>
          <t>Smartphones &amp; Tablets</t>
        </is>
      </c>
      <c r="D863" s="43" t="inlineStr">
        <is>
          <t>Tablet</t>
        </is>
      </c>
      <c r="E863" s="44" t="inlineStr">
        <is>
          <t>Lethe Echo Max Kids Tablet</t>
        </is>
      </c>
      <c r="F863" s="45" t="n">
        <v>195.99</v>
      </c>
      <c r="G863" s="43" t="inlineStr">
        <is>
          <t>the Echo Max; Lethe Echo Max; Lethhe Echo Max; Echo Max tablet</t>
        </is>
      </c>
      <c r="H863" s="43" t="inlineStr">
        <is>
          <t>2 year limited</t>
        </is>
      </c>
      <c r="I863" s="43" t="inlineStr">
        <is>
          <t>FCC, CE, TUV Rheinland Low Blue Light, EN 71 Toy Safety, Energy Star</t>
        </is>
      </c>
      <c r="J863" s="43" t="inlineStr">
        <is>
          <t>MediaTek Helio G88</t>
        </is>
      </c>
      <c r="K863" s="43" t="inlineStr">
        <is>
          <t>Arm Mali-G52 MC2</t>
        </is>
      </c>
      <c r="L863" s="43" t="inlineStr">
        <is>
          <t>IPS LCD, 60Hz</t>
        </is>
      </c>
      <c r="M863" s="43" t="inlineStr">
        <is>
          <t>800x1280</t>
        </is>
      </c>
      <c r="N863" s="43" t="inlineStr">
        <is>
          <t>USB-C (USB 2.0), microSD slot</t>
        </is>
      </c>
      <c r="O863" s="43" t="inlineStr">
        <is>
          <t>Android 14 with parental controls</t>
        </is>
      </c>
      <c r="P863" s="43" t="n">
        <v>11</v>
      </c>
      <c r="Q863" s="46" t="n">
        <v>426</v>
      </c>
      <c r="R863" s="43" t="inlineStr">
        <is>
          <t>Longer battery than Iapetus Blaze Kids Tablet [IAP-096-01] (11 vs 8 hrs); Lighter than Comus Sable Pro Kids Tablet [COM-078-01] (426 g vs 433 g)</t>
        </is>
      </c>
      <c r="S863" s="43" t="inlineStr">
        <is>
          <t>kids, learning, games</t>
        </is>
      </c>
      <c r="T863" s="0" t="inlineStr">
        <is>
          <t>low_stock</t>
        </is>
      </c>
      <c r="U863" s="0" t="n">
        <v>30</v>
      </c>
      <c r="V863" s="52" t="n">
        <v>220.99</v>
      </c>
      <c r="W863" s="0" t="inlineStr">
        <is>
          <t>2026-08-01</t>
        </is>
      </c>
      <c r="X863" s="0" t="inlineStr">
        <is>
          <t>N/A</t>
        </is>
      </c>
      <c r="Y863" s="0" t="inlineStr">
        <is>
          <t>N/A</t>
        </is>
      </c>
      <c r="Z863" s="0" t="inlineStr">
        <is>
          <t>N/A</t>
        </is>
      </c>
      <c r="AA863" s="0" t="inlineStr">
        <is>
          <t>N/A</t>
        </is>
      </c>
    </row>
    <row r="864" ht="15.75" customHeight="1" s="51">
      <c r="A864" s="43" t="inlineStr">
        <is>
          <t>LET-086-02</t>
        </is>
      </c>
      <c r="B864" s="43" t="inlineStr">
        <is>
          <t>Lethe</t>
        </is>
      </c>
      <c r="C864" s="43" t="inlineStr">
        <is>
          <t>Smartphones &amp; Tablets</t>
        </is>
      </c>
      <c r="D864" s="43" t="inlineStr">
        <is>
          <t>Tablet</t>
        </is>
      </c>
      <c r="E864" s="44" t="inlineStr">
        <is>
          <t>Lethe Axis Max 8" Mini Tablet</t>
        </is>
      </c>
      <c r="F864" s="45" t="n">
        <v>363.99</v>
      </c>
      <c r="G864" s="43" t="inlineStr">
        <is>
          <t>the Axis Max; Lethe Axis Max; Leethe Axis Max; Axis Max tablet</t>
        </is>
      </c>
      <c r="H864" s="43" t="inlineStr">
        <is>
          <t>1 year limited</t>
        </is>
      </c>
      <c r="I864" s="43" t="inlineStr">
        <is>
          <t>FCC, CE, TUV Rheinland Low Blue Light</t>
        </is>
      </c>
      <c r="J864" s="43" t="inlineStr">
        <is>
          <t>MediaTek Dimensity 7300</t>
        </is>
      </c>
      <c r="K864" s="43" t="inlineStr">
        <is>
          <t>Arm Mali-G615 MC2</t>
        </is>
      </c>
      <c r="L864" s="43" t="inlineStr">
        <is>
          <t>IPS LCD, 60Hz</t>
        </is>
      </c>
      <c r="M864" s="43" t="inlineStr">
        <is>
          <t>1200x1920</t>
        </is>
      </c>
      <c r="N864" s="43" t="inlineStr">
        <is>
          <t>USB-C (USB 2.0), microSD slot</t>
        </is>
      </c>
      <c r="O864" s="43" t="inlineStr">
        <is>
          <t>Android 15</t>
        </is>
      </c>
      <c r="P864" s="43" t="n">
        <v>9</v>
      </c>
      <c r="Q864" s="46" t="n">
        <v>339</v>
      </c>
      <c r="R864" s="43" t="inlineStr">
        <is>
          <t>Lower price than Comus Zen Max 8" Mini Tablet [COM-078-03] ($363.99 vs $401.99)</t>
        </is>
      </c>
      <c r="S864" s="43" t="inlineStr">
        <is>
          <t>reading, travel, gaming</t>
        </is>
      </c>
      <c r="T864" s="0" t="inlineStr">
        <is>
          <t>out_of_stock</t>
        </is>
      </c>
      <c r="U864" s="0" t="n">
        <v>30</v>
      </c>
      <c r="V864" s="52" t="n">
        <v>386.99</v>
      </c>
      <c r="W864" s="0" t="inlineStr">
        <is>
          <t>2026-09-18</t>
        </is>
      </c>
      <c r="X864" s="0" t="inlineStr">
        <is>
          <t>N/A</t>
        </is>
      </c>
      <c r="Y864" s="0" t="inlineStr">
        <is>
          <t>N/A</t>
        </is>
      </c>
      <c r="Z864" s="0" t="inlineStr">
        <is>
          <t>N/A</t>
        </is>
      </c>
      <c r="AA864" s="0" t="inlineStr">
        <is>
          <t>N/A</t>
        </is>
      </c>
    </row>
    <row r="865" ht="15.75" customHeight="1" s="51">
      <c r="A865" s="43" t="inlineStr">
        <is>
          <t>LET-086-03</t>
        </is>
      </c>
      <c r="B865" s="43" t="inlineStr">
        <is>
          <t>Lethe</t>
        </is>
      </c>
      <c r="C865" s="43" t="inlineStr">
        <is>
          <t>Smartphones &amp; Tablets</t>
        </is>
      </c>
      <c r="D865" s="43" t="inlineStr">
        <is>
          <t>Smartphone</t>
        </is>
      </c>
      <c r="E865" s="44" t="inlineStr">
        <is>
          <t>Lethe Lumen Max Rugged Smartphone</t>
        </is>
      </c>
      <c r="F865" s="45" t="n">
        <v>446.99</v>
      </c>
      <c r="G865" s="43" t="inlineStr">
        <is>
          <t>the Lumen Max; Lethe Lumen Max; Lethee Lumen Max; Lumen Max smartphone</t>
        </is>
      </c>
      <c r="H865" s="43" t="inlineStr">
        <is>
          <t>2 year limited</t>
        </is>
      </c>
      <c r="I865" s="43" t="inlineStr">
        <is>
          <t>FCC, CE, IP69K, MIL-STD-810H</t>
        </is>
      </c>
      <c r="J865" s="43" t="inlineStr">
        <is>
          <t>MediaTek Dimensity 7300</t>
        </is>
      </c>
      <c r="K865" s="43" t="inlineStr">
        <is>
          <t>Arm Mali-G615 MC2</t>
        </is>
      </c>
      <c r="L865" s="43" t="inlineStr">
        <is>
          <t>IPS LCD, Gorilla Glass Victus, 120Hz</t>
        </is>
      </c>
      <c r="M865" s="43" t="inlineStr">
        <is>
          <t>1080x2400</t>
        </is>
      </c>
      <c r="N865" s="43" t="inlineStr">
        <is>
          <t>USB-C (USB 2.0), nano-SIM + eSIM, 3.5mm headphone jack, microSD slot</t>
        </is>
      </c>
      <c r="O865" s="43" t="inlineStr">
        <is>
          <t>Android 15</t>
        </is>
      </c>
      <c r="P865" s="43" t="n">
        <v>45</v>
      </c>
      <c r="Q865" s="46" t="n">
        <v>306</v>
      </c>
      <c r="R865" s="43" t="inlineStr">
        <is>
          <t>Lighter than Clotho Prism X Rugged Smartphone [CLO-062-06] (306 g vs 307 g); Longer battery than Hecate Lumen Lite Rugged Smartphone [HEC-052-05] (45 vs 43 hrs)</t>
        </is>
      </c>
      <c r="S865" s="43" t="inlineStr">
        <is>
          <t>outdoor, construction, fieldwork</t>
        </is>
      </c>
      <c r="T865" s="0" t="inlineStr">
        <is>
          <t>in_stock</t>
        </is>
      </c>
      <c r="U865" s="0" t="n">
        <v>30</v>
      </c>
      <c r="V865" s="52" t="n">
        <v>464.99</v>
      </c>
      <c r="W865" s="0" t="inlineStr">
        <is>
          <t>2026-08-02</t>
        </is>
      </c>
      <c r="X865" s="0" t="inlineStr">
        <is>
          <t>N/A</t>
        </is>
      </c>
      <c r="Y865" s="0" t="inlineStr">
        <is>
          <t>N/A</t>
        </is>
      </c>
      <c r="Z865" s="0" t="inlineStr">
        <is>
          <t>N/A</t>
        </is>
      </c>
      <c r="AA865" s="0" t="inlineStr">
        <is>
          <t>N/A</t>
        </is>
      </c>
    </row>
    <row r="866" ht="15.75" customHeight="1" s="51">
      <c r="A866" s="43" t="inlineStr">
        <is>
          <t>LET-086-04</t>
        </is>
      </c>
      <c r="B866" s="43" t="inlineStr">
        <is>
          <t>Lethe</t>
        </is>
      </c>
      <c r="C866" s="43" t="inlineStr">
        <is>
          <t>Smartphones &amp; Tablets</t>
        </is>
      </c>
      <c r="D866" s="43" t="inlineStr">
        <is>
          <t>Tablet</t>
        </is>
      </c>
      <c r="E866" s="44" t="inlineStr">
        <is>
          <t>Lethe Strata Lite E-Ink Note Tablet</t>
        </is>
      </c>
      <c r="F866" s="45" t="n">
        <v>607.99</v>
      </c>
      <c r="G866" s="43" t="inlineStr">
        <is>
          <t>the Strata Lite; Lethe Strata Lite; Lete Strata Lite; Strata Lite tablet</t>
        </is>
      </c>
      <c r="H866" s="43" t="inlineStr">
        <is>
          <t>2 year limited</t>
        </is>
      </c>
      <c r="I866" s="43" t="inlineStr">
        <is>
          <t>FCC, CE, TUV Rheinland Low Blue Light, Energy Star</t>
        </is>
      </c>
      <c r="J866" s="43" t="inlineStr">
        <is>
          <t>Rockchip RK3566</t>
        </is>
      </c>
      <c r="K866" s="43" t="inlineStr">
        <is>
          <t>Arm Mali-G52 2EE</t>
        </is>
      </c>
      <c r="L866" s="43" t="inlineStr">
        <is>
          <t>E Ink Carta 1300, front-lit</t>
        </is>
      </c>
      <c r="M866" s="43" t="inlineStr">
        <is>
          <t>1404x1872</t>
        </is>
      </c>
      <c r="N866" s="43" t="inlineStr">
        <is>
          <t>USB-C (USB 2.0), microSD slot</t>
        </is>
      </c>
      <c r="O866" s="43" t="inlineStr">
        <is>
          <t>Android 13 (E Ink optimized)</t>
        </is>
      </c>
      <c r="P866" s="43" t="n">
        <v>193</v>
      </c>
      <c r="Q866" s="46" t="n">
        <v>421</v>
      </c>
      <c r="R866" s="43" t="inlineStr">
        <is>
          <t>Longer battery than Peitho Drift Air E-Ink Note Tablet [PEI-083-03] (193 vs 131 hrs); Lighter than Aglaea Echo Plus E-Ink Note Tablet [AGL-079-04] (421 g vs 437 g)</t>
        </is>
      </c>
      <c r="S866" s="43" t="inlineStr">
        <is>
          <t>reading, note-taking, school</t>
        </is>
      </c>
      <c r="T866" s="0" t="inlineStr">
        <is>
          <t>in_stock</t>
        </is>
      </c>
      <c r="U866" s="0" t="n">
        <v>30</v>
      </c>
      <c r="V866" s="52" t="n">
        <v>646.99</v>
      </c>
      <c r="W866" s="0" t="inlineStr">
        <is>
          <t>2026-08-01</t>
        </is>
      </c>
      <c r="X866" s="0" t="inlineStr">
        <is>
          <t>N/A</t>
        </is>
      </c>
      <c r="Y866" s="0" t="inlineStr">
        <is>
          <t>N/A</t>
        </is>
      </c>
      <c r="Z866" s="0" t="inlineStr">
        <is>
          <t>N/A</t>
        </is>
      </c>
      <c r="AA866" s="0" t="inlineStr">
        <is>
          <t>N/A</t>
        </is>
      </c>
    </row>
    <row r="867" ht="15.75" customHeight="1" s="51">
      <c r="A867" s="43" t="inlineStr">
        <is>
          <t>LET-086-05</t>
        </is>
      </c>
      <c r="B867" s="43" t="inlineStr">
        <is>
          <t>Lethe</t>
        </is>
      </c>
      <c r="C867" s="43" t="inlineStr">
        <is>
          <t>Smartphones &amp; Tablets</t>
        </is>
      </c>
      <c r="D867" s="43" t="inlineStr">
        <is>
          <t>Smartphone</t>
        </is>
      </c>
      <c r="E867" s="44" t="inlineStr">
        <is>
          <t>Lethe Quanta Compact Smartphone</t>
        </is>
      </c>
      <c r="F867" s="45" t="n">
        <v>761.99</v>
      </c>
      <c r="G867" s="43" t="inlineStr">
        <is>
          <t>the Quanta; Lethe Quanta; Leethe Quanta; Quanta smartphone</t>
        </is>
      </c>
      <c r="H867" s="43" t="inlineStr">
        <is>
          <t>1 year limited</t>
        </is>
      </c>
      <c r="I867" s="43" t="inlineStr">
        <is>
          <t>FCC, CE, IP68</t>
        </is>
      </c>
      <c r="J867" s="43" t="inlineStr">
        <is>
          <t>MediaTek Dimensity 8300</t>
        </is>
      </c>
      <c r="K867" s="43" t="inlineStr">
        <is>
          <t>Arm Mali-G615 MC6</t>
        </is>
      </c>
      <c r="L867" s="43" t="inlineStr">
        <is>
          <t>AMOLED, 120Hz</t>
        </is>
      </c>
      <c r="M867" s="43" t="inlineStr">
        <is>
          <t>1080x2340</t>
        </is>
      </c>
      <c r="N867" s="43" t="inlineStr">
        <is>
          <t>USB-C (USB 3.2), nano-SIM + eSIM</t>
        </is>
      </c>
      <c r="O867" s="43" t="inlineStr">
        <is>
          <t>Android 15</t>
        </is>
      </c>
      <c r="P867" s="43" t="n">
        <v>23</v>
      </c>
      <c r="Q867" s="46" t="n">
        <v>145</v>
      </c>
      <c r="R867" s="43" t="inlineStr">
        <is>
          <t>Lighter than Anteros Vertex Plus Compact Smartphone [ANT-090-03] (145 g vs 162 g); Longer battery than Panacea Nova Air Compact Smartphone [PAN-069-05] (23 vs 18 hrs)</t>
        </is>
      </c>
      <c r="S867" s="43" t="inlineStr">
        <is>
          <t>everyday, one-handed use</t>
        </is>
      </c>
      <c r="T867" s="0" t="inlineStr">
        <is>
          <t>in_stock</t>
        </is>
      </c>
      <c r="U867" s="0" t="n">
        <v>30</v>
      </c>
      <c r="V867" s="52" t="n">
        <v>822.99</v>
      </c>
      <c r="W867" s="0" t="inlineStr">
        <is>
          <t>2026-09-01</t>
        </is>
      </c>
      <c r="X867" s="0" t="inlineStr">
        <is>
          <t>N/A</t>
        </is>
      </c>
      <c r="Y867" s="0" t="inlineStr">
        <is>
          <t>N/A</t>
        </is>
      </c>
      <c r="Z867" s="0" t="inlineStr">
        <is>
          <t>N/A</t>
        </is>
      </c>
      <c r="AA867" s="0" t="inlineStr">
        <is>
          <t>N/A</t>
        </is>
      </c>
    </row>
    <row r="868" ht="15.75" customHeight="1" s="51">
      <c r="A868" s="43" t="inlineStr">
        <is>
          <t>LET-086-06</t>
        </is>
      </c>
      <c r="B868" s="43" t="inlineStr">
        <is>
          <t>Lethe</t>
        </is>
      </c>
      <c r="C868" s="43" t="inlineStr">
        <is>
          <t>Smartphones &amp; Tablets</t>
        </is>
      </c>
      <c r="D868" s="43" t="inlineStr">
        <is>
          <t>Smartphone</t>
        </is>
      </c>
      <c r="E868" s="44" t="inlineStr">
        <is>
          <t>Lethe Titan Max Flip Foldable Phone</t>
        </is>
      </c>
      <c r="F868" s="45" t="n">
        <v>977.99</v>
      </c>
      <c r="G868" s="43" t="inlineStr">
        <is>
          <t>the Titan Max; Lethe Titan Max; Lete Titan Max; Titan Max smartphone</t>
        </is>
      </c>
      <c r="H868" s="43" t="inlineStr">
        <is>
          <t>1 year limited</t>
        </is>
      </c>
      <c r="I868" s="43" t="inlineStr">
        <is>
          <t>FCC, CE, IPX8</t>
        </is>
      </c>
      <c r="J868" s="43" t="inlineStr">
        <is>
          <t>Qualcomm Snapdragon 8 Gen 3</t>
        </is>
      </c>
      <c r="K868" s="43" t="inlineStr">
        <is>
          <t>Qualcomm Adreno 750</t>
        </is>
      </c>
      <c r="L868" s="43" t="inlineStr">
        <is>
          <t>Foldable AMOLED inner + AMOLED cover screen</t>
        </is>
      </c>
      <c r="M868" s="43" t="inlineStr">
        <is>
          <t>1080x2640 inner / 720x748 cover</t>
        </is>
      </c>
      <c r="N868" s="43" t="inlineStr">
        <is>
          <t>USB-C (USB 3.2), nano-SIM + eSIM</t>
        </is>
      </c>
      <c r="O868" s="43" t="inlineStr">
        <is>
          <t>Android 15</t>
        </is>
      </c>
      <c r="P868" s="43" t="n">
        <v>17</v>
      </c>
      <c r="Q868" s="46" t="n">
        <v>189</v>
      </c>
      <c r="R868" s="43" t="inlineStr">
        <is>
          <t>Lower price than Theia Flux Lite Flip Foldable Phone [THE-081-07] ($977.99 vs $1,129.99); Lighter than Thetis Orbit Flip Foldable Phone [THE-093-09] (189 g vs 195 g)</t>
        </is>
      </c>
      <c r="S868" s="43" t="inlineStr">
        <is>
          <t>style, everyday, compact</t>
        </is>
      </c>
      <c r="T868" s="0" t="inlineStr">
        <is>
          <t>in_stock</t>
        </is>
      </c>
      <c r="U868" s="0" t="n">
        <v>30</v>
      </c>
      <c r="V868" s="52" t="n">
        <v>1017.99</v>
      </c>
      <c r="W868" s="0" t="inlineStr">
        <is>
          <t>2026-08-23</t>
        </is>
      </c>
      <c r="X868" s="0" t="inlineStr">
        <is>
          <t>N/A</t>
        </is>
      </c>
      <c r="Y868" s="0" t="inlineStr">
        <is>
          <t>N/A</t>
        </is>
      </c>
      <c r="Z868" s="0" t="inlineStr">
        <is>
          <t>N/A</t>
        </is>
      </c>
      <c r="AA868" s="0" t="inlineStr">
        <is>
          <t>N/A</t>
        </is>
      </c>
    </row>
    <row r="869" ht="15.75" customHeight="1" s="51">
      <c r="A869" s="43" t="inlineStr">
        <is>
          <t>LET-086-07</t>
        </is>
      </c>
      <c r="B869" s="43" t="inlineStr">
        <is>
          <t>Lethe</t>
        </is>
      </c>
      <c r="C869" s="43" t="inlineStr">
        <is>
          <t>Smartphones &amp; Tablets</t>
        </is>
      </c>
      <c r="D869" s="43" t="inlineStr">
        <is>
          <t>Tablet</t>
        </is>
      </c>
      <c r="E869" s="44" t="inlineStr">
        <is>
          <t>Lethe Titan Lite 5G Tablet</t>
        </is>
      </c>
      <c r="F869" s="45" t="n">
        <v>1109.99</v>
      </c>
      <c r="G869" s="43" t="inlineStr">
        <is>
          <t>the Titan Lite; Lethe Titan Lite; Leethe Titan Lite; Titan Lite tablet</t>
        </is>
      </c>
      <c r="H869" s="43" t="inlineStr">
        <is>
          <t>2 year limited</t>
        </is>
      </c>
      <c r="I869" s="43" t="inlineStr">
        <is>
          <t>FCC, CE, Energy Star</t>
        </is>
      </c>
      <c r="J869" s="43" t="inlineStr">
        <is>
          <t>MediaTek Dimensity 9400</t>
        </is>
      </c>
      <c r="K869" s="43" t="inlineStr">
        <is>
          <t>Arm Immortalis-G925</t>
        </is>
      </c>
      <c r="L869" s="43" t="inlineStr">
        <is>
          <t>OLED, 120Hz</t>
        </is>
      </c>
      <c r="M869" s="43" t="inlineStr">
        <is>
          <t>1752x2800</t>
        </is>
      </c>
      <c r="N869" s="43" t="inlineStr">
        <is>
          <t>USB-C (USB 3.2), magnetic keyboard connector, nano-SIM + eSIM</t>
        </is>
      </c>
      <c r="O869" s="43" t="inlineStr">
        <is>
          <t>Android 15</t>
        </is>
      </c>
      <c r="P869" s="43" t="n">
        <v>14</v>
      </c>
      <c r="Q869" s="46" t="n">
        <v>508</v>
      </c>
      <c r="R869" s="43" t="inlineStr">
        <is>
          <t>Lighter than Panacea Halo Plus 5G Tablet [PAN-069-07] (508 g vs 548 g); Longer battery than Circe Nimbus Lite 5G Tablet [CIR-068-05] (14 vs 11 hrs)</t>
        </is>
      </c>
      <c r="S869" s="43" t="inlineStr">
        <is>
          <t>travel, streaming, work on the go</t>
        </is>
      </c>
      <c r="T869" s="0" t="inlineStr">
        <is>
          <t>in_stock</t>
        </is>
      </c>
      <c r="U869" s="0" t="n">
        <v>30</v>
      </c>
      <c r="V869" s="52" t="n">
        <v>1249.99</v>
      </c>
      <c r="W869" s="0" t="inlineStr">
        <is>
          <t>2026-09-23</t>
        </is>
      </c>
      <c r="X869" s="0" t="inlineStr">
        <is>
          <t>N/A</t>
        </is>
      </c>
      <c r="Y869" s="0" t="inlineStr">
        <is>
          <t>N/A</t>
        </is>
      </c>
      <c r="Z869" s="0" t="inlineStr">
        <is>
          <t>N/A</t>
        </is>
      </c>
      <c r="AA869" s="0" t="inlineStr">
        <is>
          <t>N/A</t>
        </is>
      </c>
    </row>
    <row r="870" ht="15.75" customHeight="1" s="51">
      <c r="A870" s="43" t="inlineStr">
        <is>
          <t>LET-086-08</t>
        </is>
      </c>
      <c r="B870" s="43" t="inlineStr">
        <is>
          <t>Lethe</t>
        </is>
      </c>
      <c r="C870" s="43" t="inlineStr">
        <is>
          <t>Smartphones &amp; Tablets</t>
        </is>
      </c>
      <c r="D870" s="43" t="inlineStr">
        <is>
          <t>Tablet</t>
        </is>
      </c>
      <c r="E870" s="44" t="inlineStr">
        <is>
          <t>Lethe Onyx SE 13" Pro Tablet</t>
        </is>
      </c>
      <c r="F870" s="45" t="n">
        <v>1136.99</v>
      </c>
      <c r="G870" s="43" t="inlineStr">
        <is>
          <t>the Onyx SE; Lethe Onyx SE; Lete Onyx SE; Onyx SE tablet</t>
        </is>
      </c>
      <c r="H870" s="43" t="inlineStr">
        <is>
          <t>1 year limited</t>
        </is>
      </c>
      <c r="I870" s="43" t="inlineStr">
        <is>
          <t>FCC, CE</t>
        </is>
      </c>
      <c r="J870" s="43" t="inlineStr">
        <is>
          <t>MediaTek Dimensity 9400</t>
        </is>
      </c>
      <c r="K870" s="43" t="inlineStr">
        <is>
          <t>Arm Immortalis-G925</t>
        </is>
      </c>
      <c r="L870" s="43" t="inlineStr">
        <is>
          <t>OLED, 120Hz</t>
        </is>
      </c>
      <c r="M870" s="43" t="inlineStr">
        <is>
          <t>2800x1752</t>
        </is>
      </c>
      <c r="N870" s="43" t="inlineStr">
        <is>
          <t>USB-C (USB 3.2), magnetic keyboard connector</t>
        </is>
      </c>
      <c r="O870" s="43" t="inlineStr">
        <is>
          <t>Android 15</t>
        </is>
      </c>
      <c r="P870" s="43" t="n">
        <v>11</v>
      </c>
      <c r="Q870" s="46" t="n">
        <v>637</v>
      </c>
      <c r="R870" s="43" t="inlineStr">
        <is>
          <t>Longer battery than Coeus Volt Air 13" Pro Tablet [COE-075-09] (11 vs 10 hrs); Lower price than Nemesis Titan Lite 13" Pro Tablet [NEM-051-10] ($1,136.99 vs $1,820.99)</t>
        </is>
      </c>
      <c r="S870" s="43" t="inlineStr">
        <is>
          <t>creative work, productivity, drawing</t>
        </is>
      </c>
      <c r="T870" s="0" t="inlineStr">
        <is>
          <t>low_stock</t>
        </is>
      </c>
      <c r="U870" s="0" t="n">
        <v>30</v>
      </c>
      <c r="V870" s="52" t="n">
        <v>1235.99</v>
      </c>
      <c r="W870" s="0" t="inlineStr">
        <is>
          <t>2026-08-24</t>
        </is>
      </c>
      <c r="X870" s="0" t="inlineStr">
        <is>
          <t>N/A</t>
        </is>
      </c>
      <c r="Y870" s="0" t="inlineStr">
        <is>
          <t>N/A</t>
        </is>
      </c>
      <c r="Z870" s="0" t="inlineStr">
        <is>
          <t>N/A</t>
        </is>
      </c>
      <c r="AA870" s="0" t="inlineStr">
        <is>
          <t>N/A</t>
        </is>
      </c>
    </row>
    <row r="871" ht="15.75" customHeight="1" s="51">
      <c r="A871" s="43" t="inlineStr">
        <is>
          <t>LET-086-09</t>
        </is>
      </c>
      <c r="B871" s="43" t="inlineStr">
        <is>
          <t>Lethe</t>
        </is>
      </c>
      <c r="C871" s="43" t="inlineStr">
        <is>
          <t>Smartphones &amp; Tablets</t>
        </is>
      </c>
      <c r="D871" s="43" t="inlineStr">
        <is>
          <t>Tablet</t>
        </is>
      </c>
      <c r="E871" s="44" t="inlineStr">
        <is>
          <t>Lethe Echo X Drawing Tablet with Stylus</t>
        </is>
      </c>
      <c r="F871" s="45" t="n">
        <v>1222.99</v>
      </c>
      <c r="G871" s="43" t="inlineStr">
        <is>
          <t>the Echo X; Lethe Echo X; Ltehe Echo X; Echo X tablet</t>
        </is>
      </c>
      <c r="H871" s="43" t="inlineStr">
        <is>
          <t>2 year limited</t>
        </is>
      </c>
      <c r="I871" s="43" t="inlineStr">
        <is>
          <t>FCC, CE, TUV Rheinland Low Blue Light, Energy Star</t>
        </is>
      </c>
      <c r="J871" s="43" t="inlineStr">
        <is>
          <t>MediaTek Dimensity 9400</t>
        </is>
      </c>
      <c r="K871" s="43" t="inlineStr">
        <is>
          <t>Arm Immortalis-G925</t>
        </is>
      </c>
      <c r="L871" s="43" t="inlineStr">
        <is>
          <t>OLED, 120Hz, pen digitizer</t>
        </is>
      </c>
      <c r="M871" s="43" t="inlineStr">
        <is>
          <t>2560x1600</t>
        </is>
      </c>
      <c r="N871" s="43" t="inlineStr">
        <is>
          <t>USB-C (USB 3.2), magnetic keyboard connector</t>
        </is>
      </c>
      <c r="O871" s="43" t="inlineStr">
        <is>
          <t>Android 15</t>
        </is>
      </c>
      <c r="P871" s="43" t="n">
        <v>11</v>
      </c>
      <c r="Q871" s="46" t="n">
        <v>637</v>
      </c>
      <c r="R871" s="43" t="inlineStr">
        <is>
          <t>Longer battery than Aletheia Vibe Ultra Drawing Tablet with Stylus [ALE-089-08] (11 vs 9 hrs); Lighter than Mnemosyne Vertex Lite Drawing Tablet with Stylus [MNE-061-06] (637 g vs 639 g)</t>
        </is>
      </c>
      <c r="S871" s="43" t="inlineStr">
        <is>
          <t>drawing, design, note-taking</t>
        </is>
      </c>
      <c r="T871" s="0" t="inlineStr">
        <is>
          <t>in_stock</t>
        </is>
      </c>
      <c r="U871" s="0" t="n">
        <v>30</v>
      </c>
      <c r="V871" s="52" t="n">
        <v>1354.99</v>
      </c>
      <c r="W871" s="0" t="inlineStr">
        <is>
          <t>2026-08-30</t>
        </is>
      </c>
      <c r="X871" s="0" t="inlineStr">
        <is>
          <t>N/A</t>
        </is>
      </c>
      <c r="Y871" s="0" t="inlineStr">
        <is>
          <t>N/A</t>
        </is>
      </c>
      <c r="Z871" s="0" t="inlineStr">
        <is>
          <t>N/A</t>
        </is>
      </c>
      <c r="AA871" s="0" t="inlineStr">
        <is>
          <t>N/A</t>
        </is>
      </c>
    </row>
    <row r="872" ht="15.75" customHeight="1" s="51">
      <c r="A872" s="43" t="inlineStr">
        <is>
          <t>LET-086-10</t>
        </is>
      </c>
      <c r="B872" s="43" t="inlineStr">
        <is>
          <t>Lethe</t>
        </is>
      </c>
      <c r="C872" s="43" t="inlineStr">
        <is>
          <t>Smartphones &amp; Tablets</t>
        </is>
      </c>
      <c r="D872" s="43" t="inlineStr">
        <is>
          <t>Smartphone</t>
        </is>
      </c>
      <c r="E872" s="44" t="inlineStr">
        <is>
          <t>Lethe Drift Lite Pro Max Smartphone</t>
        </is>
      </c>
      <c r="F872" s="45" t="n">
        <v>1541.99</v>
      </c>
      <c r="G872" s="43" t="inlineStr">
        <is>
          <t>the Drift Lite; Lethe Drift Lite; Lethhe Drift Lite; Drift Lite smartphone</t>
        </is>
      </c>
      <c r="H872" s="43" t="inlineStr">
        <is>
          <t>2 year limited</t>
        </is>
      </c>
      <c r="I872" s="43" t="inlineStr">
        <is>
          <t>FCC, CE, IP68, Qi2</t>
        </is>
      </c>
      <c r="J872" s="43" t="inlineStr">
        <is>
          <t>Qualcomm Snapdragon 8 Elite</t>
        </is>
      </c>
      <c r="K872" s="43" t="inlineStr">
        <is>
          <t>Qualcomm Adreno 830</t>
        </is>
      </c>
      <c r="L872" s="43" t="inlineStr">
        <is>
          <t>LTPO AMOLED, 1-120Hz</t>
        </is>
      </c>
      <c r="M872" s="43" t="inlineStr">
        <is>
          <t>1440x3120</t>
        </is>
      </c>
      <c r="N872" s="43" t="inlineStr">
        <is>
          <t>USB-C (USB 3.2), nano-SIM + eSIM</t>
        </is>
      </c>
      <c r="O872" s="43" t="inlineStr">
        <is>
          <t>Android 15</t>
        </is>
      </c>
      <c r="P872" s="43" t="n">
        <v>28</v>
      </c>
      <c r="Q872" s="46" t="n">
        <v>212</v>
      </c>
      <c r="R872" s="43" t="inlineStr">
        <is>
          <t>Lighter than Dike Lumen Max Pro Max Smartphone [DIK-099-10] (212 g vs 234 g); Lower price than Iapetus Strata Air Pro Max Smartphone [IAP-096-09] ($1,541.99 vs $1,557.99)</t>
        </is>
      </c>
      <c r="S872" s="43" t="inlineStr">
        <is>
          <t>photography, video, mobile gaming</t>
        </is>
      </c>
      <c r="T872" s="0" t="inlineStr">
        <is>
          <t>in_stock</t>
        </is>
      </c>
      <c r="U872" s="0" t="n">
        <v>30</v>
      </c>
      <c r="V872" s="52" t="n">
        <v>1699.99</v>
      </c>
      <c r="W872" s="0" t="inlineStr">
        <is>
          <t>2026-08-23</t>
        </is>
      </c>
      <c r="X872" s="0" t="inlineStr">
        <is>
          <t>N/A</t>
        </is>
      </c>
      <c r="Y872" s="0" t="inlineStr">
        <is>
          <t>N/A</t>
        </is>
      </c>
      <c r="Z872" s="0" t="inlineStr">
        <is>
          <t>N/A</t>
        </is>
      </c>
      <c r="AA872" s="0" t="inlineStr">
        <is>
          <t>N/A</t>
        </is>
      </c>
    </row>
    <row r="873" ht="15.75" customHeight="1" s="51">
      <c r="A873" s="43" t="inlineStr">
        <is>
          <t>PHO-087-01</t>
        </is>
      </c>
      <c r="B873" s="43" t="inlineStr">
        <is>
          <t>Phorcys</t>
        </is>
      </c>
      <c r="C873" s="43" t="inlineStr">
        <is>
          <t>Smartphones &amp; Tablets</t>
        </is>
      </c>
      <c r="D873" s="43" t="inlineStr">
        <is>
          <t>Smartphone</t>
        </is>
      </c>
      <c r="E873" s="44" t="inlineStr">
        <is>
          <t>Phorcys Nimbus Ultra Budget Smartphone</t>
        </is>
      </c>
      <c r="F873" s="45" t="n">
        <v>340.99</v>
      </c>
      <c r="G873" s="43" t="inlineStr">
        <is>
          <t>the Nimbus Ultra; Phorcys Nimbus Ultra; Phhorcys Nimbus Ultra; Nimbus Ultra smartphone</t>
        </is>
      </c>
      <c r="H873" s="43" t="inlineStr">
        <is>
          <t>2 year limited</t>
        </is>
      </c>
      <c r="I873" s="43" t="inlineStr">
        <is>
          <t>FCC, CE, IP54</t>
        </is>
      </c>
      <c r="J873" s="43" t="inlineStr">
        <is>
          <t>Qualcomm Snapdragon 6 Gen 1</t>
        </is>
      </c>
      <c r="K873" s="43" t="inlineStr">
        <is>
          <t>Qualcomm Adreno 710</t>
        </is>
      </c>
      <c r="L873" s="43" t="inlineStr">
        <is>
          <t>AMOLED, 120Hz</t>
        </is>
      </c>
      <c r="M873" s="43" t="inlineStr">
        <is>
          <t>1080x2400</t>
        </is>
      </c>
      <c r="N873" s="43" t="inlineStr">
        <is>
          <t>USB-C (USB 2.0), nano-SIM + eSIM, 3.5mm headphone jack, microSD slot</t>
        </is>
      </c>
      <c r="O873" s="43" t="inlineStr">
        <is>
          <t>Android 14</t>
        </is>
      </c>
      <c r="P873" s="43" t="n">
        <v>29</v>
      </c>
      <c r="Q873" s="46" t="n">
        <v>180</v>
      </c>
      <c r="R873" s="43" t="inlineStr">
        <is>
          <t>Lighter than Paean Aria Budget Smartphone [PAE-066-01] (180 g vs 192 g); Longer battery than Pan Aeon Ultra Budget Smartphone [PAN-097-01] (29 vs 20 hrs)</t>
        </is>
      </c>
      <c r="S873" s="43" t="inlineStr">
        <is>
          <t>budget, first phone, everyday</t>
        </is>
      </c>
      <c r="T873" s="0" t="inlineStr">
        <is>
          <t>in_stock</t>
        </is>
      </c>
      <c r="U873" s="0" t="n">
        <v>14</v>
      </c>
      <c r="V873" s="52" t="n">
        <v>351.99</v>
      </c>
      <c r="W873" s="0" t="inlineStr">
        <is>
          <t>2026-08-01</t>
        </is>
      </c>
      <c r="X873" s="0" t="inlineStr">
        <is>
          <t>N/A</t>
        </is>
      </c>
      <c r="Y873" s="0" t="inlineStr">
        <is>
          <t>N/A</t>
        </is>
      </c>
      <c r="Z873" s="0" t="inlineStr">
        <is>
          <t>N/A</t>
        </is>
      </c>
      <c r="AA873" s="0" t="inlineStr">
        <is>
          <t>N/A</t>
        </is>
      </c>
    </row>
    <row r="874" ht="15.75" customHeight="1" s="51">
      <c r="A874" s="43" t="inlineStr">
        <is>
          <t>PHO-087-02</t>
        </is>
      </c>
      <c r="B874" s="43" t="inlineStr">
        <is>
          <t>Phorcys</t>
        </is>
      </c>
      <c r="C874" s="43" t="inlineStr">
        <is>
          <t>Smartphones &amp; Tablets</t>
        </is>
      </c>
      <c r="D874" s="43" t="inlineStr">
        <is>
          <t>Smartphone</t>
        </is>
      </c>
      <c r="E874" s="44" t="inlineStr">
        <is>
          <t>Phorcys Drift Compact Smartphone</t>
        </is>
      </c>
      <c r="F874" s="45" t="n">
        <v>536.99</v>
      </c>
      <c r="G874" s="43" t="inlineStr">
        <is>
          <t>the Drift; Phorcys Drift; Forcys Drift; Drift smartphone</t>
        </is>
      </c>
      <c r="H874" s="43" t="inlineStr">
        <is>
          <t>1 year limited</t>
        </is>
      </c>
      <c r="I874" s="43" t="inlineStr">
        <is>
          <t>FCC, CE, IP68</t>
        </is>
      </c>
      <c r="J874" s="43" t="inlineStr">
        <is>
          <t>Qualcomm Snapdragon 7+ Gen 3</t>
        </is>
      </c>
      <c r="K874" s="43" t="inlineStr">
        <is>
          <t>Qualcomm Adreno 732</t>
        </is>
      </c>
      <c r="L874" s="43" t="inlineStr">
        <is>
          <t>AMOLED, 120Hz</t>
        </is>
      </c>
      <c r="M874" s="43" t="inlineStr">
        <is>
          <t>1080x2340</t>
        </is>
      </c>
      <c r="N874" s="43" t="inlineStr">
        <is>
          <t>USB-C (USB 2.0), nano-SIM + eSIM</t>
        </is>
      </c>
      <c r="O874" s="43" t="inlineStr">
        <is>
          <t>Android 15</t>
        </is>
      </c>
      <c r="P874" s="43" t="n">
        <v>23</v>
      </c>
      <c r="Q874" s="46" t="n">
        <v>152</v>
      </c>
      <c r="R874" s="43" t="inlineStr">
        <is>
          <t>Longer battery than Phobos Lumen SE Compact Smartphone [PHO-053-05] (23 vs 18 hrs); Lower price than Peitho Vibe X Compact Smartphone [PEI-083-06] ($536.99 vs $803.99)</t>
        </is>
      </c>
      <c r="S874" s="43" t="inlineStr">
        <is>
          <t>everyday, one-handed use</t>
        </is>
      </c>
      <c r="T874" s="0" t="inlineStr">
        <is>
          <t>in_stock</t>
        </is>
      </c>
      <c r="U874" s="0" t="n">
        <v>14</v>
      </c>
      <c r="V874" s="52" t="n">
        <v>587.99</v>
      </c>
      <c r="W874" s="0" t="inlineStr">
        <is>
          <t>2026-08-11</t>
        </is>
      </c>
      <c r="X874" s="0" t="inlineStr">
        <is>
          <t>N/A</t>
        </is>
      </c>
      <c r="Y874" s="0" t="inlineStr">
        <is>
          <t>N/A</t>
        </is>
      </c>
      <c r="Z874" s="0" t="inlineStr">
        <is>
          <t>N/A</t>
        </is>
      </c>
      <c r="AA874" s="0" t="inlineStr">
        <is>
          <t>N/A</t>
        </is>
      </c>
    </row>
    <row r="875" ht="15.75" customHeight="1" s="51">
      <c r="A875" s="43" t="inlineStr">
        <is>
          <t>PHO-087-03</t>
        </is>
      </c>
      <c r="B875" s="43" t="inlineStr">
        <is>
          <t>Phorcys</t>
        </is>
      </c>
      <c r="C875" s="43" t="inlineStr">
        <is>
          <t>Smartphones &amp; Tablets</t>
        </is>
      </c>
      <c r="D875" s="43" t="inlineStr">
        <is>
          <t>Smartphone</t>
        </is>
      </c>
      <c r="E875" s="44" t="inlineStr">
        <is>
          <t>Phorcys Pulse Rugged Smartphone</t>
        </is>
      </c>
      <c r="F875" s="45" t="n">
        <v>595.99</v>
      </c>
      <c r="G875" s="43" t="inlineStr">
        <is>
          <t>the Pulse; Phorcys Pulse; Phhorcys Pulse; Pulse smartphone</t>
        </is>
      </c>
      <c r="H875" s="43" t="inlineStr">
        <is>
          <t>2 year limited</t>
        </is>
      </c>
      <c r="I875" s="43" t="inlineStr">
        <is>
          <t>FCC, CE, IP69K, MIL-STD-810H</t>
        </is>
      </c>
      <c r="J875" s="43" t="inlineStr">
        <is>
          <t>Qualcomm Snapdragon 7+ Gen 3</t>
        </is>
      </c>
      <c r="K875" s="43" t="inlineStr">
        <is>
          <t>Qualcomm Adreno 732</t>
        </is>
      </c>
      <c r="L875" s="43" t="inlineStr">
        <is>
          <t>IPS LCD, Gorilla Glass Victus, 120Hz</t>
        </is>
      </c>
      <c r="M875" s="43" t="inlineStr">
        <is>
          <t>1080x2400</t>
        </is>
      </c>
      <c r="N875" s="43" t="inlineStr">
        <is>
          <t>USB-C (USB 2.0), nano-SIM + eSIM, 3.5mm headphone jack, microSD slot</t>
        </is>
      </c>
      <c r="O875" s="43" t="inlineStr">
        <is>
          <t>Android 15</t>
        </is>
      </c>
      <c r="P875" s="43" t="n">
        <v>35</v>
      </c>
      <c r="Q875" s="46" t="n">
        <v>287</v>
      </c>
      <c r="R875" s="43" t="inlineStr">
        <is>
          <t>Lighter than Pontus Aeon Max Rugged Smartphone [PON-063-05] (287 g vs 293 g); Lower price than Elpis Nova Max Rugged Smartphone [ELP-074-05] ($595.99 vs $771.99)</t>
        </is>
      </c>
      <c r="S875" s="43" t="inlineStr">
        <is>
          <t>outdoor, construction, fieldwork</t>
        </is>
      </c>
      <c r="T875" s="0" t="inlineStr">
        <is>
          <t>in_stock</t>
        </is>
      </c>
      <c r="U875" s="0" t="n">
        <v>14</v>
      </c>
      <c r="V875" s="52" t="n">
        <v>667.99</v>
      </c>
      <c r="W875" s="0" t="inlineStr">
        <is>
          <t>2026-08-27</t>
        </is>
      </c>
      <c r="X875" s="0" t="inlineStr">
        <is>
          <t>N/A</t>
        </is>
      </c>
      <c r="Y875" s="0" t="inlineStr">
        <is>
          <t>N/A</t>
        </is>
      </c>
      <c r="Z875" s="0" t="inlineStr">
        <is>
          <t>N/A</t>
        </is>
      </c>
      <c r="AA875" s="0" t="inlineStr">
        <is>
          <t>N/A</t>
        </is>
      </c>
    </row>
    <row r="876" ht="15.75" customHeight="1" s="51">
      <c r="A876" s="43" t="inlineStr">
        <is>
          <t>PHO-087-04</t>
        </is>
      </c>
      <c r="B876" s="43" t="inlineStr">
        <is>
          <t>Phorcys</t>
        </is>
      </c>
      <c r="C876" s="43" t="inlineStr">
        <is>
          <t>Smartphones &amp; Tablets</t>
        </is>
      </c>
      <c r="D876" s="43" t="inlineStr">
        <is>
          <t>Tablet</t>
        </is>
      </c>
      <c r="E876" s="44" t="inlineStr">
        <is>
          <t>Phorcys Halo Ultra E-Ink Note Tablet</t>
        </is>
      </c>
      <c r="F876" s="45" t="n">
        <v>670.99</v>
      </c>
      <c r="G876" s="43" t="inlineStr">
        <is>
          <t>the Halo Ultra; Phorcys Halo Ultra; Phrocys Halo Ultra; Halo Ultra tablet</t>
        </is>
      </c>
      <c r="H876" s="43" t="inlineStr">
        <is>
          <t>2 year limited</t>
        </is>
      </c>
      <c r="I876" s="43" t="inlineStr">
        <is>
          <t>FCC, CE, TUV Rheinland Low Blue Light, Energy Star</t>
        </is>
      </c>
      <c r="J876" s="43" t="inlineStr">
        <is>
          <t>Rockchip RK3566</t>
        </is>
      </c>
      <c r="K876" s="43" t="inlineStr">
        <is>
          <t>Arm Mali-G52 2EE</t>
        </is>
      </c>
      <c r="L876" s="43" t="inlineStr">
        <is>
          <t>E Ink Carta 1300, front-lit</t>
        </is>
      </c>
      <c r="M876" s="43" t="inlineStr">
        <is>
          <t>1404x1872</t>
        </is>
      </c>
      <c r="N876" s="43" t="inlineStr">
        <is>
          <t>USB-C (USB 2.0), microSD slot</t>
        </is>
      </c>
      <c r="O876" s="43" t="inlineStr">
        <is>
          <t>Android 13 (E Ink optimized)</t>
        </is>
      </c>
      <c r="P876" s="43" t="n">
        <v>175</v>
      </c>
      <c r="Q876" s="46" t="n">
        <v>423</v>
      </c>
      <c r="R876" s="43" t="inlineStr">
        <is>
          <t>Longer battery than Pontus Nimbus Air E-Ink Note Tablet [PON-063-03] (175 vs 153 hrs); Lighter than Aglaea Echo Plus E-Ink Note Tablet [AGL-079-04] (423 g vs 437 g)</t>
        </is>
      </c>
      <c r="S876" s="43" t="inlineStr">
        <is>
          <t>reading, note-taking, school</t>
        </is>
      </c>
      <c r="T876" s="0" t="inlineStr">
        <is>
          <t>in_stock</t>
        </is>
      </c>
      <c r="U876" s="0" t="n">
        <v>14</v>
      </c>
      <c r="V876" s="52" t="n">
        <v>745.99</v>
      </c>
      <c r="W876" s="0" t="inlineStr">
        <is>
          <t>2026-09-19</t>
        </is>
      </c>
      <c r="X876" s="0" t="inlineStr">
        <is>
          <t>N/A</t>
        </is>
      </c>
      <c r="Y876" s="0" t="inlineStr">
        <is>
          <t>N/A</t>
        </is>
      </c>
      <c r="Z876" s="0" t="inlineStr">
        <is>
          <t>N/A</t>
        </is>
      </c>
      <c r="AA876" s="0" t="inlineStr">
        <is>
          <t>N/A</t>
        </is>
      </c>
    </row>
    <row r="877" ht="15.75" customHeight="1" s="51">
      <c r="A877" s="43" t="inlineStr">
        <is>
          <t>PHO-087-05</t>
        </is>
      </c>
      <c r="B877" s="43" t="inlineStr">
        <is>
          <t>Phorcys</t>
        </is>
      </c>
      <c r="C877" s="43" t="inlineStr">
        <is>
          <t>Smartphones &amp; Tablets</t>
        </is>
      </c>
      <c r="D877" s="43" t="inlineStr">
        <is>
          <t>Tablet</t>
        </is>
      </c>
      <c r="E877" s="44" t="inlineStr">
        <is>
          <t>Phorcys Aeon Plus 11" Tablet</t>
        </is>
      </c>
      <c r="F877" s="45" t="n">
        <v>702.99</v>
      </c>
      <c r="G877" s="43" t="inlineStr">
        <is>
          <t>the Aeon Plus; Phorcys Aeon Plus; Phoorcys Aeon Plus; Aeon Plus tablet</t>
        </is>
      </c>
      <c r="H877" s="43" t="inlineStr">
        <is>
          <t>2 year limited</t>
        </is>
      </c>
      <c r="I877" s="43" t="inlineStr">
        <is>
          <t>FCC, CE, Energy Star</t>
        </is>
      </c>
      <c r="J877" s="43" t="inlineStr">
        <is>
          <t>MediaTek Dimensity 8300</t>
        </is>
      </c>
      <c r="K877" s="43" t="inlineStr">
        <is>
          <t>Arm Mali-G615 MC6</t>
        </is>
      </c>
      <c r="L877" s="43" t="inlineStr">
        <is>
          <t>OLED, 120Hz</t>
        </is>
      </c>
      <c r="M877" s="43" t="inlineStr">
        <is>
          <t>1752x2800</t>
        </is>
      </c>
      <c r="N877" s="43" t="inlineStr">
        <is>
          <t>USB-C (USB 3.2), microSD slot</t>
        </is>
      </c>
      <c r="O877" s="43" t="inlineStr">
        <is>
          <t>Android 15</t>
        </is>
      </c>
      <c r="P877" s="43" t="n">
        <v>14</v>
      </c>
      <c r="Q877" s="46" t="n">
        <v>483</v>
      </c>
      <c r="R877" s="43" t="inlineStr">
        <is>
          <t>Lower price than Erebus Axis X 11" Tablet [ERE-098-07] ($702.99 vs $751.99); Lighter than Hecate Vibe SE 11" Tablet [HEC-052-06] (483 g vs 485 g)</t>
        </is>
      </c>
      <c r="S877" s="43" t="inlineStr">
        <is>
          <t>school, streaming, reading</t>
        </is>
      </c>
      <c r="T877" s="0" t="inlineStr">
        <is>
          <t>in_stock</t>
        </is>
      </c>
      <c r="U877" s="0" t="n">
        <v>14</v>
      </c>
      <c r="V877" s="52" t="n">
        <v>749.99</v>
      </c>
      <c r="W877" s="0" t="inlineStr">
        <is>
          <t>2026-09-24</t>
        </is>
      </c>
      <c r="X877" s="0" t="inlineStr">
        <is>
          <t>N/A</t>
        </is>
      </c>
      <c r="Y877" s="0" t="inlineStr">
        <is>
          <t>N/A</t>
        </is>
      </c>
      <c r="Z877" s="0" t="inlineStr">
        <is>
          <t>N/A</t>
        </is>
      </c>
      <c r="AA877" s="0" t="inlineStr">
        <is>
          <t>N/A</t>
        </is>
      </c>
    </row>
    <row r="878" ht="15.75" customHeight="1" s="51">
      <c r="A878" s="43" t="inlineStr">
        <is>
          <t>PHO-087-06</t>
        </is>
      </c>
      <c r="B878" s="43" t="inlineStr">
        <is>
          <t>Phorcys</t>
        </is>
      </c>
      <c r="C878" s="43" t="inlineStr">
        <is>
          <t>Smartphones &amp; Tablets</t>
        </is>
      </c>
      <c r="D878" s="43" t="inlineStr">
        <is>
          <t>Tablet</t>
        </is>
      </c>
      <c r="E878" s="44" t="inlineStr">
        <is>
          <t>Phorcys Orbit Max Drawing Tablet with Stylus</t>
        </is>
      </c>
      <c r="F878" s="45" t="n">
        <v>810.99</v>
      </c>
      <c r="G878" s="43" t="inlineStr">
        <is>
          <t>the Orbit Max; Phorcys Orbit Max; Phorcyss Orbit Max; Orbit Max tablet</t>
        </is>
      </c>
      <c r="H878" s="43" t="inlineStr">
        <is>
          <t>1 year limited</t>
        </is>
      </c>
      <c r="I878" s="43" t="inlineStr">
        <is>
          <t>FCC, CE, TUV Rheinland Low Blue Light</t>
        </is>
      </c>
      <c r="J878" s="43" t="inlineStr">
        <is>
          <t>Qualcomm Snapdragon 8 Gen 3</t>
        </is>
      </c>
      <c r="K878" s="43" t="inlineStr">
        <is>
          <t>Qualcomm Adreno 750</t>
        </is>
      </c>
      <c r="L878" s="43" t="inlineStr">
        <is>
          <t>IPS LCD anti-glare, pen digitizer</t>
        </is>
      </c>
      <c r="M878" s="43" t="inlineStr">
        <is>
          <t>2000x1200</t>
        </is>
      </c>
      <c r="N878" s="43" t="inlineStr">
        <is>
          <t>USB-C (USB 3.2), microSD slot</t>
        </is>
      </c>
      <c r="O878" s="43" t="inlineStr">
        <is>
          <t>Android 15</t>
        </is>
      </c>
      <c r="P878" s="43" t="n">
        <v>12</v>
      </c>
      <c r="Q878" s="46" t="n">
        <v>569</v>
      </c>
      <c r="R878" s="43" t="inlineStr">
        <is>
          <t>Lower price than Aglaea Orbit SE Drawing Tablet with Stylus [AGL-079-08] ($810.99 vs $945.99); Lighter than Thetis Volt Lite Drawing Tablet with Stylus [THE-093-04] (569 g vs 619 g)</t>
        </is>
      </c>
      <c r="S878" s="43" t="inlineStr">
        <is>
          <t>drawing, design, note-taking</t>
        </is>
      </c>
      <c r="T878" s="0" t="inlineStr">
        <is>
          <t>in_stock</t>
        </is>
      </c>
      <c r="U878" s="0" t="n">
        <v>14</v>
      </c>
      <c r="V878" s="52" t="n">
        <v>862.99</v>
      </c>
      <c r="W878" s="0" t="inlineStr">
        <is>
          <t>2026-08-09</t>
        </is>
      </c>
      <c r="X878" s="0" t="inlineStr">
        <is>
          <t>N/A</t>
        </is>
      </c>
      <c r="Y878" s="0" t="inlineStr">
        <is>
          <t>N/A</t>
        </is>
      </c>
      <c r="Z878" s="0" t="inlineStr">
        <is>
          <t>N/A</t>
        </is>
      </c>
      <c r="AA878" s="0" t="inlineStr">
        <is>
          <t>N/A</t>
        </is>
      </c>
    </row>
    <row r="879" ht="15.75" customHeight="1" s="51">
      <c r="A879" s="43" t="inlineStr">
        <is>
          <t>PHO-087-07</t>
        </is>
      </c>
      <c r="B879" s="43" t="inlineStr">
        <is>
          <t>Phorcys</t>
        </is>
      </c>
      <c r="C879" s="43" t="inlineStr">
        <is>
          <t>Smartphones &amp; Tablets</t>
        </is>
      </c>
      <c r="D879" s="43" t="inlineStr">
        <is>
          <t>Tablet</t>
        </is>
      </c>
      <c r="E879" s="44" t="inlineStr">
        <is>
          <t>Phorcys Spark Plus 5G Tablet</t>
        </is>
      </c>
      <c r="F879" s="45" t="n">
        <v>963.99</v>
      </c>
      <c r="G879" s="43" t="inlineStr">
        <is>
          <t>the Spark Plus; Phorcys Spark Plus; Pohrcys Spark Plus; Spark Plus tablet</t>
        </is>
      </c>
      <c r="H879" s="43" t="inlineStr">
        <is>
          <t>1 year limited</t>
        </is>
      </c>
      <c r="I879" s="43" t="inlineStr">
        <is>
          <t>FCC, CE, Energy Star</t>
        </is>
      </c>
      <c r="J879" s="43" t="inlineStr">
        <is>
          <t>Qualcomm Snapdragon 8 Gen 3</t>
        </is>
      </c>
      <c r="K879" s="43" t="inlineStr">
        <is>
          <t>Qualcomm Adreno 750</t>
        </is>
      </c>
      <c r="L879" s="43" t="inlineStr">
        <is>
          <t>OLED, 120Hz</t>
        </is>
      </c>
      <c r="M879" s="43" t="inlineStr">
        <is>
          <t>1752x2800</t>
        </is>
      </c>
      <c r="N879" s="43" t="inlineStr">
        <is>
          <t>USB-C (USB 3.2), magnetic keyboard connector, nano-SIM + eSIM</t>
        </is>
      </c>
      <c r="O879" s="43" t="inlineStr">
        <is>
          <t>Android 15</t>
        </is>
      </c>
      <c r="P879" s="43" t="n">
        <v>13</v>
      </c>
      <c r="Q879" s="46" t="n">
        <v>533</v>
      </c>
      <c r="R879" s="43" t="inlineStr">
        <is>
          <t>Longer battery than Panacea Halo Plus 5G Tablet [PAN-069-07] (13 vs 10 hrs); Lower price than Pallas Orbit Ultra 5G Tablet [PAL-057-07] ($963.99 vs $983.99)</t>
        </is>
      </c>
      <c r="S879" s="43" t="inlineStr">
        <is>
          <t>travel, streaming, work on the go</t>
        </is>
      </c>
      <c r="T879" s="0" t="inlineStr">
        <is>
          <t>in_stock</t>
        </is>
      </c>
      <c r="U879" s="0" t="n">
        <v>14</v>
      </c>
      <c r="V879" s="52" t="n">
        <v>1040.99</v>
      </c>
      <c r="W879" s="0" t="inlineStr">
        <is>
          <t>2026-09-12</t>
        </is>
      </c>
      <c r="X879" s="0" t="inlineStr">
        <is>
          <t>N/A</t>
        </is>
      </c>
      <c r="Y879" s="0" t="inlineStr">
        <is>
          <t>N/A</t>
        </is>
      </c>
      <c r="Z879" s="0" t="inlineStr">
        <is>
          <t>N/A</t>
        </is>
      </c>
      <c r="AA879" s="0" t="inlineStr">
        <is>
          <t>N/A</t>
        </is>
      </c>
    </row>
    <row r="880" ht="15.75" customHeight="1" s="51">
      <c r="A880" s="43" t="inlineStr">
        <is>
          <t>PHO-087-08</t>
        </is>
      </c>
      <c r="B880" s="43" t="inlineStr">
        <is>
          <t>Phorcys</t>
        </is>
      </c>
      <c r="C880" s="43" t="inlineStr">
        <is>
          <t>Smartphones &amp; Tablets</t>
        </is>
      </c>
      <c r="D880" s="43" t="inlineStr">
        <is>
          <t>Smartphone</t>
        </is>
      </c>
      <c r="E880" s="44" t="inlineStr">
        <is>
          <t>Phorcys Rift Plus Flip Foldable Phone</t>
        </is>
      </c>
      <c r="F880" s="45" t="n">
        <v>1153.99</v>
      </c>
      <c r="G880" s="43" t="inlineStr">
        <is>
          <t>the Rift Plus; Phorcys Rift Plus; Phocrys Rift Plus; Rift Plus smartphone</t>
        </is>
      </c>
      <c r="H880" s="43" t="inlineStr">
        <is>
          <t>2 year limited</t>
        </is>
      </c>
      <c r="I880" s="43" t="inlineStr">
        <is>
          <t>FCC, CE, IPX8</t>
        </is>
      </c>
      <c r="J880" s="43" t="inlineStr">
        <is>
          <t>MediaTek Dimensity 9400</t>
        </is>
      </c>
      <c r="K880" s="43" t="inlineStr">
        <is>
          <t>Arm Immortalis-G925</t>
        </is>
      </c>
      <c r="L880" s="43" t="inlineStr">
        <is>
          <t>Foldable AMOLED inner + AMOLED cover screen</t>
        </is>
      </c>
      <c r="M880" s="43" t="inlineStr">
        <is>
          <t>1080x2640 inner / 720x748 cover</t>
        </is>
      </c>
      <c r="N880" s="43" t="inlineStr">
        <is>
          <t>USB-C (USB 3.2), nano-SIM + eSIM</t>
        </is>
      </c>
      <c r="O880" s="43" t="inlineStr">
        <is>
          <t>Android 15</t>
        </is>
      </c>
      <c r="P880" s="43" t="n">
        <v>16</v>
      </c>
      <c r="Q880" s="46" t="n">
        <v>188</v>
      </c>
      <c r="R880" s="43" t="inlineStr">
        <is>
          <t>Lighter than Paean Strata SE Flip Foldable Phone [PAE-066-06] (188 g vs 196 g); Lower price than Panacea Apex Air Flip Foldable Phone [PAN-069-09] ($1,153.99 vs $1,168.99)</t>
        </is>
      </c>
      <c r="S880" s="43" t="inlineStr">
        <is>
          <t>style, everyday, compact</t>
        </is>
      </c>
      <c r="T880" s="0" t="inlineStr">
        <is>
          <t>in_stock</t>
        </is>
      </c>
      <c r="U880" s="0" t="n">
        <v>14</v>
      </c>
      <c r="V880" s="52" t="n">
        <v>1269.99</v>
      </c>
      <c r="W880" s="0" t="inlineStr">
        <is>
          <t>2026-09-21</t>
        </is>
      </c>
      <c r="X880" s="0" t="inlineStr">
        <is>
          <t>N/A</t>
        </is>
      </c>
      <c r="Y880" s="0" t="inlineStr">
        <is>
          <t>N/A</t>
        </is>
      </c>
      <c r="Z880" s="0" t="inlineStr">
        <is>
          <t>N/A</t>
        </is>
      </c>
      <c r="AA880" s="0" t="inlineStr">
        <is>
          <t>N/A</t>
        </is>
      </c>
    </row>
    <row r="881" ht="15.75" customHeight="1" s="51">
      <c r="A881" s="43" t="inlineStr">
        <is>
          <t>PHO-087-09</t>
        </is>
      </c>
      <c r="B881" s="43" t="inlineStr">
        <is>
          <t>Phorcys</t>
        </is>
      </c>
      <c r="C881" s="43" t="inlineStr">
        <is>
          <t>Smartphones &amp; Tablets</t>
        </is>
      </c>
      <c r="D881" s="43" t="inlineStr">
        <is>
          <t>Smartphone</t>
        </is>
      </c>
      <c r="E881" s="44" t="inlineStr">
        <is>
          <t>Phorcys Nova Air Pro Max Smartphone</t>
        </is>
      </c>
      <c r="F881" s="45" t="n">
        <v>1533.99</v>
      </c>
      <c r="G881" s="43" t="inlineStr">
        <is>
          <t>the Nova Air; Phorcys Nova Air; Pohrcys Nova Air; Nova Air smartphone</t>
        </is>
      </c>
      <c r="H881" s="43" t="inlineStr">
        <is>
          <t>2 year limited</t>
        </is>
      </c>
      <c r="I881" s="43" t="inlineStr">
        <is>
          <t>FCC, CE, IP68, Qi2</t>
        </is>
      </c>
      <c r="J881" s="43" t="inlineStr">
        <is>
          <t>Qualcomm Snapdragon 8 Elite</t>
        </is>
      </c>
      <c r="K881" s="43" t="inlineStr">
        <is>
          <t>Qualcomm Adreno 830</t>
        </is>
      </c>
      <c r="L881" s="43" t="inlineStr">
        <is>
          <t>LTPO AMOLED, 1-120Hz</t>
        </is>
      </c>
      <c r="M881" s="43" t="inlineStr">
        <is>
          <t>1440x3120</t>
        </is>
      </c>
      <c r="N881" s="43" t="inlineStr">
        <is>
          <t>USB-C (USB 3.2), nano-SIM + eSIM</t>
        </is>
      </c>
      <c r="O881" s="43" t="inlineStr">
        <is>
          <t>Android 15</t>
        </is>
      </c>
      <c r="P881" s="43" t="n">
        <v>28</v>
      </c>
      <c r="Q881" s="46" t="n">
        <v>222</v>
      </c>
      <c r="R881" s="43" t="inlineStr">
        <is>
          <t>Lighter than Mnemosyne Prism Plus Pro Max Smartphone [MNE-061-10] (222 g vs 230 g); Lower price than Thetis Volt Air Pro Max Smartphone [THE-093-10] ($1,533.99 vs $1,585.99)</t>
        </is>
      </c>
      <c r="S881" s="43" t="inlineStr">
        <is>
          <t>photography, video, mobile gaming</t>
        </is>
      </c>
      <c r="T881" s="0" t="inlineStr">
        <is>
          <t>in_stock</t>
        </is>
      </c>
      <c r="U881" s="0" t="n">
        <v>14</v>
      </c>
      <c r="V881" s="52" t="n">
        <v>1690.99</v>
      </c>
      <c r="W881" s="0" t="inlineStr">
        <is>
          <t>2026-08-02</t>
        </is>
      </c>
      <c r="X881" s="0" t="inlineStr">
        <is>
          <t>N/A</t>
        </is>
      </c>
      <c r="Y881" s="0" t="inlineStr">
        <is>
          <t>N/A</t>
        </is>
      </c>
      <c r="Z881" s="0" t="inlineStr">
        <is>
          <t>N/A</t>
        </is>
      </c>
      <c r="AA881" s="0" t="inlineStr">
        <is>
          <t>N/A</t>
        </is>
      </c>
    </row>
    <row r="882" ht="15.75" customHeight="1" s="51">
      <c r="A882" s="43" t="inlineStr">
        <is>
          <t>PHO-087-10</t>
        </is>
      </c>
      <c r="B882" s="43" t="inlineStr">
        <is>
          <t>Phorcys</t>
        </is>
      </c>
      <c r="C882" s="43" t="inlineStr">
        <is>
          <t>Smartphones &amp; Tablets</t>
        </is>
      </c>
      <c r="D882" s="43" t="inlineStr">
        <is>
          <t>Smartphone</t>
        </is>
      </c>
      <c r="E882" s="44" t="inlineStr">
        <is>
          <t>Phorcys Halo SE Foldable Phone</t>
        </is>
      </c>
      <c r="F882" s="45" t="n">
        <v>1705.99</v>
      </c>
      <c r="G882" s="43" t="inlineStr">
        <is>
          <t>the Halo SE; Phorcys Halo SE; Phorccys Halo SE; Halo SE smartphone</t>
        </is>
      </c>
      <c r="H882" s="43" t="inlineStr">
        <is>
          <t>1 year limited</t>
        </is>
      </c>
      <c r="I882" s="43" t="inlineStr">
        <is>
          <t>FCC, CE, IPX8</t>
        </is>
      </c>
      <c r="J882" s="43" t="inlineStr">
        <is>
          <t>Qualcomm Snapdragon 8 Elite</t>
        </is>
      </c>
      <c r="K882" s="43" t="inlineStr">
        <is>
          <t>Qualcomm Adreno 830</t>
        </is>
      </c>
      <c r="L882" s="43" t="inlineStr">
        <is>
          <t>Foldable LTPO AMOLED inner + AMOLED cover, 120Hz</t>
        </is>
      </c>
      <c r="M882" s="43" t="inlineStr">
        <is>
          <t>2160x1856 inner / 1080x2376 cover</t>
        </is>
      </c>
      <c r="N882" s="43" t="inlineStr">
        <is>
          <t>USB-C (USB 3.2), nano-SIM + eSIM</t>
        </is>
      </c>
      <c r="O882" s="43" t="inlineStr">
        <is>
          <t>Android 15</t>
        </is>
      </c>
      <c r="P882" s="43" t="n">
        <v>18</v>
      </c>
      <c r="Q882" s="46" t="n">
        <v>256</v>
      </c>
      <c r="R882" s="43" t="inlineStr">
        <is>
          <t>Lower price than Alpheus Nimbus X Foldable Phone [ALP-082-10] ($1,705.99 vs $1,909.99); Lighter than Hecate Vibe Air Foldable Phone [HEC-052-09] (256 g vs 269 g)</t>
        </is>
      </c>
      <c r="S882" s="43" t="inlineStr">
        <is>
          <t>multitasking, business, media</t>
        </is>
      </c>
      <c r="T882" s="0" t="inlineStr">
        <is>
          <t>in_stock</t>
        </is>
      </c>
      <c r="U882" s="0" t="n">
        <v>14</v>
      </c>
      <c r="V882" s="52" t="n">
        <v>1883.99</v>
      </c>
      <c r="W882" s="0" t="inlineStr">
        <is>
          <t>2026-08-17</t>
        </is>
      </c>
      <c r="X882" s="0" t="inlineStr">
        <is>
          <t>N/A</t>
        </is>
      </c>
      <c r="Y882" s="0" t="inlineStr">
        <is>
          <t>N/A</t>
        </is>
      </c>
      <c r="Z882" s="0" t="inlineStr">
        <is>
          <t>N/A</t>
        </is>
      </c>
      <c r="AA882" s="0" t="inlineStr">
        <is>
          <t>N/A</t>
        </is>
      </c>
    </row>
    <row r="883" ht="15.75" customHeight="1" s="51">
      <c r="A883" s="43" t="inlineStr">
        <is>
          <t>EUR-088-01</t>
        </is>
      </c>
      <c r="B883" s="43" t="inlineStr">
        <is>
          <t>Eurus</t>
        </is>
      </c>
      <c r="C883" s="43" t="inlineStr">
        <is>
          <t>Smartphones &amp; Tablets</t>
        </is>
      </c>
      <c r="D883" s="43" t="inlineStr">
        <is>
          <t>Tablet</t>
        </is>
      </c>
      <c r="E883" s="44" t="inlineStr">
        <is>
          <t>Eurus Nimbus Max 8" Mini Tablet</t>
        </is>
      </c>
      <c r="F883" s="45" t="n">
        <v>224.99</v>
      </c>
      <c r="G883" s="43" t="inlineStr">
        <is>
          <t>the Nimbus Max; Eurus Nimbus Max; Euruus Nimbus Max; Nimbus Max tablet</t>
        </is>
      </c>
      <c r="H883" s="43" t="inlineStr">
        <is>
          <t>1 year limited</t>
        </is>
      </c>
      <c r="I883" s="43" t="inlineStr">
        <is>
          <t>FCC, CE, TUV Rheinland Low Blue Light</t>
        </is>
      </c>
      <c r="J883" s="43" t="inlineStr">
        <is>
          <t>MediaTek Helio G99</t>
        </is>
      </c>
      <c r="K883" s="43" t="inlineStr">
        <is>
          <t>Arm Mali-G57 MC2</t>
        </is>
      </c>
      <c r="L883" s="43" t="inlineStr">
        <is>
          <t>IPS LCD, 60Hz</t>
        </is>
      </c>
      <c r="M883" s="43" t="inlineStr">
        <is>
          <t>1200x1920</t>
        </is>
      </c>
      <c r="N883" s="43" t="inlineStr">
        <is>
          <t>USB-C (USB 2.0), microSD slot</t>
        </is>
      </c>
      <c r="O883" s="43" t="inlineStr">
        <is>
          <t>Android 15</t>
        </is>
      </c>
      <c r="P883" s="43" t="n">
        <v>12</v>
      </c>
      <c r="Q883" s="46" t="n">
        <v>312</v>
      </c>
      <c r="R883" s="43" t="inlineStr">
        <is>
          <t>Longer battery than Amphitrite Lumen Ultra 8" Mini Tablet [AMP-065-02] (12 vs 9 hrs); Lighter than Eunomia Volt SE 8" Mini Tablet [EUN-056-06] (312 g vs 322 g)</t>
        </is>
      </c>
      <c r="S883" s="43" t="inlineStr">
        <is>
          <t>reading, travel, gaming</t>
        </is>
      </c>
      <c r="T883" s="0" t="inlineStr">
        <is>
          <t>in_stock</t>
        </is>
      </c>
      <c r="U883" s="0" t="n">
        <v>30</v>
      </c>
      <c r="V883" s="52" t="n">
        <v>254.99</v>
      </c>
      <c r="W883" s="0" t="inlineStr">
        <is>
          <t>2026-09-15</t>
        </is>
      </c>
      <c r="X883" s="0" t="inlineStr">
        <is>
          <t>N/A</t>
        </is>
      </c>
      <c r="Y883" s="0" t="inlineStr">
        <is>
          <t>N/A</t>
        </is>
      </c>
      <c r="Z883" s="0" t="inlineStr">
        <is>
          <t>N/A</t>
        </is>
      </c>
      <c r="AA883" s="0" t="inlineStr">
        <is>
          <t>N/A</t>
        </is>
      </c>
    </row>
    <row r="884" ht="15.75" customHeight="1" s="51">
      <c r="A884" s="43" t="inlineStr">
        <is>
          <t>EUR-088-02</t>
        </is>
      </c>
      <c r="B884" s="43" t="inlineStr">
        <is>
          <t>Eurus</t>
        </is>
      </c>
      <c r="C884" s="43" t="inlineStr">
        <is>
          <t>Smartphones &amp; Tablets</t>
        </is>
      </c>
      <c r="D884" s="43" t="inlineStr">
        <is>
          <t>Tablet</t>
        </is>
      </c>
      <c r="E884" s="44" t="inlineStr">
        <is>
          <t>Eurus Nova Plus 11" Tablet</t>
        </is>
      </c>
      <c r="F884" s="45" t="n">
        <v>456.99</v>
      </c>
      <c r="G884" s="43" t="inlineStr">
        <is>
          <t>the Nova Plus; Eurus Nova Plus; Urus Nova Plus; Nova Plus tablet</t>
        </is>
      </c>
      <c r="H884" s="43" t="inlineStr">
        <is>
          <t>1 year limited</t>
        </is>
      </c>
      <c r="I884" s="43" t="inlineStr">
        <is>
          <t>FCC, CE</t>
        </is>
      </c>
      <c r="J884" s="43" t="inlineStr">
        <is>
          <t>MediaTek Dimensity 7300</t>
        </is>
      </c>
      <c r="K884" s="43" t="inlineStr">
        <is>
          <t>Arm Mali-G615 MC2</t>
        </is>
      </c>
      <c r="L884" s="43" t="inlineStr">
        <is>
          <t>IPS LCD, 90Hz</t>
        </is>
      </c>
      <c r="M884" s="43" t="inlineStr">
        <is>
          <t>1600x2560</t>
        </is>
      </c>
      <c r="N884" s="43" t="inlineStr">
        <is>
          <t>USB-C (USB 2.0), microSD slot</t>
        </is>
      </c>
      <c r="O884" s="43" t="inlineStr">
        <is>
          <t>Android 15</t>
        </is>
      </c>
      <c r="P884" s="43" t="n">
        <v>10</v>
      </c>
      <c r="Q884" s="46" t="n">
        <v>470</v>
      </c>
      <c r="R884" s="43" t="inlineStr">
        <is>
          <t>Lower price than Proteus Crest Pro 11" Tablet [PRO-070-04] ($456.99 vs $684.99); Lighter than Clymene Volt Lite 11" Tablet [CLY-067-06] (470 g vs 490 g)</t>
        </is>
      </c>
      <c r="S884" s="43" t="inlineStr">
        <is>
          <t>school, streaming, reading</t>
        </is>
      </c>
      <c r="T884" s="0" t="inlineStr">
        <is>
          <t>in_stock</t>
        </is>
      </c>
      <c r="U884" s="0" t="n">
        <v>30</v>
      </c>
      <c r="V884" s="52" t="n">
        <v>507.99</v>
      </c>
      <c r="W884" s="0" t="inlineStr">
        <is>
          <t>2026-09-09</t>
        </is>
      </c>
      <c r="X884" s="0" t="inlineStr">
        <is>
          <t>N/A</t>
        </is>
      </c>
      <c r="Y884" s="0" t="inlineStr">
        <is>
          <t>N/A</t>
        </is>
      </c>
      <c r="Z884" s="0" t="inlineStr">
        <is>
          <t>N/A</t>
        </is>
      </c>
      <c r="AA884" s="0" t="inlineStr">
        <is>
          <t>N/A</t>
        </is>
      </c>
    </row>
    <row r="885" ht="15.75" customHeight="1" s="51">
      <c r="A885" s="43" t="inlineStr">
        <is>
          <t>EUR-088-03</t>
        </is>
      </c>
      <c r="B885" s="43" t="inlineStr">
        <is>
          <t>Eurus</t>
        </is>
      </c>
      <c r="C885" s="43" t="inlineStr">
        <is>
          <t>Smartphones &amp; Tablets</t>
        </is>
      </c>
      <c r="D885" s="43" t="inlineStr">
        <is>
          <t>Tablet</t>
        </is>
      </c>
      <c r="E885" s="44" t="inlineStr">
        <is>
          <t>Eurus Halo Lite E-Ink Note Tablet</t>
        </is>
      </c>
      <c r="F885" s="45" t="n">
        <v>467.99</v>
      </c>
      <c r="G885" s="43" t="inlineStr">
        <is>
          <t>the Halo Lite; Eurus Halo Lite; Urus Halo Lite; Halo Lite tablet</t>
        </is>
      </c>
      <c r="H885" s="43" t="inlineStr">
        <is>
          <t>1 year limited</t>
        </is>
      </c>
      <c r="I885" s="43" t="inlineStr">
        <is>
          <t>FCC, CE, TUV Rheinland Low Blue Light</t>
        </is>
      </c>
      <c r="J885" s="43" t="inlineStr">
        <is>
          <t>Rockchip RK3566</t>
        </is>
      </c>
      <c r="K885" s="43" t="inlineStr">
        <is>
          <t>Arm Mali-G52 2EE</t>
        </is>
      </c>
      <c r="L885" s="43" t="inlineStr">
        <is>
          <t>E Ink Carta 1300, front-lit</t>
        </is>
      </c>
      <c r="M885" s="43" t="inlineStr">
        <is>
          <t>1404x1872</t>
        </is>
      </c>
      <c r="N885" s="43" t="inlineStr">
        <is>
          <t>USB-C (USB 2.0), microSD slot</t>
        </is>
      </c>
      <c r="O885" s="43" t="inlineStr">
        <is>
          <t>Android 13 (E Ink optimized)</t>
        </is>
      </c>
      <c r="P885" s="43" t="n">
        <v>291</v>
      </c>
      <c r="Q885" s="46" t="n">
        <v>392</v>
      </c>
      <c r="R885" s="43" t="inlineStr">
        <is>
          <t>Longer battery than Lachesis Lumen Pro E-Ink Note Tablet [LAC-071-03] (291 vs 248 hrs); Lighter than Clotho Prism Ultra E-Ink Note Tablet [CLO-062-03] (392 g vs 433 g)</t>
        </is>
      </c>
      <c r="S885" s="43" t="inlineStr">
        <is>
          <t>reading, note-taking, school</t>
        </is>
      </c>
      <c r="T885" s="0" t="inlineStr">
        <is>
          <t>in_stock</t>
        </is>
      </c>
      <c r="U885" s="0" t="n">
        <v>30</v>
      </c>
      <c r="V885" s="52" t="n">
        <v>528.99</v>
      </c>
      <c r="W885" s="0" t="inlineStr">
        <is>
          <t>2026-09-08</t>
        </is>
      </c>
      <c r="X885" s="0" t="inlineStr">
        <is>
          <t>N/A</t>
        </is>
      </c>
      <c r="Y885" s="0" t="inlineStr">
        <is>
          <t>N/A</t>
        </is>
      </c>
      <c r="Z885" s="0" t="inlineStr">
        <is>
          <t>N/A</t>
        </is>
      </c>
      <c r="AA885" s="0" t="inlineStr">
        <is>
          <t>N/A</t>
        </is>
      </c>
    </row>
    <row r="886" ht="15.75" customHeight="1" s="51">
      <c r="A886" s="43" t="inlineStr">
        <is>
          <t>EUR-088-04</t>
        </is>
      </c>
      <c r="B886" s="43" t="inlineStr">
        <is>
          <t>Eurus</t>
        </is>
      </c>
      <c r="C886" s="43" t="inlineStr">
        <is>
          <t>Smartphones &amp; Tablets</t>
        </is>
      </c>
      <c r="D886" s="43" t="inlineStr">
        <is>
          <t>Smartphone</t>
        </is>
      </c>
      <c r="E886" s="44" t="inlineStr">
        <is>
          <t>Eurus Nova Plus Compact Smartphone</t>
        </is>
      </c>
      <c r="F886" s="45" t="n">
        <v>638.99</v>
      </c>
      <c r="G886" s="43" t="inlineStr">
        <is>
          <t>the Nova Plus; Eurus Nova Plus; Euru Nova Plus; Nova Plus smartphone</t>
        </is>
      </c>
      <c r="H886" s="43" t="inlineStr">
        <is>
          <t>1 year limited</t>
        </is>
      </c>
      <c r="I886" s="43" t="inlineStr">
        <is>
          <t>FCC, CE, IP68</t>
        </is>
      </c>
      <c r="J886" s="43" t="inlineStr">
        <is>
          <t>Qualcomm Snapdragon 7+ Gen 3</t>
        </is>
      </c>
      <c r="K886" s="43" t="inlineStr">
        <is>
          <t>Qualcomm Adreno 732</t>
        </is>
      </c>
      <c r="L886" s="43" t="inlineStr">
        <is>
          <t>AMOLED, 120Hz</t>
        </is>
      </c>
      <c r="M886" s="43" t="inlineStr">
        <is>
          <t>1080x2340</t>
        </is>
      </c>
      <c r="N886" s="43" t="inlineStr">
        <is>
          <t>USB-C (USB 2.0), nano-SIM + eSIM</t>
        </is>
      </c>
      <c r="O886" s="43" t="inlineStr">
        <is>
          <t>Android 15</t>
        </is>
      </c>
      <c r="P886" s="43" t="n">
        <v>18</v>
      </c>
      <c r="Q886" s="46" t="n">
        <v>149</v>
      </c>
      <c r="R886" s="43" t="inlineStr">
        <is>
          <t>Lighter than Tyche Zen Pro Compact Smartphone [TYC-055-05] (149 g vs 150 g); Lower price than Aether Volt SE Compact Smartphone [AET-080-05] ($638.99 vs $726.99)</t>
        </is>
      </c>
      <c r="S886" s="43" t="inlineStr">
        <is>
          <t>everyday, one-handed use</t>
        </is>
      </c>
      <c r="T886" s="0" t="inlineStr">
        <is>
          <t>in_stock</t>
        </is>
      </c>
      <c r="U886" s="0" t="n">
        <v>30</v>
      </c>
      <c r="V886" s="52" t="n">
        <v>716.99</v>
      </c>
      <c r="W886" s="0" t="inlineStr">
        <is>
          <t>2026-08-01</t>
        </is>
      </c>
      <c r="X886" s="0" t="inlineStr">
        <is>
          <t>N/A</t>
        </is>
      </c>
      <c r="Y886" s="0" t="inlineStr">
        <is>
          <t>N/A</t>
        </is>
      </c>
      <c r="Z886" s="0" t="inlineStr">
        <is>
          <t>N/A</t>
        </is>
      </c>
      <c r="AA886" s="0" t="inlineStr">
        <is>
          <t>N/A</t>
        </is>
      </c>
    </row>
    <row r="887" ht="15.75" customHeight="1" s="51">
      <c r="A887" s="43" t="inlineStr">
        <is>
          <t>EUR-088-05</t>
        </is>
      </c>
      <c r="B887" s="43" t="inlineStr">
        <is>
          <t>Eurus</t>
        </is>
      </c>
      <c r="C887" s="43" t="inlineStr">
        <is>
          <t>Smartphones &amp; Tablets</t>
        </is>
      </c>
      <c r="D887" s="43" t="inlineStr">
        <is>
          <t>Smartphone</t>
        </is>
      </c>
      <c r="E887" s="44" t="inlineStr">
        <is>
          <t>Eurus Drift Lite Rugged Smartphone</t>
        </is>
      </c>
      <c r="F887" s="45" t="n">
        <v>760.99</v>
      </c>
      <c r="G887" s="43" t="inlineStr">
        <is>
          <t>the Drift Lite; Eurus Drift Lite; Eurrus Drift Lite; Drift Lite smartphone</t>
        </is>
      </c>
      <c r="H887" s="43" t="inlineStr">
        <is>
          <t>2 year limited</t>
        </is>
      </c>
      <c r="I887" s="43" t="inlineStr">
        <is>
          <t>FCC, CE, IP69K, MIL-STD-810H</t>
        </is>
      </c>
      <c r="J887" s="43" t="inlineStr">
        <is>
          <t>MediaTek Dimensity 8300</t>
        </is>
      </c>
      <c r="K887" s="43" t="inlineStr">
        <is>
          <t>Arm Mali-G615 MC6</t>
        </is>
      </c>
      <c r="L887" s="43" t="inlineStr">
        <is>
          <t>IPS LCD, Gorilla Glass Victus, 120Hz</t>
        </is>
      </c>
      <c r="M887" s="43" t="inlineStr">
        <is>
          <t>1080x2400</t>
        </is>
      </c>
      <c r="N887" s="43" t="inlineStr">
        <is>
          <t>USB-C (USB 3.2), nano-SIM + eSIM, 3.5mm headphone jack, microSD slot</t>
        </is>
      </c>
      <c r="O887" s="43" t="inlineStr">
        <is>
          <t>Android 15</t>
        </is>
      </c>
      <c r="P887" s="43" t="n">
        <v>32</v>
      </c>
      <c r="Q887" s="46" t="n">
        <v>302</v>
      </c>
      <c r="R887" s="43" t="inlineStr">
        <is>
          <t>Lighter than Comus Axis Pro Rugged Smartphone [COM-078-04] (302 g vs 334 g); Longer battery than Alpheus Halo Pro Rugged Smartphone [ALP-082-06] (32 vs 31 hrs)</t>
        </is>
      </c>
      <c r="S887" s="43" t="inlineStr">
        <is>
          <t>outdoor, construction, fieldwork</t>
        </is>
      </c>
      <c r="T887" s="0" t="inlineStr">
        <is>
          <t>in_stock</t>
        </is>
      </c>
      <c r="U887" s="0" t="n">
        <v>30</v>
      </c>
      <c r="V887" s="52" t="n">
        <v>843.99</v>
      </c>
      <c r="W887" s="0" t="inlineStr">
        <is>
          <t>2026-08-10</t>
        </is>
      </c>
      <c r="X887" s="0" t="inlineStr">
        <is>
          <t>N/A</t>
        </is>
      </c>
      <c r="Y887" s="0" t="inlineStr">
        <is>
          <t>N/A</t>
        </is>
      </c>
      <c r="Z887" s="0" t="inlineStr">
        <is>
          <t>N/A</t>
        </is>
      </c>
      <c r="AA887" s="0" t="inlineStr">
        <is>
          <t>N/A</t>
        </is>
      </c>
    </row>
    <row r="888" ht="15.75" customHeight="1" s="51">
      <c r="A888" s="43" t="inlineStr">
        <is>
          <t>EUR-088-06</t>
        </is>
      </c>
      <c r="B888" s="43" t="inlineStr">
        <is>
          <t>Eurus</t>
        </is>
      </c>
      <c r="C888" s="43" t="inlineStr">
        <is>
          <t>Smartphones &amp; Tablets</t>
        </is>
      </c>
      <c r="D888" s="43" t="inlineStr">
        <is>
          <t>Smartphone</t>
        </is>
      </c>
      <c r="E888" s="44" t="inlineStr">
        <is>
          <t>Eurus Flux Lite Flip Foldable Phone</t>
        </is>
      </c>
      <c r="F888" s="45" t="n">
        <v>806.99</v>
      </c>
      <c r="G888" s="43" t="inlineStr">
        <is>
          <t>the Flux Lite; Eurus Flux Lite; Euurs Flux Lite; Flux Lite smartphone</t>
        </is>
      </c>
      <c r="H888" s="43" t="inlineStr">
        <is>
          <t>1 year limited</t>
        </is>
      </c>
      <c r="I888" s="43" t="inlineStr">
        <is>
          <t>FCC, CE, IPX8</t>
        </is>
      </c>
      <c r="J888" s="43" t="inlineStr">
        <is>
          <t>Qualcomm Snapdragon 8 Gen 3</t>
        </is>
      </c>
      <c r="K888" s="43" t="inlineStr">
        <is>
          <t>Qualcomm Adreno 750</t>
        </is>
      </c>
      <c r="L888" s="43" t="inlineStr">
        <is>
          <t>Foldable AMOLED inner + AMOLED cover screen</t>
        </is>
      </c>
      <c r="M888" s="43" t="inlineStr">
        <is>
          <t>1080x2640 inner / 720x748 cover</t>
        </is>
      </c>
      <c r="N888" s="43" t="inlineStr">
        <is>
          <t>USB-C (USB 3.2), nano-SIM + eSIM</t>
        </is>
      </c>
      <c r="O888" s="43" t="inlineStr">
        <is>
          <t>Android 15</t>
        </is>
      </c>
      <c r="P888" s="43" t="n">
        <v>16</v>
      </c>
      <c r="Q888" s="46" t="n">
        <v>197</v>
      </c>
      <c r="R888" s="43" t="inlineStr">
        <is>
          <t>Lower price than Lachesis Zen Pro Flip Foldable Phone [LAC-071-07] ($806.99 vs $898.99); Lighter than Plutus Arc Max Flip Foldable Phone [PLU-100-07] (197 g vs 199 g)</t>
        </is>
      </c>
      <c r="S888" s="43" t="inlineStr">
        <is>
          <t>style, everyday, compact</t>
        </is>
      </c>
      <c r="T888" s="0" t="inlineStr">
        <is>
          <t>in_stock</t>
        </is>
      </c>
      <c r="U888" s="0" t="n">
        <v>30</v>
      </c>
      <c r="V888" s="52" t="n">
        <v>849.99</v>
      </c>
      <c r="W888" s="0" t="inlineStr">
        <is>
          <t>2026-08-22</t>
        </is>
      </c>
      <c r="X888" s="0" t="inlineStr">
        <is>
          <t>N/A</t>
        </is>
      </c>
      <c r="Y888" s="0" t="inlineStr">
        <is>
          <t>N/A</t>
        </is>
      </c>
      <c r="Z888" s="0" t="inlineStr">
        <is>
          <t>N/A</t>
        </is>
      </c>
      <c r="AA888" s="0" t="inlineStr">
        <is>
          <t>N/A</t>
        </is>
      </c>
    </row>
    <row r="889" ht="15.75" customHeight="1" s="51">
      <c r="A889" s="43" t="inlineStr">
        <is>
          <t>EUR-088-07</t>
        </is>
      </c>
      <c r="B889" s="43" t="inlineStr">
        <is>
          <t>Eurus</t>
        </is>
      </c>
      <c r="C889" s="43" t="inlineStr">
        <is>
          <t>Smartphones &amp; Tablets</t>
        </is>
      </c>
      <c r="D889" s="43" t="inlineStr">
        <is>
          <t>Tablet</t>
        </is>
      </c>
      <c r="E889" s="44" t="inlineStr">
        <is>
          <t>Eurus Aeon 5G Tablet</t>
        </is>
      </c>
      <c r="F889" s="45" t="n">
        <v>949.99</v>
      </c>
      <c r="G889" s="43" t="inlineStr">
        <is>
          <t>the Aeon; Eurus Aeon; Euurus Aeon; Aeon tablet</t>
        </is>
      </c>
      <c r="H889" s="43" t="inlineStr">
        <is>
          <t>1 year limited</t>
        </is>
      </c>
      <c r="I889" s="43" t="inlineStr">
        <is>
          <t>FCC, CE, Energy Star</t>
        </is>
      </c>
      <c r="J889" s="43" t="inlineStr">
        <is>
          <t>Qualcomm Snapdragon 8 Gen 3</t>
        </is>
      </c>
      <c r="K889" s="43" t="inlineStr">
        <is>
          <t>Qualcomm Adreno 750</t>
        </is>
      </c>
      <c r="L889" s="43" t="inlineStr">
        <is>
          <t>OLED, 120Hz</t>
        </is>
      </c>
      <c r="M889" s="43" t="inlineStr">
        <is>
          <t>1752x2800</t>
        </is>
      </c>
      <c r="N889" s="43" t="inlineStr">
        <is>
          <t>USB-C (USB 3.2), magnetic keyboard connector, nano-SIM + eSIM</t>
        </is>
      </c>
      <c r="O889" s="43" t="inlineStr">
        <is>
          <t>Android 15</t>
        </is>
      </c>
      <c r="P889" s="43" t="n">
        <v>11</v>
      </c>
      <c r="Q889" s="46" t="n">
        <v>522</v>
      </c>
      <c r="R889" s="43" t="inlineStr">
        <is>
          <t>Lighter than Coeus Vertex Lite 5G Tablet [COE-075-05] (522 g vs 553 g); Lower price than Helios Aria 5G Tablet [HEL-073-08] ($949.99 vs $1,198.99)</t>
        </is>
      </c>
      <c r="S889" s="43" t="inlineStr">
        <is>
          <t>travel, streaming, work on the go</t>
        </is>
      </c>
      <c r="T889" s="0" t="inlineStr">
        <is>
          <t>in_stock</t>
        </is>
      </c>
      <c r="U889" s="0" t="n">
        <v>30</v>
      </c>
      <c r="V889" s="52" t="n">
        <v>989.99</v>
      </c>
      <c r="W889" s="0" t="inlineStr">
        <is>
          <t>2026-08-25</t>
        </is>
      </c>
      <c r="X889" s="0" t="inlineStr">
        <is>
          <t>N/A</t>
        </is>
      </c>
      <c r="Y889" s="0" t="inlineStr">
        <is>
          <t>N/A</t>
        </is>
      </c>
      <c r="Z889" s="0" t="inlineStr">
        <is>
          <t>N/A</t>
        </is>
      </c>
      <c r="AA889" s="0" t="inlineStr">
        <is>
          <t>N/A</t>
        </is>
      </c>
    </row>
    <row r="890" ht="15.75" customHeight="1" s="51">
      <c r="A890" s="43" t="inlineStr">
        <is>
          <t>EUR-088-08</t>
        </is>
      </c>
      <c r="B890" s="43" t="inlineStr">
        <is>
          <t>Eurus</t>
        </is>
      </c>
      <c r="C890" s="43" t="inlineStr">
        <is>
          <t>Smartphones &amp; Tablets</t>
        </is>
      </c>
      <c r="D890" s="43" t="inlineStr">
        <is>
          <t>Smartphone</t>
        </is>
      </c>
      <c r="E890" s="44" t="inlineStr">
        <is>
          <t>Eurus Axis Pro Flagship Smartphone</t>
        </is>
      </c>
      <c r="F890" s="45" t="n">
        <v>1169.99</v>
      </c>
      <c r="G890" s="43" t="inlineStr">
        <is>
          <t>the Axis Pro; Eurus Axis Pro; Eurrus Axis Pro; Axis Pro smartphone</t>
        </is>
      </c>
      <c r="H890" s="43" t="inlineStr">
        <is>
          <t>2 year limited</t>
        </is>
      </c>
      <c r="I890" s="43" t="inlineStr">
        <is>
          <t>FCC, CE, IP68, Qi2</t>
        </is>
      </c>
      <c r="J890" s="43" t="inlineStr">
        <is>
          <t>MediaTek Dimensity 9400</t>
        </is>
      </c>
      <c r="K890" s="43" t="inlineStr">
        <is>
          <t>Arm Immortalis-G925</t>
        </is>
      </c>
      <c r="L890" s="43" t="inlineStr">
        <is>
          <t>LTPO AMOLED, 1-120Hz</t>
        </is>
      </c>
      <c r="M890" s="43" t="inlineStr">
        <is>
          <t>1440x3120</t>
        </is>
      </c>
      <c r="N890" s="43" t="inlineStr">
        <is>
          <t>USB-C (USB 3.2), nano-SIM + eSIM</t>
        </is>
      </c>
      <c r="O890" s="43" t="inlineStr">
        <is>
          <t>Android 15</t>
        </is>
      </c>
      <c r="P890" s="43" t="n">
        <v>26</v>
      </c>
      <c r="Q890" s="46" t="n">
        <v>183</v>
      </c>
      <c r="R890" s="43" t="inlineStr">
        <is>
          <t>Lighter than Aether Pulse Ultra Flagship Smartphone [AET-080-06] (183 g vs 195 g); Longer battery than Alpheus Drift Plus Flagship Smartphone [ALP-082-09] (26 vs 25 hrs)</t>
        </is>
      </c>
      <c r="S890" s="43" t="inlineStr">
        <is>
          <t>photography, everyday, business</t>
        </is>
      </c>
      <c r="T890" s="0" t="inlineStr">
        <is>
          <t>in_stock</t>
        </is>
      </c>
      <c r="U890" s="0" t="n">
        <v>30</v>
      </c>
      <c r="V890" s="52" t="n">
        <v>1229.99</v>
      </c>
      <c r="W890" s="0" t="inlineStr">
        <is>
          <t>2026-08-04</t>
        </is>
      </c>
      <c r="X890" s="0" t="inlineStr">
        <is>
          <t>N/A</t>
        </is>
      </c>
      <c r="Y890" s="0" t="inlineStr">
        <is>
          <t>N/A</t>
        </is>
      </c>
      <c r="Z890" s="0" t="inlineStr">
        <is>
          <t>N/A</t>
        </is>
      </c>
      <c r="AA890" s="0" t="inlineStr">
        <is>
          <t>N/A</t>
        </is>
      </c>
    </row>
    <row r="891" ht="15.75" customHeight="1" s="51">
      <c r="A891" s="43" t="inlineStr">
        <is>
          <t>EUR-088-09</t>
        </is>
      </c>
      <c r="B891" s="43" t="inlineStr">
        <is>
          <t>Eurus</t>
        </is>
      </c>
      <c r="C891" s="43" t="inlineStr">
        <is>
          <t>Smartphones &amp; Tablets</t>
        </is>
      </c>
      <c r="D891" s="43" t="inlineStr">
        <is>
          <t>Smartphone</t>
        </is>
      </c>
      <c r="E891" s="44" t="inlineStr">
        <is>
          <t>Eurus Flux Ultra Foldable Phone</t>
        </is>
      </c>
      <c r="F891" s="45" t="n">
        <v>1345.99</v>
      </c>
      <c r="G891" s="43" t="inlineStr">
        <is>
          <t>the Flux Ultra; Eurus Flux Ultra; Euros Flux Ultra; Flux Ultra smartphone</t>
        </is>
      </c>
      <c r="H891" s="43" t="inlineStr">
        <is>
          <t>1 year limited</t>
        </is>
      </c>
      <c r="I891" s="43" t="inlineStr">
        <is>
          <t>FCC, CE, IPX8</t>
        </is>
      </c>
      <c r="J891" s="43" t="inlineStr">
        <is>
          <t>Qualcomm Snapdragon 8 Elite</t>
        </is>
      </c>
      <c r="K891" s="43" t="inlineStr">
        <is>
          <t>Qualcomm Adreno 830</t>
        </is>
      </c>
      <c r="L891" s="43" t="inlineStr">
        <is>
          <t>Foldable LTPO AMOLED inner + AMOLED cover, 120Hz</t>
        </is>
      </c>
      <c r="M891" s="43" t="inlineStr">
        <is>
          <t>2160x1856 inner / 1080x2376 cover</t>
        </is>
      </c>
      <c r="N891" s="43" t="inlineStr">
        <is>
          <t>USB-C (USB 3.2), nano-SIM + eSIM</t>
        </is>
      </c>
      <c r="O891" s="43" t="inlineStr">
        <is>
          <t>Android 15</t>
        </is>
      </c>
      <c r="P891" s="43" t="n">
        <v>18</v>
      </c>
      <c r="Q891" s="46" t="n">
        <v>243</v>
      </c>
      <c r="R891" s="43" t="inlineStr">
        <is>
          <t>Lower price than Elpis Quanta Air Foldable Phone [ELP-074-10] ($1,345.99 vs $1,991.99); Lighter than Arete Axis Plus Foldable Phone [ARE-054-10] (243 g vs 267 g)</t>
        </is>
      </c>
      <c r="S891" s="43" t="inlineStr">
        <is>
          <t>multitasking, business, media</t>
        </is>
      </c>
      <c r="T891" s="0" t="inlineStr">
        <is>
          <t>in_stock</t>
        </is>
      </c>
      <c r="U891" s="0" t="n">
        <v>30</v>
      </c>
      <c r="V891" s="52" t="n">
        <v>1540.99</v>
      </c>
      <c r="W891" s="0" t="inlineStr">
        <is>
          <t>2026-09-25</t>
        </is>
      </c>
      <c r="X891" s="0" t="inlineStr">
        <is>
          <t>N/A</t>
        </is>
      </c>
      <c r="Y891" s="0" t="inlineStr">
        <is>
          <t>N/A</t>
        </is>
      </c>
      <c r="Z891" s="0" t="inlineStr">
        <is>
          <t>N/A</t>
        </is>
      </c>
      <c r="AA891" s="0" t="inlineStr">
        <is>
          <t>N/A</t>
        </is>
      </c>
    </row>
    <row r="892" ht="15.75" customHeight="1" s="51">
      <c r="A892" s="43" t="inlineStr">
        <is>
          <t>EUR-088-10</t>
        </is>
      </c>
      <c r="B892" s="43" t="inlineStr">
        <is>
          <t>Eurus</t>
        </is>
      </c>
      <c r="C892" s="43" t="inlineStr">
        <is>
          <t>Smartphones &amp; Tablets</t>
        </is>
      </c>
      <c r="D892" s="43" t="inlineStr">
        <is>
          <t>Tablet</t>
        </is>
      </c>
      <c r="E892" s="44" t="inlineStr">
        <is>
          <t>Eurus Prism Lite 13" Pro Tablet</t>
        </is>
      </c>
      <c r="F892" s="45" t="n">
        <v>1663.99</v>
      </c>
      <c r="G892" s="43" t="inlineStr">
        <is>
          <t>the Prism Lite; Eurus Prism Lite; Eruus Prism Lite; Prism Lite tablet</t>
        </is>
      </c>
      <c r="H892" s="43" t="inlineStr">
        <is>
          <t>2 year limited</t>
        </is>
      </c>
      <c r="I892" s="43" t="inlineStr">
        <is>
          <t>FCC, CE, Energy Star</t>
        </is>
      </c>
      <c r="J892" s="43" t="inlineStr">
        <is>
          <t>Qualcomm Snapdragon 8 Elite</t>
        </is>
      </c>
      <c r="K892" s="43" t="inlineStr">
        <is>
          <t>Qualcomm Adreno 830</t>
        </is>
      </c>
      <c r="L892" s="43" t="inlineStr">
        <is>
          <t>Mini-LED, 144Hz</t>
        </is>
      </c>
      <c r="M892" s="43" t="inlineStr">
        <is>
          <t>2960x1848</t>
        </is>
      </c>
      <c r="N892" s="43" t="inlineStr">
        <is>
          <t>USB-C (USB 3.2), magnetic keyboard connector</t>
        </is>
      </c>
      <c r="O892" s="43" t="inlineStr">
        <is>
          <t>Android 15</t>
        </is>
      </c>
      <c r="P892" s="43" t="n">
        <v>13</v>
      </c>
      <c r="Q892" s="46" t="n">
        <v>585</v>
      </c>
      <c r="R892" s="43" t="inlineStr">
        <is>
          <t>Lower price than Aglaea Strata SE 13" Pro Tablet [AGL-079-10] ($1,663.99 vs $1,836.99); Lighter than Pothos Orbit Max 13" Pro Tablet [POT-072-07] (585 g vs 661 g)</t>
        </is>
      </c>
      <c r="S892" s="43" t="inlineStr">
        <is>
          <t>creative work, productivity, drawing</t>
        </is>
      </c>
      <c r="T892" s="0" t="inlineStr">
        <is>
          <t>in_stock</t>
        </is>
      </c>
      <c r="U892" s="0" t="n">
        <v>30</v>
      </c>
      <c r="V892" s="52" t="n">
        <v>1789.99</v>
      </c>
      <c r="W892" s="0" t="inlineStr">
        <is>
          <t>2026-09-02</t>
        </is>
      </c>
      <c r="X892" s="0" t="inlineStr">
        <is>
          <t>N/A</t>
        </is>
      </c>
      <c r="Y892" s="0" t="inlineStr">
        <is>
          <t>N/A</t>
        </is>
      </c>
      <c r="Z892" s="0" t="inlineStr">
        <is>
          <t>N/A</t>
        </is>
      </c>
      <c r="AA892" s="0" t="inlineStr">
        <is>
          <t>N/A</t>
        </is>
      </c>
    </row>
    <row r="893" ht="15.75" customHeight="1" s="51">
      <c r="A893" s="43" t="inlineStr">
        <is>
          <t>ALE-089-01</t>
        </is>
      </c>
      <c r="B893" s="43" t="inlineStr">
        <is>
          <t>Aletheia</t>
        </is>
      </c>
      <c r="C893" s="43" t="inlineStr">
        <is>
          <t>Smartphones &amp; Tablets</t>
        </is>
      </c>
      <c r="D893" s="43" t="inlineStr">
        <is>
          <t>Tablet</t>
        </is>
      </c>
      <c r="E893" s="44" t="inlineStr">
        <is>
          <t>Aletheia Pulse Plus Kids Tablet</t>
        </is>
      </c>
      <c r="F893" s="45" t="n">
        <v>79.98999999999999</v>
      </c>
      <c r="G893" s="43" t="inlineStr">
        <is>
          <t>the Pulse Plus; Aletheia Pulse Plus; Aletheeia Pulse Plus; Pulse Plus tablet</t>
        </is>
      </c>
      <c r="H893" s="43" t="inlineStr">
        <is>
          <t>1 year limited</t>
        </is>
      </c>
      <c r="I893" s="43" t="inlineStr">
        <is>
          <t>FCC, CE, TUV Rheinland Low Blue Light, EN 71 Toy Safety</t>
        </is>
      </c>
      <c r="J893" s="43" t="inlineStr">
        <is>
          <t>MediaTek Helio G88</t>
        </is>
      </c>
      <c r="K893" s="43" t="inlineStr">
        <is>
          <t>Arm Mali-G52 MC2</t>
        </is>
      </c>
      <c r="L893" s="43" t="inlineStr">
        <is>
          <t>IPS LCD, 60Hz</t>
        </is>
      </c>
      <c r="M893" s="43" t="inlineStr">
        <is>
          <t>800x1280</t>
        </is>
      </c>
      <c r="N893" s="43" t="inlineStr">
        <is>
          <t>USB-C (USB 2.0), microSD slot</t>
        </is>
      </c>
      <c r="O893" s="43" t="inlineStr">
        <is>
          <t>Android 14 with parental controls</t>
        </is>
      </c>
      <c r="P893" s="43" t="n">
        <v>9</v>
      </c>
      <c r="Q893" s="46" t="n">
        <v>416</v>
      </c>
      <c r="R893" s="43" t="inlineStr">
        <is>
          <t>Longer battery than Aglaea Prism Pro Kids Tablet [AGL-079-01] (9 vs 8 hrs); Lighter than Theia Sable Kids Tablet [THE-081-01] (416 g vs 437 g)</t>
        </is>
      </c>
      <c r="S893" s="43" t="inlineStr">
        <is>
          <t>kids, learning, games</t>
        </is>
      </c>
      <c r="T893" s="0" t="inlineStr">
        <is>
          <t>in_stock</t>
        </is>
      </c>
      <c r="U893" s="0" t="n">
        <v>60</v>
      </c>
      <c r="V893" s="52" t="n">
        <v>90.98999999999999</v>
      </c>
      <c r="W893" s="0" t="inlineStr">
        <is>
          <t>2026-08-15</t>
        </is>
      </c>
      <c r="X893" s="0" t="inlineStr">
        <is>
          <t>N/A</t>
        </is>
      </c>
      <c r="Y893" s="0" t="inlineStr">
        <is>
          <t>N/A</t>
        </is>
      </c>
      <c r="Z893" s="0" t="inlineStr">
        <is>
          <t>N/A</t>
        </is>
      </c>
      <c r="AA893" s="0" t="inlineStr">
        <is>
          <t>N/A</t>
        </is>
      </c>
    </row>
    <row r="894" ht="15.75" customHeight="1" s="51">
      <c r="A894" s="43" t="inlineStr">
        <is>
          <t>ALE-089-02</t>
        </is>
      </c>
      <c r="B894" s="43" t="inlineStr">
        <is>
          <t>Aletheia</t>
        </is>
      </c>
      <c r="C894" s="43" t="inlineStr">
        <is>
          <t>Smartphones &amp; Tablets</t>
        </is>
      </c>
      <c r="D894" s="43" t="inlineStr">
        <is>
          <t>Smartphone</t>
        </is>
      </c>
      <c r="E894" s="44" t="inlineStr">
        <is>
          <t>Aletheia Blaze Budget Smartphone</t>
        </is>
      </c>
      <c r="F894" s="45" t="n">
        <v>173.99</v>
      </c>
      <c r="G894" s="43" t="inlineStr">
        <is>
          <t>the Blaze; Aletheia Blaze; Aleteia Blaze; Blaze smartphone</t>
        </is>
      </c>
      <c r="H894" s="43" t="inlineStr">
        <is>
          <t>1 year limited</t>
        </is>
      </c>
      <c r="I894" s="43" t="inlineStr">
        <is>
          <t>FCC, CE, IP54</t>
        </is>
      </c>
      <c r="J894" s="43" t="inlineStr">
        <is>
          <t>MediaTek Helio G99</t>
        </is>
      </c>
      <c r="K894" s="43" t="inlineStr">
        <is>
          <t>Arm Mali-G57 MC2</t>
        </is>
      </c>
      <c r="L894" s="43" t="inlineStr">
        <is>
          <t>IPS LCD, 90Hz</t>
        </is>
      </c>
      <c r="M894" s="43" t="inlineStr">
        <is>
          <t>720x1600</t>
        </is>
      </c>
      <c r="N894" s="43" t="inlineStr">
        <is>
          <t>USB-C (USB 2.0), nano-SIM + eSIM, 3.5mm headphone jack, microSD slot</t>
        </is>
      </c>
      <c r="O894" s="43" t="inlineStr">
        <is>
          <t>Android 14</t>
        </is>
      </c>
      <c r="P894" s="43" t="n">
        <v>26</v>
      </c>
      <c r="Q894" s="46" t="n">
        <v>193</v>
      </c>
      <c r="R894" s="43" t="inlineStr">
        <is>
          <t>Lower price than Plutus Vertex Air Budget Smartphone [PLU-100-02] ($173.99 vs $383.99); Lighter than Athena Axis Plus Budget Smartphone [ATH-064-03] (193 g vs 204 g)</t>
        </is>
      </c>
      <c r="S894" s="43" t="inlineStr">
        <is>
          <t>budget, first phone, everyday</t>
        </is>
      </c>
      <c r="T894" s="0" t="inlineStr">
        <is>
          <t>in_stock</t>
        </is>
      </c>
      <c r="U894" s="0" t="n">
        <v>60</v>
      </c>
      <c r="V894" s="52" t="n">
        <v>183.99</v>
      </c>
      <c r="W894" s="0" t="inlineStr">
        <is>
          <t>2026-08-30</t>
        </is>
      </c>
      <c r="X894" s="0" t="inlineStr">
        <is>
          <t>N/A</t>
        </is>
      </c>
      <c r="Y894" s="0" t="inlineStr">
        <is>
          <t>N/A</t>
        </is>
      </c>
      <c r="Z894" s="0" t="inlineStr">
        <is>
          <t>N/A</t>
        </is>
      </c>
      <c r="AA894" s="0" t="inlineStr">
        <is>
          <t>N/A</t>
        </is>
      </c>
    </row>
    <row r="895" ht="15.75" customHeight="1" s="51">
      <c r="A895" s="43" t="inlineStr">
        <is>
          <t>ALE-089-03</t>
        </is>
      </c>
      <c r="B895" s="43" t="inlineStr">
        <is>
          <t>Aletheia</t>
        </is>
      </c>
      <c r="C895" s="43" t="inlineStr">
        <is>
          <t>Smartphones &amp; Tablets</t>
        </is>
      </c>
      <c r="D895" s="43" t="inlineStr">
        <is>
          <t>Tablet</t>
        </is>
      </c>
      <c r="E895" s="44" t="inlineStr">
        <is>
          <t>Aletheia Vibe SE 8" Mini Tablet</t>
        </is>
      </c>
      <c r="F895" s="45" t="n">
        <v>351.99</v>
      </c>
      <c r="G895" s="43" t="inlineStr">
        <is>
          <t>the Vibe SE; Aletheia Vibe SE; Aeltheia Vibe SE; Vibe SE tablet</t>
        </is>
      </c>
      <c r="H895" s="43" t="inlineStr">
        <is>
          <t>1 year limited</t>
        </is>
      </c>
      <c r="I895" s="43" t="inlineStr">
        <is>
          <t>FCC, CE, TUV Rheinland Low Blue Light</t>
        </is>
      </c>
      <c r="J895" s="43" t="inlineStr">
        <is>
          <t>MediaTek Dimensity 7300</t>
        </is>
      </c>
      <c r="K895" s="43" t="inlineStr">
        <is>
          <t>Arm Mali-G615 MC2</t>
        </is>
      </c>
      <c r="L895" s="43" t="inlineStr">
        <is>
          <t>IPS LCD, 60Hz</t>
        </is>
      </c>
      <c r="M895" s="43" t="inlineStr">
        <is>
          <t>1200x1920</t>
        </is>
      </c>
      <c r="N895" s="43" t="inlineStr">
        <is>
          <t>USB-C (USB 2.0), microSD slot</t>
        </is>
      </c>
      <c r="O895" s="43" t="inlineStr">
        <is>
          <t>Android 15</t>
        </is>
      </c>
      <c r="P895" s="43" t="n">
        <v>12</v>
      </c>
      <c r="Q895" s="46" t="n">
        <v>315</v>
      </c>
      <c r="R895" s="43" t="inlineStr">
        <is>
          <t>Longer battery than Plutus Titan Ultra 8" Mini Tablet [PLU-100-03] (12 vs 9 hrs); Lower price than Hephaestus Flux 8" Mini Tablet [HEP-076-02] ($351.99 vs $406.99)</t>
        </is>
      </c>
      <c r="S895" s="43" t="inlineStr">
        <is>
          <t>reading, travel, gaming</t>
        </is>
      </c>
      <c r="T895" s="0" t="inlineStr">
        <is>
          <t>in_stock</t>
        </is>
      </c>
      <c r="U895" s="0" t="n">
        <v>60</v>
      </c>
      <c r="V895" s="52" t="n">
        <v>370.99</v>
      </c>
      <c r="W895" s="0" t="inlineStr">
        <is>
          <t>2026-09-15</t>
        </is>
      </c>
      <c r="X895" s="0" t="inlineStr">
        <is>
          <t>N/A</t>
        </is>
      </c>
      <c r="Y895" s="0" t="inlineStr">
        <is>
          <t>N/A</t>
        </is>
      </c>
      <c r="Z895" s="0" t="inlineStr">
        <is>
          <t>N/A</t>
        </is>
      </c>
      <c r="AA895" s="0" t="inlineStr">
        <is>
          <t>N/A</t>
        </is>
      </c>
    </row>
    <row r="896" ht="15.75" customHeight="1" s="51">
      <c r="A896" s="43" t="inlineStr">
        <is>
          <t>ALE-089-04</t>
        </is>
      </c>
      <c r="B896" s="43" t="inlineStr">
        <is>
          <t>Aletheia</t>
        </is>
      </c>
      <c r="C896" s="43" t="inlineStr">
        <is>
          <t>Smartphones &amp; Tablets</t>
        </is>
      </c>
      <c r="D896" s="43" t="inlineStr">
        <is>
          <t>Tablet</t>
        </is>
      </c>
      <c r="E896" s="44" t="inlineStr">
        <is>
          <t>Aletheia Zen Plus 11" Tablet</t>
        </is>
      </c>
      <c r="F896" s="45" t="n">
        <v>380.99</v>
      </c>
      <c r="G896" s="43" t="inlineStr">
        <is>
          <t>the Zen Plus; Aletheia Zen Plus; Alethei Zen Plus; Zen Plus tablet</t>
        </is>
      </c>
      <c r="H896" s="43" t="inlineStr">
        <is>
          <t>1 year limited</t>
        </is>
      </c>
      <c r="I896" s="43" t="inlineStr">
        <is>
          <t>FCC, CE</t>
        </is>
      </c>
      <c r="J896" s="43" t="inlineStr">
        <is>
          <t>MediaTek Dimensity 7300</t>
        </is>
      </c>
      <c r="K896" s="43" t="inlineStr">
        <is>
          <t>Arm Mali-G615 MC2</t>
        </is>
      </c>
      <c r="L896" s="43" t="inlineStr">
        <is>
          <t>IPS LCD, 90Hz</t>
        </is>
      </c>
      <c r="M896" s="43" t="inlineStr">
        <is>
          <t>1600x2560</t>
        </is>
      </c>
      <c r="N896" s="43" t="inlineStr">
        <is>
          <t>USB-C (USB 2.0), microSD slot</t>
        </is>
      </c>
      <c r="O896" s="43" t="inlineStr">
        <is>
          <t>Android 15</t>
        </is>
      </c>
      <c r="P896" s="43" t="n">
        <v>14</v>
      </c>
      <c r="Q896" s="46" t="n">
        <v>490</v>
      </c>
      <c r="R896" s="43" t="inlineStr">
        <is>
          <t>Lower price than Erebus Axis X 11" Tablet [ERE-098-07] ($380.99 vs $751.99); Longer battery than Athena Orbit Pro 11" Tablet [ATH-064-07] (14 vs 10 hrs)</t>
        </is>
      </c>
      <c r="S896" s="43" t="inlineStr">
        <is>
          <t>school, streaming, reading</t>
        </is>
      </c>
      <c r="T896" s="0" t="inlineStr">
        <is>
          <t>in_stock</t>
        </is>
      </c>
      <c r="U896" s="0" t="n">
        <v>60</v>
      </c>
      <c r="V896" s="52" t="n">
        <v>431.99</v>
      </c>
      <c r="W896" s="0" t="inlineStr">
        <is>
          <t>2026-08-09</t>
        </is>
      </c>
      <c r="X896" s="0" t="inlineStr">
        <is>
          <t>N/A</t>
        </is>
      </c>
      <c r="Y896" s="0" t="inlineStr">
        <is>
          <t>N/A</t>
        </is>
      </c>
      <c r="Z896" s="0" t="inlineStr">
        <is>
          <t>N/A</t>
        </is>
      </c>
      <c r="AA896" s="0" t="inlineStr">
        <is>
          <t>N/A</t>
        </is>
      </c>
    </row>
    <row r="897" ht="15.75" customHeight="1" s="51">
      <c r="A897" s="43" t="inlineStr">
        <is>
          <t>ALE-089-05</t>
        </is>
      </c>
      <c r="B897" s="43" t="inlineStr">
        <is>
          <t>Aletheia</t>
        </is>
      </c>
      <c r="C897" s="43" t="inlineStr">
        <is>
          <t>Smartphones &amp; Tablets</t>
        </is>
      </c>
      <c r="D897" s="43" t="inlineStr">
        <is>
          <t>Smartphone</t>
        </is>
      </c>
      <c r="E897" s="44" t="inlineStr">
        <is>
          <t>Aletheia Orbit Ultra Rugged Smartphone</t>
        </is>
      </c>
      <c r="F897" s="45" t="n">
        <v>413.99</v>
      </c>
      <c r="G897" s="43" t="inlineStr">
        <is>
          <t>the Orbit Ultra; Aletheia Orbit Ultra; Aleteia Orbit Ultra; Orbit Ultra smartphone</t>
        </is>
      </c>
      <c r="H897" s="43" t="inlineStr">
        <is>
          <t>2 year limited</t>
        </is>
      </c>
      <c r="I897" s="43" t="inlineStr">
        <is>
          <t>FCC, CE, IP69K, MIL-STD-810H</t>
        </is>
      </c>
      <c r="J897" s="43" t="inlineStr">
        <is>
          <t>MediaTek Dimensity 7300</t>
        </is>
      </c>
      <c r="K897" s="43" t="inlineStr">
        <is>
          <t>Arm Mali-G615 MC2</t>
        </is>
      </c>
      <c r="L897" s="43" t="inlineStr">
        <is>
          <t>IPS LCD, Gorilla Glass Victus, 120Hz</t>
        </is>
      </c>
      <c r="M897" s="43" t="inlineStr">
        <is>
          <t>1080x2400</t>
        </is>
      </c>
      <c r="N897" s="43" t="inlineStr">
        <is>
          <t>USB-C (USB 2.0), nano-SIM + eSIM, 3.5mm headphone jack, microSD slot</t>
        </is>
      </c>
      <c r="O897" s="43" t="inlineStr">
        <is>
          <t>Android 15</t>
        </is>
      </c>
      <c r="P897" s="43" t="n">
        <v>35</v>
      </c>
      <c r="Q897" s="46" t="n">
        <v>275</v>
      </c>
      <c r="R897" s="43" t="inlineStr">
        <is>
          <t>Lighter than Comus Axis Pro Rugged Smartphone [COM-078-04] (275 g vs 334 g); Longer battery than Eurus Drift Lite Rugged Smartphone [EUR-088-05] (35 vs 32 hrs)</t>
        </is>
      </c>
      <c r="S897" s="43" t="inlineStr">
        <is>
          <t>outdoor, construction, fieldwork</t>
        </is>
      </c>
      <c r="T897" s="0" t="inlineStr">
        <is>
          <t>low_stock</t>
        </is>
      </c>
      <c r="U897" s="0" t="n">
        <v>60</v>
      </c>
      <c r="V897" s="52" t="n">
        <v>462.99</v>
      </c>
      <c r="W897" s="0" t="inlineStr">
        <is>
          <t>2026-09-18</t>
        </is>
      </c>
      <c r="X897" s="0" t="inlineStr">
        <is>
          <t>N/A</t>
        </is>
      </c>
      <c r="Y897" s="0" t="inlineStr">
        <is>
          <t>N/A</t>
        </is>
      </c>
      <c r="Z897" s="0" t="inlineStr">
        <is>
          <t>N/A</t>
        </is>
      </c>
      <c r="AA897" s="0" t="inlineStr">
        <is>
          <t>N/A</t>
        </is>
      </c>
    </row>
    <row r="898" ht="15.75" customHeight="1" s="51">
      <c r="A898" s="43" t="inlineStr">
        <is>
          <t>ALE-089-06</t>
        </is>
      </c>
      <c r="B898" s="43" t="inlineStr">
        <is>
          <t>Aletheia</t>
        </is>
      </c>
      <c r="C898" s="43" t="inlineStr">
        <is>
          <t>Smartphones &amp; Tablets</t>
        </is>
      </c>
      <c r="D898" s="43" t="inlineStr">
        <is>
          <t>Tablet</t>
        </is>
      </c>
      <c r="E898" s="44" t="inlineStr">
        <is>
          <t>Aletheia Aria Lite E-Ink Note Tablet</t>
        </is>
      </c>
      <c r="F898" s="45" t="n">
        <v>644.99</v>
      </c>
      <c r="G898" s="43" t="inlineStr">
        <is>
          <t>the Aria Lite; Aletheia Aria Lite; Alletheia Aria Lite; Aria Lite tablet</t>
        </is>
      </c>
      <c r="H898" s="43" t="inlineStr">
        <is>
          <t>2 year limited</t>
        </is>
      </c>
      <c r="I898" s="43" t="inlineStr">
        <is>
          <t>FCC, CE, TUV Rheinland Low Blue Light, Energy Star</t>
        </is>
      </c>
      <c r="J898" s="43" t="inlineStr">
        <is>
          <t>Rockchip RK3566</t>
        </is>
      </c>
      <c r="K898" s="43" t="inlineStr">
        <is>
          <t>Arm Mali-G52 2EE</t>
        </is>
      </c>
      <c r="L898" s="43" t="inlineStr">
        <is>
          <t>E Ink Carta 1300, front-lit</t>
        </is>
      </c>
      <c r="M898" s="43" t="inlineStr">
        <is>
          <t>1404x1872</t>
        </is>
      </c>
      <c r="N898" s="43" t="inlineStr">
        <is>
          <t>USB-C (USB 2.0), microSD slot</t>
        </is>
      </c>
      <c r="O898" s="43" t="inlineStr">
        <is>
          <t>Android 13 (E Ink optimized)</t>
        </is>
      </c>
      <c r="P898" s="43" t="n">
        <v>238</v>
      </c>
      <c r="Q898" s="46" t="n">
        <v>396</v>
      </c>
      <c r="R898" s="43" t="inlineStr">
        <is>
          <t>Lighter than Athena Vertex Air E-Ink Note Tablet [ATH-064-04] (396 g vs 409 g); Longer battery than Eupheme Apex Ultra E-Ink Note Tablet [EUP-084-05] (238 vs 152 hrs)</t>
        </is>
      </c>
      <c r="S898" s="43" t="inlineStr">
        <is>
          <t>reading, note-taking, school</t>
        </is>
      </c>
      <c r="T898" s="0" t="inlineStr">
        <is>
          <t>low_stock</t>
        </is>
      </c>
      <c r="U898" s="0" t="n">
        <v>60</v>
      </c>
      <c r="V898" s="52" t="n">
        <v>690.99</v>
      </c>
      <c r="W898" s="0" t="inlineStr">
        <is>
          <t>2026-08-27</t>
        </is>
      </c>
      <c r="X898" s="0" t="inlineStr">
        <is>
          <t>N/A</t>
        </is>
      </c>
      <c r="Y898" s="0" t="inlineStr">
        <is>
          <t>N/A</t>
        </is>
      </c>
      <c r="Z898" s="0" t="inlineStr">
        <is>
          <t>N/A</t>
        </is>
      </c>
      <c r="AA898" s="0" t="inlineStr">
        <is>
          <t>N/A</t>
        </is>
      </c>
    </row>
    <row r="899" ht="15.75" customHeight="1" s="51">
      <c r="A899" s="43" t="inlineStr">
        <is>
          <t>ALE-089-07</t>
        </is>
      </c>
      <c r="B899" s="43" t="inlineStr">
        <is>
          <t>Aletheia</t>
        </is>
      </c>
      <c r="C899" s="43" t="inlineStr">
        <is>
          <t>Smartphones &amp; Tablets</t>
        </is>
      </c>
      <c r="D899" s="43" t="inlineStr">
        <is>
          <t>Smartphone</t>
        </is>
      </c>
      <c r="E899" s="44" t="inlineStr">
        <is>
          <t>Aletheia Arc SE Flagship Smartphone</t>
        </is>
      </c>
      <c r="F899" s="45" t="n">
        <v>834.99</v>
      </c>
      <c r="G899" s="43" t="inlineStr">
        <is>
          <t>the Arc SE; Aletheia Arc SE; Aletheiia Arc SE; Arc SE smartphone</t>
        </is>
      </c>
      <c r="H899" s="43" t="inlineStr">
        <is>
          <t>1 year limited</t>
        </is>
      </c>
      <c r="I899" s="43" t="inlineStr">
        <is>
          <t>FCC, CE, IP68, Qi2</t>
        </is>
      </c>
      <c r="J899" s="43" t="inlineStr">
        <is>
          <t>Qualcomm Snapdragon 8 Gen 3</t>
        </is>
      </c>
      <c r="K899" s="43" t="inlineStr">
        <is>
          <t>Qualcomm Adreno 750</t>
        </is>
      </c>
      <c r="L899" s="43" t="inlineStr">
        <is>
          <t>AMOLED, 120Hz</t>
        </is>
      </c>
      <c r="M899" s="43" t="inlineStr">
        <is>
          <t>1080x2400</t>
        </is>
      </c>
      <c r="N899" s="43" t="inlineStr">
        <is>
          <t>USB-C (USB 3.2), nano-SIM + eSIM</t>
        </is>
      </c>
      <c r="O899" s="43" t="inlineStr">
        <is>
          <t>Android 15</t>
        </is>
      </c>
      <c r="P899" s="43" t="n">
        <v>30</v>
      </c>
      <c r="Q899" s="46" t="n">
        <v>199</v>
      </c>
      <c r="R899" s="43" t="inlineStr">
        <is>
          <t>Lower price than Leucothea Spark Pro Flagship Smartphone [LEU-095-07] ($834.99 vs $1,100.99); Longer battery than Alpheus Drift Plus Flagship Smartphone [ALP-082-09] (30 vs 25 hrs)</t>
        </is>
      </c>
      <c r="S899" s="43" t="inlineStr">
        <is>
          <t>photography, everyday, business</t>
        </is>
      </c>
      <c r="T899" s="0" t="inlineStr">
        <is>
          <t>in_stock</t>
        </is>
      </c>
      <c r="U899" s="0" t="n">
        <v>60</v>
      </c>
      <c r="V899" s="52" t="n">
        <v>888.99</v>
      </c>
      <c r="W899" s="0" t="inlineStr">
        <is>
          <t>2026-09-24</t>
        </is>
      </c>
      <c r="X899" s="0" t="inlineStr">
        <is>
          <t>N/A</t>
        </is>
      </c>
      <c r="Y899" s="0" t="inlineStr">
        <is>
          <t>N/A</t>
        </is>
      </c>
      <c r="Z899" s="0" t="inlineStr">
        <is>
          <t>N/A</t>
        </is>
      </c>
      <c r="AA899" s="0" t="inlineStr">
        <is>
          <t>N/A</t>
        </is>
      </c>
    </row>
    <row r="900" ht="15.75" customHeight="1" s="51">
      <c r="A900" s="43" t="inlineStr">
        <is>
          <t>ALE-089-08</t>
        </is>
      </c>
      <c r="B900" s="43" t="inlineStr">
        <is>
          <t>Aletheia</t>
        </is>
      </c>
      <c r="C900" s="43" t="inlineStr">
        <is>
          <t>Smartphones &amp; Tablets</t>
        </is>
      </c>
      <c r="D900" s="43" t="inlineStr">
        <is>
          <t>Tablet</t>
        </is>
      </c>
      <c r="E900" s="44" t="inlineStr">
        <is>
          <t>Aletheia Vibe Ultra Drawing Tablet with Stylus</t>
        </is>
      </c>
      <c r="F900" s="45" t="n">
        <v>1108.99</v>
      </c>
      <c r="G900" s="43" t="inlineStr">
        <is>
          <t>the Vibe Ultra; Aletheia Vibe Ultra; Alethheia Vibe Ultra; Vibe Ultra tablet</t>
        </is>
      </c>
      <c r="H900" s="43" t="inlineStr">
        <is>
          <t>2 year limited</t>
        </is>
      </c>
      <c r="I900" s="43" t="inlineStr">
        <is>
          <t>FCC, CE, TUV Rheinland Low Blue Light, Energy Star</t>
        </is>
      </c>
      <c r="J900" s="43" t="inlineStr">
        <is>
          <t>MediaTek Dimensity 9400</t>
        </is>
      </c>
      <c r="K900" s="43" t="inlineStr">
        <is>
          <t>Arm Immortalis-G925</t>
        </is>
      </c>
      <c r="L900" s="43" t="inlineStr">
        <is>
          <t>OLED, 120Hz, pen digitizer</t>
        </is>
      </c>
      <c r="M900" s="43" t="inlineStr">
        <is>
          <t>2560x1600</t>
        </is>
      </c>
      <c r="N900" s="43" t="inlineStr">
        <is>
          <t>USB-C (USB 3.2), magnetic keyboard connector</t>
        </is>
      </c>
      <c r="O900" s="43" t="inlineStr">
        <is>
          <t>Android 15</t>
        </is>
      </c>
      <c r="P900" s="43" t="n">
        <v>9</v>
      </c>
      <c r="Q900" s="46" t="n">
        <v>538</v>
      </c>
      <c r="R900" s="43" t="inlineStr">
        <is>
          <t>Lighter than Thetis Volt Lite Drawing Tablet with Stylus [THE-093-04] (538 g vs 619 g); Lower price than Plutus Pulse SE Drawing Tablet with Stylus [PLU-100-09] ($1,108.99 vs $1,211.99)</t>
        </is>
      </c>
      <c r="S900" s="43" t="inlineStr">
        <is>
          <t>drawing, design, note-taking</t>
        </is>
      </c>
      <c r="T900" s="0" t="inlineStr">
        <is>
          <t>low_stock</t>
        </is>
      </c>
      <c r="U900" s="0" t="n">
        <v>60</v>
      </c>
      <c r="V900" s="52" t="n">
        <v>1195.99</v>
      </c>
      <c r="W900" s="0" t="inlineStr">
        <is>
          <t>2026-08-12</t>
        </is>
      </c>
      <c r="X900" s="0" t="inlineStr">
        <is>
          <t>N/A</t>
        </is>
      </c>
      <c r="Y900" s="0" t="inlineStr">
        <is>
          <t>N/A</t>
        </is>
      </c>
      <c r="Z900" s="0" t="inlineStr">
        <is>
          <t>N/A</t>
        </is>
      </c>
      <c r="AA900" s="0" t="inlineStr">
        <is>
          <t>N/A</t>
        </is>
      </c>
    </row>
    <row r="901" ht="15.75" customHeight="1" s="51">
      <c r="A901" s="43" t="inlineStr">
        <is>
          <t>ALE-089-09</t>
        </is>
      </c>
      <c r="B901" s="43" t="inlineStr">
        <is>
          <t>Aletheia</t>
        </is>
      </c>
      <c r="C901" s="43" t="inlineStr">
        <is>
          <t>Smartphones &amp; Tablets</t>
        </is>
      </c>
      <c r="D901" s="43" t="inlineStr">
        <is>
          <t>Smartphone</t>
        </is>
      </c>
      <c r="E901" s="44" t="inlineStr">
        <is>
          <t>Aletheia Flux SE Pro Max Smartphone</t>
        </is>
      </c>
      <c r="F901" s="45" t="n">
        <v>1516.99</v>
      </c>
      <c r="G901" s="43" t="inlineStr">
        <is>
          <t>the Flux SE; Aletheia Flux SE; Aeltheia Flux SE; Flux SE smartphone</t>
        </is>
      </c>
      <c r="H901" s="43" t="inlineStr">
        <is>
          <t>2 year limited</t>
        </is>
      </c>
      <c r="I901" s="43" t="inlineStr">
        <is>
          <t>FCC, CE, IP68, Qi2</t>
        </is>
      </c>
      <c r="J901" s="43" t="inlineStr">
        <is>
          <t>Qualcomm Snapdragon 8 Elite</t>
        </is>
      </c>
      <c r="K901" s="43" t="inlineStr">
        <is>
          <t>Qualcomm Adreno 830</t>
        </is>
      </c>
      <c r="L901" s="43" t="inlineStr">
        <is>
          <t>LTPO AMOLED, 1-120Hz</t>
        </is>
      </c>
      <c r="M901" s="43" t="inlineStr">
        <is>
          <t>1440x3120</t>
        </is>
      </c>
      <c r="N901" s="43" t="inlineStr">
        <is>
          <t>USB-C (USB 3.2), nano-SIM + eSIM</t>
        </is>
      </c>
      <c r="O901" s="43" t="inlineStr">
        <is>
          <t>Android 15</t>
        </is>
      </c>
      <c r="P901" s="43" t="n">
        <v>34</v>
      </c>
      <c r="Q901" s="46" t="n">
        <v>214</v>
      </c>
      <c r="R901" s="43" t="inlineStr">
        <is>
          <t>Lighter than Pothos Halo Air Pro Max Smartphone [POT-072-09] (214 g vs 227 g); Longer battery than Tyche Wave Ultra Pro Max Smartphone [TYC-055-09] (34 vs 31 hrs)</t>
        </is>
      </c>
      <c r="S901" s="43" t="inlineStr">
        <is>
          <t>photography, video, mobile gaming</t>
        </is>
      </c>
      <c r="T901" s="0" t="inlineStr">
        <is>
          <t>low_stock</t>
        </is>
      </c>
      <c r="U901" s="0" t="n">
        <v>60</v>
      </c>
      <c r="V901" s="52" t="n">
        <v>1563.99</v>
      </c>
      <c r="W901" s="0" t="inlineStr">
        <is>
          <t>2026-09-20</t>
        </is>
      </c>
      <c r="X901" s="0" t="inlineStr">
        <is>
          <t>N/A</t>
        </is>
      </c>
      <c r="Y901" s="0" t="inlineStr">
        <is>
          <t>N/A</t>
        </is>
      </c>
      <c r="Z901" s="0" t="inlineStr">
        <is>
          <t>N/A</t>
        </is>
      </c>
      <c r="AA901" s="0" t="inlineStr">
        <is>
          <t>N/A</t>
        </is>
      </c>
    </row>
    <row r="902" ht="15.75" customHeight="1" s="51">
      <c r="A902" s="43" t="inlineStr">
        <is>
          <t>ALE-089-10</t>
        </is>
      </c>
      <c r="B902" s="43" t="inlineStr">
        <is>
          <t>Aletheia</t>
        </is>
      </c>
      <c r="C902" s="43" t="inlineStr">
        <is>
          <t>Smartphones &amp; Tablets</t>
        </is>
      </c>
      <c r="D902" s="43" t="inlineStr">
        <is>
          <t>Smartphone</t>
        </is>
      </c>
      <c r="E902" s="44" t="inlineStr">
        <is>
          <t>Aletheia Apex Lite Foldable Phone</t>
        </is>
      </c>
      <c r="F902" s="45" t="n">
        <v>1954.99</v>
      </c>
      <c r="G902" s="43" t="inlineStr">
        <is>
          <t>the Apex Lite; Aletheia Apex Lite; Alehteia Apex Lite; Apex Lite smartphone</t>
        </is>
      </c>
      <c r="H902" s="43" t="inlineStr">
        <is>
          <t>2 year limited</t>
        </is>
      </c>
      <c r="I902" s="43" t="inlineStr">
        <is>
          <t>FCC, CE, IPX8</t>
        </is>
      </c>
      <c r="J902" s="43" t="inlineStr">
        <is>
          <t>Qualcomm Snapdragon 8 Elite</t>
        </is>
      </c>
      <c r="K902" s="43" t="inlineStr">
        <is>
          <t>Qualcomm Adreno 830</t>
        </is>
      </c>
      <c r="L902" s="43" t="inlineStr">
        <is>
          <t>Foldable LTPO AMOLED inner + AMOLED cover, 120Hz</t>
        </is>
      </c>
      <c r="M902" s="43" t="inlineStr">
        <is>
          <t>2160x1856 inner / 1080x2376 cover</t>
        </is>
      </c>
      <c r="N902" s="43" t="inlineStr">
        <is>
          <t>USB-C (USB 3.2), nano-SIM + eSIM</t>
        </is>
      </c>
      <c r="O902" s="43" t="inlineStr">
        <is>
          <t>Android 15</t>
        </is>
      </c>
      <c r="P902" s="43" t="n">
        <v>22</v>
      </c>
      <c r="Q902" s="46" t="n">
        <v>260</v>
      </c>
      <c r="R902" s="43" t="inlineStr">
        <is>
          <t>Lighter than Styx Aria Pro Foldable Phone [STY-058-10] (260 g vs 264 g); Lower price than Hypnos Prism Pro Foldable Phone [HYP-059-10] ($1,954.99 vs $2,087.99)</t>
        </is>
      </c>
      <c r="S902" s="43" t="inlineStr">
        <is>
          <t>multitasking, business, media</t>
        </is>
      </c>
      <c r="T902" s="0" t="inlineStr">
        <is>
          <t>in_stock</t>
        </is>
      </c>
      <c r="U902" s="0" t="n">
        <v>60</v>
      </c>
      <c r="V902" s="52" t="n">
        <v>2229.99</v>
      </c>
      <c r="W902" s="0" t="inlineStr">
        <is>
          <t>2026-08-25</t>
        </is>
      </c>
      <c r="X902" s="0" t="inlineStr">
        <is>
          <t>N/A</t>
        </is>
      </c>
      <c r="Y902" s="0" t="inlineStr">
        <is>
          <t>N/A</t>
        </is>
      </c>
      <c r="Z902" s="0" t="inlineStr">
        <is>
          <t>N/A</t>
        </is>
      </c>
      <c r="AA902" s="0" t="inlineStr">
        <is>
          <t>N/A</t>
        </is>
      </c>
    </row>
    <row r="903" ht="15.75" customHeight="1" s="51">
      <c r="A903" s="43" t="inlineStr">
        <is>
          <t>ANT-090-01</t>
        </is>
      </c>
      <c r="B903" s="43" t="inlineStr">
        <is>
          <t>Anteros</t>
        </is>
      </c>
      <c r="C903" s="43" t="inlineStr">
        <is>
          <t>Smartphones &amp; Tablets</t>
        </is>
      </c>
      <c r="D903" s="43" t="inlineStr">
        <is>
          <t>Tablet</t>
        </is>
      </c>
      <c r="E903" s="44" t="inlineStr">
        <is>
          <t>Anteros Nova 8" Mini Tablet</t>
        </is>
      </c>
      <c r="F903" s="45" t="n">
        <v>309.99</v>
      </c>
      <c r="G903" s="43" t="inlineStr">
        <is>
          <t>the Nova; Anteros Nova; Antero Nova; Nova tablet</t>
        </is>
      </c>
      <c r="H903" s="43" t="inlineStr">
        <is>
          <t>1 year limited</t>
        </is>
      </c>
      <c r="I903" s="43" t="inlineStr">
        <is>
          <t>FCC, CE, TUV Rheinland Low Blue Light</t>
        </is>
      </c>
      <c r="J903" s="43" t="inlineStr">
        <is>
          <t>Qualcomm Snapdragon 6 Gen 1</t>
        </is>
      </c>
      <c r="K903" s="43" t="inlineStr">
        <is>
          <t>Qualcomm Adreno 710</t>
        </is>
      </c>
      <c r="L903" s="43" t="inlineStr">
        <is>
          <t>IPS LCD, 60Hz</t>
        </is>
      </c>
      <c r="M903" s="43" t="inlineStr">
        <is>
          <t>1200x1920</t>
        </is>
      </c>
      <c r="N903" s="43" t="inlineStr">
        <is>
          <t>USB-C (USB 2.0), microSD slot</t>
        </is>
      </c>
      <c r="O903" s="43" t="inlineStr">
        <is>
          <t>Android 15</t>
        </is>
      </c>
      <c r="P903" s="43" t="n">
        <v>9</v>
      </c>
      <c r="Q903" s="46" t="n">
        <v>319</v>
      </c>
      <c r="R903" s="43" t="inlineStr">
        <is>
          <t>Lighter than Eunomia Volt SE 8" Mini Tablet [EUN-056-06] (319 g vs 322 g); Lower price than Dike Aria SE 8" Mini Tablet [DIK-099-05] ($309.99 vs $419.99)</t>
        </is>
      </c>
      <c r="S903" s="43" t="inlineStr">
        <is>
          <t>reading, travel, gaming</t>
        </is>
      </c>
      <c r="T903" s="0" t="inlineStr">
        <is>
          <t>in_stock</t>
        </is>
      </c>
      <c r="U903" s="0" t="n">
        <v>14</v>
      </c>
      <c r="V903" s="52" t="n">
        <v>352.99</v>
      </c>
      <c r="W903" s="0" t="inlineStr">
        <is>
          <t>2026-09-07</t>
        </is>
      </c>
      <c r="X903" s="0" t="inlineStr">
        <is>
          <t>N/A</t>
        </is>
      </c>
      <c r="Y903" s="0" t="inlineStr">
        <is>
          <t>N/A</t>
        </is>
      </c>
      <c r="Z903" s="0" t="inlineStr">
        <is>
          <t>N/A</t>
        </is>
      </c>
      <c r="AA903" s="0" t="inlineStr">
        <is>
          <t>N/A</t>
        </is>
      </c>
    </row>
    <row r="904" ht="15.75" customHeight="1" s="51">
      <c r="A904" s="43" t="inlineStr">
        <is>
          <t>ANT-090-02</t>
        </is>
      </c>
      <c r="B904" s="43" t="inlineStr">
        <is>
          <t>Anteros</t>
        </is>
      </c>
      <c r="C904" s="43" t="inlineStr">
        <is>
          <t>Smartphones &amp; Tablets</t>
        </is>
      </c>
      <c r="D904" s="43" t="inlineStr">
        <is>
          <t>Tablet</t>
        </is>
      </c>
      <c r="E904" s="44" t="inlineStr">
        <is>
          <t>Anteros Drift E-Ink Note Tablet</t>
        </is>
      </c>
      <c r="F904" s="45" t="n">
        <v>389.99</v>
      </c>
      <c r="G904" s="43" t="inlineStr">
        <is>
          <t>the Drift; Anteros Drift; Antteros Drift; Drift tablet</t>
        </is>
      </c>
      <c r="H904" s="43" t="inlineStr">
        <is>
          <t>1 year limited</t>
        </is>
      </c>
      <c r="I904" s="43" t="inlineStr">
        <is>
          <t>FCC, CE, TUV Rheinland Low Blue Light</t>
        </is>
      </c>
      <c r="J904" s="43" t="inlineStr">
        <is>
          <t>Rockchip RK3566</t>
        </is>
      </c>
      <c r="K904" s="43" t="inlineStr">
        <is>
          <t>Arm Mali-G52 2EE</t>
        </is>
      </c>
      <c r="L904" s="43" t="inlineStr">
        <is>
          <t>E Ink Carta 1300, front-lit</t>
        </is>
      </c>
      <c r="M904" s="43" t="inlineStr">
        <is>
          <t>1404x1872</t>
        </is>
      </c>
      <c r="N904" s="43" t="inlineStr">
        <is>
          <t>USB-C (USB 2.0), microSD slot</t>
        </is>
      </c>
      <c r="O904" s="43" t="inlineStr">
        <is>
          <t>Android 13 (E Ink optimized)</t>
        </is>
      </c>
      <c r="P904" s="43" t="n">
        <v>298</v>
      </c>
      <c r="Q904" s="46" t="n">
        <v>437</v>
      </c>
      <c r="R904" s="43" t="inlineStr">
        <is>
          <t>Longer battery than Lethe Strata Lite E-Ink Note Tablet [LET-086-04] (298 vs 193 hrs); Lower price than Aglaea Echo Plus E-Ink Note Tablet [AGL-079-04] ($389.99 vs $526.99)</t>
        </is>
      </c>
      <c r="S904" s="43" t="inlineStr">
        <is>
          <t>reading, note-taking, school</t>
        </is>
      </c>
      <c r="T904" s="0" t="inlineStr">
        <is>
          <t>in_stock</t>
        </is>
      </c>
      <c r="U904" s="0" t="n">
        <v>14</v>
      </c>
      <c r="V904" s="52" t="n">
        <v>426.99</v>
      </c>
      <c r="W904" s="0" t="inlineStr">
        <is>
          <t>2026-08-27</t>
        </is>
      </c>
      <c r="X904" s="0" t="inlineStr">
        <is>
          <t>N/A</t>
        </is>
      </c>
      <c r="Y904" s="0" t="inlineStr">
        <is>
          <t>N/A</t>
        </is>
      </c>
      <c r="Z904" s="0" t="inlineStr">
        <is>
          <t>N/A</t>
        </is>
      </c>
      <c r="AA904" s="0" t="inlineStr">
        <is>
          <t>N/A</t>
        </is>
      </c>
    </row>
    <row r="905" ht="15.75" customHeight="1" s="51">
      <c r="A905" s="43" t="inlineStr">
        <is>
          <t>ANT-090-03</t>
        </is>
      </c>
      <c r="B905" s="43" t="inlineStr">
        <is>
          <t>Anteros</t>
        </is>
      </c>
      <c r="C905" s="43" t="inlineStr">
        <is>
          <t>Smartphones &amp; Tablets</t>
        </is>
      </c>
      <c r="D905" s="43" t="inlineStr">
        <is>
          <t>Smartphone</t>
        </is>
      </c>
      <c r="E905" s="44" t="inlineStr">
        <is>
          <t>Anteros Vertex Plus Compact Smartphone</t>
        </is>
      </c>
      <c r="F905" s="45" t="n">
        <v>677.99</v>
      </c>
      <c r="G905" s="43" t="inlineStr">
        <is>
          <t>the Vertex Plus; Anteros Vertex Plus; Antero Vertex Plus; Vertex Plus smartphone</t>
        </is>
      </c>
      <c r="H905" s="43" t="inlineStr">
        <is>
          <t>1 year limited</t>
        </is>
      </c>
      <c r="I905" s="43" t="inlineStr">
        <is>
          <t>FCC, CE, IP68</t>
        </is>
      </c>
      <c r="J905" s="43" t="inlineStr">
        <is>
          <t>MediaTek Dimensity 8300</t>
        </is>
      </c>
      <c r="K905" s="43" t="inlineStr">
        <is>
          <t>Arm Mali-G615 MC6</t>
        </is>
      </c>
      <c r="L905" s="43" t="inlineStr">
        <is>
          <t>AMOLED, 120Hz</t>
        </is>
      </c>
      <c r="M905" s="43" t="inlineStr">
        <is>
          <t>1080x2340</t>
        </is>
      </c>
      <c r="N905" s="43" t="inlineStr">
        <is>
          <t>USB-C (USB 2.0), nano-SIM + eSIM</t>
        </is>
      </c>
      <c r="O905" s="43" t="inlineStr">
        <is>
          <t>Android 15</t>
        </is>
      </c>
      <c r="P905" s="43" t="n">
        <v>24</v>
      </c>
      <c r="Q905" s="46" t="n">
        <v>162</v>
      </c>
      <c r="R905" s="43" t="inlineStr">
        <is>
          <t>Longer battery than Lachesis Wave Plus Compact Smartphone [LAC-071-06] (24 vs 22 hrs); Lighter than Nemesis Strata Lite Compact Smartphone [NEM-051-05] (162 g vs 167 g)</t>
        </is>
      </c>
      <c r="S905" s="43" t="inlineStr">
        <is>
          <t>everyday, one-handed use</t>
        </is>
      </c>
      <c r="T905" s="0" t="inlineStr">
        <is>
          <t>in_stock</t>
        </is>
      </c>
      <c r="U905" s="0" t="n">
        <v>14</v>
      </c>
      <c r="V905" s="52" t="n">
        <v>761.99</v>
      </c>
      <c r="W905" s="0" t="inlineStr">
        <is>
          <t>2026-08-30</t>
        </is>
      </c>
      <c r="X905" s="0" t="inlineStr">
        <is>
          <t>N/A</t>
        </is>
      </c>
      <c r="Y905" s="0" t="inlineStr">
        <is>
          <t>N/A</t>
        </is>
      </c>
      <c r="Z905" s="0" t="inlineStr">
        <is>
          <t>N/A</t>
        </is>
      </c>
      <c r="AA905" s="0" t="inlineStr">
        <is>
          <t>N/A</t>
        </is>
      </c>
    </row>
    <row r="906" ht="15.75" customHeight="1" s="51">
      <c r="A906" s="43" t="inlineStr">
        <is>
          <t>ANT-090-04</t>
        </is>
      </c>
      <c r="B906" s="43" t="inlineStr">
        <is>
          <t>Anteros</t>
        </is>
      </c>
      <c r="C906" s="43" t="inlineStr">
        <is>
          <t>Smartphones &amp; Tablets</t>
        </is>
      </c>
      <c r="D906" s="43" t="inlineStr">
        <is>
          <t>Tablet</t>
        </is>
      </c>
      <c r="E906" s="44" t="inlineStr">
        <is>
          <t>Anteros Vibe Pro 11" Tablet</t>
        </is>
      </c>
      <c r="F906" s="45" t="n">
        <v>733.99</v>
      </c>
      <c r="G906" s="43" t="inlineStr">
        <is>
          <t>the Vibe Pro; Anteros Vibe Pro; Anteors Vibe Pro; Vibe Pro tablet</t>
        </is>
      </c>
      <c r="H906" s="43" t="inlineStr">
        <is>
          <t>2 year limited</t>
        </is>
      </c>
      <c r="I906" s="43" t="inlineStr">
        <is>
          <t>FCC, CE, Energy Star</t>
        </is>
      </c>
      <c r="J906" s="43" t="inlineStr">
        <is>
          <t>MediaTek Dimensity 8300</t>
        </is>
      </c>
      <c r="K906" s="43" t="inlineStr">
        <is>
          <t>Arm Mali-G615 MC6</t>
        </is>
      </c>
      <c r="L906" s="43" t="inlineStr">
        <is>
          <t>OLED, 120Hz</t>
        </is>
      </c>
      <c r="M906" s="43" t="inlineStr">
        <is>
          <t>1752x2800</t>
        </is>
      </c>
      <c r="N906" s="43" t="inlineStr">
        <is>
          <t>USB-C (USB 3.2), microSD slot</t>
        </is>
      </c>
      <c r="O906" s="43" t="inlineStr">
        <is>
          <t>Android 15</t>
        </is>
      </c>
      <c r="P906" s="43" t="n">
        <v>12</v>
      </c>
      <c r="Q906" s="46" t="n">
        <v>487</v>
      </c>
      <c r="R906" s="43" t="inlineStr">
        <is>
          <t>Longer battery than Lachesis Wave Air 11" Tablet [LAC-071-05] (12 vs 10 hrs); Lower price than Alpheus Halo Ultra 11" Tablet [ALP-082-07] ($733.99 vs $780.99)</t>
        </is>
      </c>
      <c r="S906" s="43" t="inlineStr">
        <is>
          <t>school, streaming, reading</t>
        </is>
      </c>
      <c r="T906" s="0" t="inlineStr">
        <is>
          <t>in_stock</t>
        </is>
      </c>
      <c r="U906" s="0" t="n">
        <v>14</v>
      </c>
      <c r="V906" s="52" t="n">
        <v>770.99</v>
      </c>
      <c r="W906" s="0" t="inlineStr">
        <is>
          <t>2026-09-13</t>
        </is>
      </c>
      <c r="X906" s="0" t="inlineStr">
        <is>
          <t>N/A</t>
        </is>
      </c>
      <c r="Y906" s="0" t="inlineStr">
        <is>
          <t>N/A</t>
        </is>
      </c>
      <c r="Z906" s="0" t="inlineStr">
        <is>
          <t>N/A</t>
        </is>
      </c>
      <c r="AA906" s="0" t="inlineStr">
        <is>
          <t>N/A</t>
        </is>
      </c>
    </row>
    <row r="907" ht="15.75" customHeight="1" s="51">
      <c r="A907" s="43" t="inlineStr">
        <is>
          <t>ANT-090-05</t>
        </is>
      </c>
      <c r="B907" s="43" t="inlineStr">
        <is>
          <t>Anteros</t>
        </is>
      </c>
      <c r="C907" s="43" t="inlineStr">
        <is>
          <t>Smartphones &amp; Tablets</t>
        </is>
      </c>
      <c r="D907" s="43" t="inlineStr">
        <is>
          <t>Smartphone</t>
        </is>
      </c>
      <c r="E907" s="44" t="inlineStr">
        <is>
          <t>Anteros Onyx Flagship Smartphone</t>
        </is>
      </c>
      <c r="F907" s="45" t="n">
        <v>869.99</v>
      </c>
      <c r="G907" s="43" t="inlineStr">
        <is>
          <t>the Onyx; Anteros Onyx; Annteros Onyx; Onyx smartphone</t>
        </is>
      </c>
      <c r="H907" s="43" t="inlineStr">
        <is>
          <t>1 year limited</t>
        </is>
      </c>
      <c r="I907" s="43" t="inlineStr">
        <is>
          <t>FCC, CE, IP68, Qi2</t>
        </is>
      </c>
      <c r="J907" s="43" t="inlineStr">
        <is>
          <t>Qualcomm Snapdragon 8 Gen 3</t>
        </is>
      </c>
      <c r="K907" s="43" t="inlineStr">
        <is>
          <t>Qualcomm Adreno 750</t>
        </is>
      </c>
      <c r="L907" s="43" t="inlineStr">
        <is>
          <t>AMOLED, 120Hz</t>
        </is>
      </c>
      <c r="M907" s="43" t="inlineStr">
        <is>
          <t>1080x2400</t>
        </is>
      </c>
      <c r="N907" s="43" t="inlineStr">
        <is>
          <t>USB-C (USB 3.2), nano-SIM + eSIM</t>
        </is>
      </c>
      <c r="O907" s="43" t="inlineStr">
        <is>
          <t>Android 15</t>
        </is>
      </c>
      <c r="P907" s="43" t="n">
        <v>32</v>
      </c>
      <c r="Q907" s="46" t="n">
        <v>191</v>
      </c>
      <c r="R907" s="43" t="inlineStr">
        <is>
          <t>Longer battery than Pan Vibe Flagship Smartphone [PAN-097-06] (32 vs 23 hrs); Lighter than Hypnos Spark Pro Flagship Smartphone [HYP-059-08] (191 g vs 195 g)</t>
        </is>
      </c>
      <c r="S907" s="43" t="inlineStr">
        <is>
          <t>photography, everyday, business</t>
        </is>
      </c>
      <c r="T907" s="0" t="inlineStr">
        <is>
          <t>in_stock</t>
        </is>
      </c>
      <c r="U907" s="0" t="n">
        <v>14</v>
      </c>
      <c r="V907" s="52" t="n">
        <v>916.99</v>
      </c>
      <c r="W907" s="0" t="inlineStr">
        <is>
          <t>2026-09-18</t>
        </is>
      </c>
      <c r="X907" s="0" t="inlineStr">
        <is>
          <t>N/A</t>
        </is>
      </c>
      <c r="Y907" s="0" t="inlineStr">
        <is>
          <t>N/A</t>
        </is>
      </c>
      <c r="Z907" s="0" t="inlineStr">
        <is>
          <t>N/A</t>
        </is>
      </c>
      <c r="AA907" s="0" t="inlineStr">
        <is>
          <t>N/A</t>
        </is>
      </c>
    </row>
    <row r="908" ht="15.75" customHeight="1" s="51">
      <c r="A908" s="43" t="inlineStr">
        <is>
          <t>ANT-090-06</t>
        </is>
      </c>
      <c r="B908" s="43" t="inlineStr">
        <is>
          <t>Anteros</t>
        </is>
      </c>
      <c r="C908" s="43" t="inlineStr">
        <is>
          <t>Smartphones &amp; Tablets</t>
        </is>
      </c>
      <c r="D908" s="43" t="inlineStr">
        <is>
          <t>Smartphone</t>
        </is>
      </c>
      <c r="E908" s="44" t="inlineStr">
        <is>
          <t>Anteros Titan X Flip Foldable Phone</t>
        </is>
      </c>
      <c r="F908" s="45" t="n">
        <v>925.99</v>
      </c>
      <c r="G908" s="43" t="inlineStr">
        <is>
          <t>the Titan X; Anteros Titan X; Antteros Titan X; Titan X smartphone</t>
        </is>
      </c>
      <c r="H908" s="43" t="inlineStr">
        <is>
          <t>1 year limited</t>
        </is>
      </c>
      <c r="I908" s="43" t="inlineStr">
        <is>
          <t>FCC, CE, IPX8</t>
        </is>
      </c>
      <c r="J908" s="43" t="inlineStr">
        <is>
          <t>Qualcomm Snapdragon 8 Gen 3</t>
        </is>
      </c>
      <c r="K908" s="43" t="inlineStr">
        <is>
          <t>Qualcomm Adreno 750</t>
        </is>
      </c>
      <c r="L908" s="43" t="inlineStr">
        <is>
          <t>Foldable AMOLED inner + AMOLED cover screen</t>
        </is>
      </c>
      <c r="M908" s="43" t="inlineStr">
        <is>
          <t>1080x2640 inner / 720x748 cover</t>
        </is>
      </c>
      <c r="N908" s="43" t="inlineStr">
        <is>
          <t>USB-C (USB 3.2), nano-SIM + eSIM</t>
        </is>
      </c>
      <c r="O908" s="43" t="inlineStr">
        <is>
          <t>Android 15</t>
        </is>
      </c>
      <c r="P908" s="43" t="n">
        <v>19</v>
      </c>
      <c r="Q908" s="46" t="n">
        <v>187</v>
      </c>
      <c r="R908" s="43" t="inlineStr">
        <is>
          <t>Longer battery than Peitho Flux Lite Flip Foldable Phone [PEI-083-08] (19 vs 18 hrs); Lower price than Thetis Orbit Flip Foldable Phone [THE-093-09] ($925.99 vs $937.99)</t>
        </is>
      </c>
      <c r="S908" s="43" t="inlineStr">
        <is>
          <t>style, everyday, compact</t>
        </is>
      </c>
      <c r="T908" s="0" t="inlineStr">
        <is>
          <t>in_stock</t>
        </is>
      </c>
      <c r="U908" s="0" t="n">
        <v>14</v>
      </c>
      <c r="V908" s="52" t="n">
        <v>997.99</v>
      </c>
      <c r="W908" s="0" t="inlineStr">
        <is>
          <t>2026-08-21</t>
        </is>
      </c>
      <c r="X908" s="0" t="inlineStr">
        <is>
          <t>N/A</t>
        </is>
      </c>
      <c r="Y908" s="0" t="inlineStr">
        <is>
          <t>N/A</t>
        </is>
      </c>
      <c r="Z908" s="0" t="inlineStr">
        <is>
          <t>N/A</t>
        </is>
      </c>
      <c r="AA908" s="0" t="inlineStr">
        <is>
          <t>N/A</t>
        </is>
      </c>
    </row>
    <row r="909" ht="15.75" customHeight="1" s="51">
      <c r="A909" s="43" t="inlineStr">
        <is>
          <t>ANT-090-07</t>
        </is>
      </c>
      <c r="B909" s="43" t="inlineStr">
        <is>
          <t>Anteros</t>
        </is>
      </c>
      <c r="C909" s="43" t="inlineStr">
        <is>
          <t>Smartphones &amp; Tablets</t>
        </is>
      </c>
      <c r="D909" s="43" t="inlineStr">
        <is>
          <t>Tablet</t>
        </is>
      </c>
      <c r="E909" s="44" t="inlineStr">
        <is>
          <t>Anteros Blaze SE Drawing Tablet with Stylus</t>
        </is>
      </c>
      <c r="F909" s="45" t="n">
        <v>1001.99</v>
      </c>
      <c r="G909" s="43" t="inlineStr">
        <is>
          <t>the Blaze SE; Anteros Blaze SE; Antero Blaze SE; Blaze SE tablet</t>
        </is>
      </c>
      <c r="H909" s="43" t="inlineStr">
        <is>
          <t>1 year limited</t>
        </is>
      </c>
      <c r="I909" s="43" t="inlineStr">
        <is>
          <t>FCC, CE, TUV Rheinland Low Blue Light, Energy Star</t>
        </is>
      </c>
      <c r="J909" s="43" t="inlineStr">
        <is>
          <t>MediaTek Dimensity 9400</t>
        </is>
      </c>
      <c r="K909" s="43" t="inlineStr">
        <is>
          <t>Arm Immortalis-G925</t>
        </is>
      </c>
      <c r="L909" s="43" t="inlineStr">
        <is>
          <t>OLED, 120Hz, pen digitizer</t>
        </is>
      </c>
      <c r="M909" s="43" t="inlineStr">
        <is>
          <t>2560x1600</t>
        </is>
      </c>
      <c r="N909" s="43" t="inlineStr">
        <is>
          <t>USB-C (USB 3.2), magnetic keyboard connector</t>
        </is>
      </c>
      <c r="O909" s="43" t="inlineStr">
        <is>
          <t>Android 15</t>
        </is>
      </c>
      <c r="P909" s="43" t="n">
        <v>10</v>
      </c>
      <c r="Q909" s="46" t="n">
        <v>581</v>
      </c>
      <c r="R909" s="43" t="inlineStr">
        <is>
          <t>Lower price than Coeus Nimbus Plus Drawing Tablet with Stylus [COE-075-07] ($1,001.99 vs $1,007.99); Longer battery than Proteus Volt Air Drawing Tablet with Stylus [PRO-070-03] (10 vs 9 hrs)</t>
        </is>
      </c>
      <c r="S909" s="43" t="inlineStr">
        <is>
          <t>drawing, design, note-taking</t>
        </is>
      </c>
      <c r="T909" s="0" t="inlineStr">
        <is>
          <t>in_stock</t>
        </is>
      </c>
      <c r="U909" s="0" t="n">
        <v>14</v>
      </c>
      <c r="V909" s="52" t="n">
        <v>1124.99</v>
      </c>
      <c r="W909" s="0" t="inlineStr">
        <is>
          <t>2026-08-04</t>
        </is>
      </c>
      <c r="X909" s="0" t="inlineStr">
        <is>
          <t>N/A</t>
        </is>
      </c>
      <c r="Y909" s="0" t="inlineStr">
        <is>
          <t>N/A</t>
        </is>
      </c>
      <c r="Z909" s="0" t="inlineStr">
        <is>
          <t>N/A</t>
        </is>
      </c>
      <c r="AA909" s="0" t="inlineStr">
        <is>
          <t>N/A</t>
        </is>
      </c>
    </row>
    <row r="910" ht="15.75" customHeight="1" s="51">
      <c r="A910" s="43" t="inlineStr">
        <is>
          <t>ANT-090-08</t>
        </is>
      </c>
      <c r="B910" s="43" t="inlineStr">
        <is>
          <t>Anteros</t>
        </is>
      </c>
      <c r="C910" s="43" t="inlineStr">
        <is>
          <t>Smartphones &amp; Tablets</t>
        </is>
      </c>
      <c r="D910" s="43" t="inlineStr">
        <is>
          <t>Tablet</t>
        </is>
      </c>
      <c r="E910" s="44" t="inlineStr">
        <is>
          <t>Anteros Blaze X 5G Tablet</t>
        </is>
      </c>
      <c r="F910" s="45" t="n">
        <v>1112.99</v>
      </c>
      <c r="G910" s="43" t="inlineStr">
        <is>
          <t>the Blaze X; Anteros Blaze X; Antteros Blaze X; Blaze X tablet</t>
        </is>
      </c>
      <c r="H910" s="43" t="inlineStr">
        <is>
          <t>2 year limited</t>
        </is>
      </c>
      <c r="I910" s="43" t="inlineStr">
        <is>
          <t>FCC, CE, Energy Star</t>
        </is>
      </c>
      <c r="J910" s="43" t="inlineStr">
        <is>
          <t>MediaTek Dimensity 9400</t>
        </is>
      </c>
      <c r="K910" s="43" t="inlineStr">
        <is>
          <t>Arm Immortalis-G925</t>
        </is>
      </c>
      <c r="L910" s="43" t="inlineStr">
        <is>
          <t>OLED, 120Hz</t>
        </is>
      </c>
      <c r="M910" s="43" t="inlineStr">
        <is>
          <t>1752x2800</t>
        </is>
      </c>
      <c r="N910" s="43" t="inlineStr">
        <is>
          <t>USB-C (USB 3.2), magnetic keyboard connector, nano-SIM + eSIM</t>
        </is>
      </c>
      <c r="O910" s="43" t="inlineStr">
        <is>
          <t>Android 15</t>
        </is>
      </c>
      <c r="P910" s="43" t="n">
        <v>10</v>
      </c>
      <c r="Q910" s="46" t="n">
        <v>534</v>
      </c>
      <c r="R910" s="43" t="inlineStr">
        <is>
          <t>Lighter than Coeus Vertex Lite 5G Tablet [COE-075-05] (534 g vs 553 g); Lower price than Oceanus Quanta Air 5G Tablet [OCE-060-07] ($1,112.99 vs $1,183.99)</t>
        </is>
      </c>
      <c r="S910" s="43" t="inlineStr">
        <is>
          <t>travel, streaming, work on the go</t>
        </is>
      </c>
      <c r="T910" s="0" t="inlineStr">
        <is>
          <t>out_of_stock</t>
        </is>
      </c>
      <c r="U910" s="0" t="n">
        <v>14</v>
      </c>
      <c r="V910" s="52" t="n">
        <v>1170.99</v>
      </c>
      <c r="W910" s="0" t="inlineStr">
        <is>
          <t>2026-08-25</t>
        </is>
      </c>
      <c r="X910" s="0" t="inlineStr">
        <is>
          <t>N/A</t>
        </is>
      </c>
      <c r="Y910" s="0" t="inlineStr">
        <is>
          <t>N/A</t>
        </is>
      </c>
      <c r="Z910" s="0" t="inlineStr">
        <is>
          <t>N/A</t>
        </is>
      </c>
      <c r="AA910" s="0" t="inlineStr">
        <is>
          <t>N/A</t>
        </is>
      </c>
    </row>
    <row r="911" ht="15.75" customHeight="1" s="51">
      <c r="A911" s="43" t="inlineStr">
        <is>
          <t>ANT-090-09</t>
        </is>
      </c>
      <c r="B911" s="43" t="inlineStr">
        <is>
          <t>Anteros</t>
        </is>
      </c>
      <c r="C911" s="43" t="inlineStr">
        <is>
          <t>Smartphones &amp; Tablets</t>
        </is>
      </c>
      <c r="D911" s="43" t="inlineStr">
        <is>
          <t>Smartphone</t>
        </is>
      </c>
      <c r="E911" s="44" t="inlineStr">
        <is>
          <t>Anteros Blaze Lite Pro Max Smartphone</t>
        </is>
      </c>
      <c r="F911" s="45" t="n">
        <v>1419.99</v>
      </c>
      <c r="G911" s="43" t="inlineStr">
        <is>
          <t>the Blaze Lite; Anteros Blaze Lite; Anteroos Blaze Lite; Blaze Lite smartphone</t>
        </is>
      </c>
      <c r="H911" s="43" t="inlineStr">
        <is>
          <t>1 year limited</t>
        </is>
      </c>
      <c r="I911" s="43" t="inlineStr">
        <is>
          <t>FCC, CE, IP68, Qi2</t>
        </is>
      </c>
      <c r="J911" s="43" t="inlineStr">
        <is>
          <t>Qualcomm Snapdragon 8 Elite</t>
        </is>
      </c>
      <c r="K911" s="43" t="inlineStr">
        <is>
          <t>Qualcomm Adreno 830</t>
        </is>
      </c>
      <c r="L911" s="43" t="inlineStr">
        <is>
          <t>LTPO AMOLED, 1-120Hz</t>
        </is>
      </c>
      <c r="M911" s="43" t="inlineStr">
        <is>
          <t>1440x3120</t>
        </is>
      </c>
      <c r="N911" s="43" t="inlineStr">
        <is>
          <t>USB-C (USB 3.2), nano-SIM + eSIM</t>
        </is>
      </c>
      <c r="O911" s="43" t="inlineStr">
        <is>
          <t>Android 15</t>
        </is>
      </c>
      <c r="P911" s="43" t="n">
        <v>31</v>
      </c>
      <c r="Q911" s="46" t="n">
        <v>217</v>
      </c>
      <c r="R911" s="43" t="inlineStr">
        <is>
          <t>Lighter than Coeus Aeon Ultra Pro Max Smartphone [COE-075-10] (217 g vs 234 g); Longer battery than Phobos Apex X Pro Max Smartphone [PHO-053-08] (31 vs 28 hrs)</t>
        </is>
      </c>
      <c r="S911" s="43" t="inlineStr">
        <is>
          <t>photography, video, mobile gaming</t>
        </is>
      </c>
      <c r="T911" s="0" t="inlineStr">
        <is>
          <t>low_stock</t>
        </is>
      </c>
      <c r="U911" s="0" t="n">
        <v>14</v>
      </c>
      <c r="V911" s="52" t="n">
        <v>1467.99</v>
      </c>
      <c r="W911" s="0" t="inlineStr">
        <is>
          <t>2026-08-28</t>
        </is>
      </c>
      <c r="X911" s="0" t="inlineStr">
        <is>
          <t>N/A</t>
        </is>
      </c>
      <c r="Y911" s="0" t="inlineStr">
        <is>
          <t>N/A</t>
        </is>
      </c>
      <c r="Z911" s="0" t="inlineStr">
        <is>
          <t>N/A</t>
        </is>
      </c>
      <c r="AA911" s="0" t="inlineStr">
        <is>
          <t>N/A</t>
        </is>
      </c>
    </row>
    <row r="912" ht="15.75" customHeight="1" s="51">
      <c r="A912" s="43" t="inlineStr">
        <is>
          <t>ANT-090-10</t>
        </is>
      </c>
      <c r="B912" s="43" t="inlineStr">
        <is>
          <t>Anteros</t>
        </is>
      </c>
      <c r="C912" s="43" t="inlineStr">
        <is>
          <t>Smartphones &amp; Tablets</t>
        </is>
      </c>
      <c r="D912" s="43" t="inlineStr">
        <is>
          <t>Tablet</t>
        </is>
      </c>
      <c r="E912" s="44" t="inlineStr">
        <is>
          <t>Anteros Apex Ultra 13" Pro Tablet</t>
        </is>
      </c>
      <c r="F912" s="45" t="n">
        <v>1628.99</v>
      </c>
      <c r="G912" s="43" t="inlineStr">
        <is>
          <t>the Apex Ultra; Anteros Apex Ultra; Antero Apex Ultra; Apex Ultra tablet</t>
        </is>
      </c>
      <c r="H912" s="43" t="inlineStr">
        <is>
          <t>1 year limited</t>
        </is>
      </c>
      <c r="I912" s="43" t="inlineStr">
        <is>
          <t>FCC, CE, Energy Star</t>
        </is>
      </c>
      <c r="J912" s="43" t="inlineStr">
        <is>
          <t>Qualcomm Snapdragon 8 Elite</t>
        </is>
      </c>
      <c r="K912" s="43" t="inlineStr">
        <is>
          <t>Qualcomm Adreno 830</t>
        </is>
      </c>
      <c r="L912" s="43" t="inlineStr">
        <is>
          <t>Mini-LED, 144Hz</t>
        </is>
      </c>
      <c r="M912" s="43" t="inlineStr">
        <is>
          <t>2960x1848</t>
        </is>
      </c>
      <c r="N912" s="43" t="inlineStr">
        <is>
          <t>USB-C (USB 3.2), magnetic keyboard connector</t>
        </is>
      </c>
      <c r="O912" s="43" t="inlineStr">
        <is>
          <t>Android 15</t>
        </is>
      </c>
      <c r="P912" s="43" t="n">
        <v>13</v>
      </c>
      <c r="Q912" s="46" t="n">
        <v>594</v>
      </c>
      <c r="R912" s="43" t="inlineStr">
        <is>
          <t>Longer battery than Leucothea Aeon Plus 13" Pro Tablet [LEU-095-08] (13 vs 9 hrs); Lighter than Theia Arc Air 13" Pro Tablet [THE-081-09] (594 g vs 607 g)</t>
        </is>
      </c>
      <c r="S912" s="43" t="inlineStr">
        <is>
          <t>creative work, productivity, drawing</t>
        </is>
      </c>
      <c r="T912" s="0" t="inlineStr">
        <is>
          <t>in_stock</t>
        </is>
      </c>
      <c r="U912" s="0" t="n">
        <v>14</v>
      </c>
      <c r="V912" s="52" t="n">
        <v>1712.99</v>
      </c>
      <c r="W912" s="0" t="inlineStr">
        <is>
          <t>2026-09-17</t>
        </is>
      </c>
      <c r="X912" s="0" t="inlineStr">
        <is>
          <t>N/A</t>
        </is>
      </c>
      <c r="Y912" s="0" t="inlineStr">
        <is>
          <t>N/A</t>
        </is>
      </c>
      <c r="Z912" s="0" t="inlineStr">
        <is>
          <t>N/A</t>
        </is>
      </c>
      <c r="AA912" s="0" t="inlineStr">
        <is>
          <t>N/A</t>
        </is>
      </c>
    </row>
    <row r="913" ht="15.75" customHeight="1" s="51">
      <c r="A913" s="43" t="inlineStr">
        <is>
          <t>EPI-091-01</t>
        </is>
      </c>
      <c r="B913" s="43" t="inlineStr">
        <is>
          <t>Epimetheus</t>
        </is>
      </c>
      <c r="C913" s="43" t="inlineStr">
        <is>
          <t>Smartphones &amp; Tablets</t>
        </is>
      </c>
      <c r="D913" s="43" t="inlineStr">
        <is>
          <t>Smartphone</t>
        </is>
      </c>
      <c r="E913" s="44" t="inlineStr">
        <is>
          <t>Epimetheus Nimbus X Budget Smartphone</t>
        </is>
      </c>
      <c r="F913" s="45" t="n">
        <v>195.99</v>
      </c>
      <c r="G913" s="43" t="inlineStr">
        <is>
          <t>the Nimbus X; Epimetheus Nimbus X; Eipmetheus Nimbus X; Nimbus X smartphone</t>
        </is>
      </c>
      <c r="H913" s="43" t="inlineStr">
        <is>
          <t>1 year limited</t>
        </is>
      </c>
      <c r="I913" s="43" t="inlineStr">
        <is>
          <t>FCC, CE, IP54</t>
        </is>
      </c>
      <c r="J913" s="43" t="inlineStr">
        <is>
          <t>MediaTek Helio G99</t>
        </is>
      </c>
      <c r="K913" s="43" t="inlineStr">
        <is>
          <t>Arm Mali-G57 MC2</t>
        </is>
      </c>
      <c r="L913" s="43" t="inlineStr">
        <is>
          <t>IPS LCD, 90Hz</t>
        </is>
      </c>
      <c r="M913" s="43" t="inlineStr">
        <is>
          <t>720x1600</t>
        </is>
      </c>
      <c r="N913" s="43" t="inlineStr">
        <is>
          <t>USB-C (USB 2.0), nano-SIM + eSIM, 3.5mm headphone jack, microSD slot</t>
        </is>
      </c>
      <c r="O913" s="43" t="inlineStr">
        <is>
          <t>Android 14</t>
        </is>
      </c>
      <c r="P913" s="43" t="n">
        <v>27</v>
      </c>
      <c r="Q913" s="46" t="n">
        <v>190</v>
      </c>
      <c r="R913" s="43" t="inlineStr">
        <is>
          <t>Lighter than Hecate Prism Lite Budget Smartphone [HEC-052-02] (190 g vs 210 g); Longer battery than Eunomia Flux SE Budget Smartphone [EUN-056-02] (27 vs 26 hrs)</t>
        </is>
      </c>
      <c r="S913" s="43" t="inlineStr">
        <is>
          <t>budget, first phone, everyday</t>
        </is>
      </c>
      <c r="T913" s="0" t="inlineStr">
        <is>
          <t>low_stock</t>
        </is>
      </c>
      <c r="U913" s="0" t="n">
        <v>30</v>
      </c>
      <c r="V913" s="52" t="n">
        <v>213.99</v>
      </c>
      <c r="W913" s="0" t="inlineStr">
        <is>
          <t>2026-08-30</t>
        </is>
      </c>
      <c r="X913" s="0" t="inlineStr">
        <is>
          <t>N/A</t>
        </is>
      </c>
      <c r="Y913" s="0" t="inlineStr">
        <is>
          <t>N/A</t>
        </is>
      </c>
      <c r="Z913" s="0" t="inlineStr">
        <is>
          <t>N/A</t>
        </is>
      </c>
      <c r="AA913" s="0" t="inlineStr">
        <is>
          <t>N/A</t>
        </is>
      </c>
    </row>
    <row r="914" ht="15.75" customHeight="1" s="51">
      <c r="A914" s="43" t="inlineStr">
        <is>
          <t>EPI-091-02</t>
        </is>
      </c>
      <c r="B914" s="43" t="inlineStr">
        <is>
          <t>Epimetheus</t>
        </is>
      </c>
      <c r="C914" s="43" t="inlineStr">
        <is>
          <t>Smartphones &amp; Tablets</t>
        </is>
      </c>
      <c r="D914" s="43" t="inlineStr">
        <is>
          <t>Tablet</t>
        </is>
      </c>
      <c r="E914" s="44" t="inlineStr">
        <is>
          <t>Epimetheus Nimbus E-Ink Note Tablet</t>
        </is>
      </c>
      <c r="F914" s="45" t="n">
        <v>501.99</v>
      </c>
      <c r="G914" s="43" t="inlineStr">
        <is>
          <t>the Nimbus; Epimetheus Nimbus; Epimeetheus Nimbus; Nimbus tablet</t>
        </is>
      </c>
      <c r="H914" s="43" t="inlineStr">
        <is>
          <t>1 year limited</t>
        </is>
      </c>
      <c r="I914" s="43" t="inlineStr">
        <is>
          <t>FCC, CE, TUV Rheinland Low Blue Light, Energy Star</t>
        </is>
      </c>
      <c r="J914" s="43" t="inlineStr">
        <is>
          <t>Rockchip RK3566</t>
        </is>
      </c>
      <c r="K914" s="43" t="inlineStr">
        <is>
          <t>Arm Mali-G52 2EE</t>
        </is>
      </c>
      <c r="L914" s="43" t="inlineStr">
        <is>
          <t>E Ink Carta 1300, front-lit</t>
        </is>
      </c>
      <c r="M914" s="43" t="inlineStr">
        <is>
          <t>1404x1872</t>
        </is>
      </c>
      <c r="N914" s="43" t="inlineStr">
        <is>
          <t>USB-C (USB 2.0), microSD slot</t>
        </is>
      </c>
      <c r="O914" s="43" t="inlineStr">
        <is>
          <t>Android 13 (E Ink optimized)</t>
        </is>
      </c>
      <c r="P914" s="43" t="n">
        <v>275</v>
      </c>
      <c r="Q914" s="46" t="n">
        <v>429</v>
      </c>
      <c r="R914" s="43" t="inlineStr">
        <is>
          <t>Longer battery than Hephaestus Onyx Max E-Ink Note Tablet [HEP-076-03] (275 vs 133 hrs); Lighter than Adrastea Zen Pro E-Ink Note Tablet [ADR-094-03] (429 g vs 438 g)</t>
        </is>
      </c>
      <c r="S914" s="43" t="inlineStr">
        <is>
          <t>reading, note-taking, school</t>
        </is>
      </c>
      <c r="T914" s="0" t="inlineStr">
        <is>
          <t>in_stock</t>
        </is>
      </c>
      <c r="U914" s="0" t="n">
        <v>30</v>
      </c>
      <c r="V914" s="52" t="n">
        <v>520.99</v>
      </c>
      <c r="W914" s="0" t="inlineStr">
        <is>
          <t>2026-09-04</t>
        </is>
      </c>
      <c r="X914" s="0" t="inlineStr">
        <is>
          <t>N/A</t>
        </is>
      </c>
      <c r="Y914" s="0" t="inlineStr">
        <is>
          <t>N/A</t>
        </is>
      </c>
      <c r="Z914" s="0" t="inlineStr">
        <is>
          <t>N/A</t>
        </is>
      </c>
      <c r="AA914" s="0" t="inlineStr">
        <is>
          <t>N/A</t>
        </is>
      </c>
    </row>
    <row r="915" ht="15.75" customHeight="1" s="51">
      <c r="A915" s="43" t="inlineStr">
        <is>
          <t>EPI-091-03</t>
        </is>
      </c>
      <c r="B915" s="43" t="inlineStr">
        <is>
          <t>Epimetheus</t>
        </is>
      </c>
      <c r="C915" s="43" t="inlineStr">
        <is>
          <t>Smartphones &amp; Tablets</t>
        </is>
      </c>
      <c r="D915" s="43" t="inlineStr">
        <is>
          <t>Tablet</t>
        </is>
      </c>
      <c r="E915" s="44" t="inlineStr">
        <is>
          <t>Epimetheus Spark X Drawing Tablet with Stylus</t>
        </is>
      </c>
      <c r="F915" s="45" t="n">
        <v>644.99</v>
      </c>
      <c r="G915" s="43" t="inlineStr">
        <is>
          <t>the Spark X; Epimetheus Spark X; Epimethus Spark X; Spark X tablet</t>
        </is>
      </c>
      <c r="H915" s="43" t="inlineStr">
        <is>
          <t>1 year limited</t>
        </is>
      </c>
      <c r="I915" s="43" t="inlineStr">
        <is>
          <t>FCC, CE, TUV Rheinland Low Blue Light</t>
        </is>
      </c>
      <c r="J915" s="43" t="inlineStr">
        <is>
          <t>Qualcomm Snapdragon 7+ Gen 3</t>
        </is>
      </c>
      <c r="K915" s="43" t="inlineStr">
        <is>
          <t>Qualcomm Adreno 732</t>
        </is>
      </c>
      <c r="L915" s="43" t="inlineStr">
        <is>
          <t>IPS LCD anti-glare, pen digitizer</t>
        </is>
      </c>
      <c r="M915" s="43" t="inlineStr">
        <is>
          <t>2000x1200</t>
        </is>
      </c>
      <c r="N915" s="43" t="inlineStr">
        <is>
          <t>USB-C (USB 2.0), microSD slot</t>
        </is>
      </c>
      <c r="O915" s="43" t="inlineStr">
        <is>
          <t>Android 15</t>
        </is>
      </c>
      <c r="P915" s="43" t="n">
        <v>9</v>
      </c>
      <c r="Q915" s="46" t="n">
        <v>526</v>
      </c>
      <c r="R915" s="43" t="inlineStr">
        <is>
          <t>Lighter than Phobos Quanta X Drawing Tablet with Stylus [PHO-053-07] (526 g vs 612 g); Lower price than Hephaestus Flux Drawing Tablet with Stylus [HEP-076-07] ($644.99 vs $767.99)</t>
        </is>
      </c>
      <c r="S915" s="43" t="inlineStr">
        <is>
          <t>drawing, design, note-taking</t>
        </is>
      </c>
      <c r="T915" s="0" t="inlineStr">
        <is>
          <t>in_stock</t>
        </is>
      </c>
      <c r="U915" s="0" t="n">
        <v>30</v>
      </c>
      <c r="V915" s="52" t="n">
        <v>726.99</v>
      </c>
      <c r="W915" s="0" t="inlineStr">
        <is>
          <t>2026-08-06</t>
        </is>
      </c>
      <c r="X915" s="0" t="inlineStr">
        <is>
          <t>N/A</t>
        </is>
      </c>
      <c r="Y915" s="0" t="inlineStr">
        <is>
          <t>N/A</t>
        </is>
      </c>
      <c r="Z915" s="0" t="inlineStr">
        <is>
          <t>N/A</t>
        </is>
      </c>
      <c r="AA915" s="0" t="inlineStr">
        <is>
          <t>N/A</t>
        </is>
      </c>
    </row>
    <row r="916" ht="15.75" customHeight="1" s="51">
      <c r="A916" s="43" t="inlineStr">
        <is>
          <t>EPI-091-04</t>
        </is>
      </c>
      <c r="B916" s="43" t="inlineStr">
        <is>
          <t>Epimetheus</t>
        </is>
      </c>
      <c r="C916" s="43" t="inlineStr">
        <is>
          <t>Smartphones &amp; Tablets</t>
        </is>
      </c>
      <c r="D916" s="43" t="inlineStr">
        <is>
          <t>Tablet</t>
        </is>
      </c>
      <c r="E916" s="44" t="inlineStr">
        <is>
          <t>Epimetheus Nova 11" Tablet</t>
        </is>
      </c>
      <c r="F916" s="45" t="n">
        <v>722.99</v>
      </c>
      <c r="G916" s="43" t="inlineStr">
        <is>
          <t>the Nova; Epimetheus Nova; Epimeetheus Nova; Nova tablet</t>
        </is>
      </c>
      <c r="H916" s="43" t="inlineStr">
        <is>
          <t>2 year limited</t>
        </is>
      </c>
      <c r="I916" s="43" t="inlineStr">
        <is>
          <t>FCC, CE, Energy Star</t>
        </is>
      </c>
      <c r="J916" s="43" t="inlineStr">
        <is>
          <t>MediaTek Dimensity 8300</t>
        </is>
      </c>
      <c r="K916" s="43" t="inlineStr">
        <is>
          <t>Arm Mali-G615 MC6</t>
        </is>
      </c>
      <c r="L916" s="43" t="inlineStr">
        <is>
          <t>OLED, 120Hz</t>
        </is>
      </c>
      <c r="M916" s="43" t="inlineStr">
        <is>
          <t>1752x2800</t>
        </is>
      </c>
      <c r="N916" s="43" t="inlineStr">
        <is>
          <t>USB-C (USB 3.2), microSD slot</t>
        </is>
      </c>
      <c r="O916" s="43" t="inlineStr">
        <is>
          <t>Android 15</t>
        </is>
      </c>
      <c r="P916" s="43" t="n">
        <v>11</v>
      </c>
      <c r="Q916" s="46" t="n">
        <v>483</v>
      </c>
      <c r="R916" s="43" t="inlineStr">
        <is>
          <t>Lighter than Erato Blaze Ultra 11" Tablet [ERA-085-04] (483 g vs 503 g); Longer battery than Panacea Aria Pro 11" Tablet [PAN-069-06] (11 vs 10 hrs)</t>
        </is>
      </c>
      <c r="S916" s="43" t="inlineStr">
        <is>
          <t>school, streaming, reading</t>
        </is>
      </c>
      <c r="T916" s="0" t="inlineStr">
        <is>
          <t>low_stock</t>
        </is>
      </c>
      <c r="U916" s="0" t="n">
        <v>30</v>
      </c>
      <c r="V916" s="52" t="n">
        <v>762.99</v>
      </c>
      <c r="W916" s="0" t="inlineStr">
        <is>
          <t>2026-08-31</t>
        </is>
      </c>
      <c r="X916" s="0" t="inlineStr">
        <is>
          <t>N/A</t>
        </is>
      </c>
      <c r="Y916" s="0" t="inlineStr">
        <is>
          <t>N/A</t>
        </is>
      </c>
      <c r="Z916" s="0" t="inlineStr">
        <is>
          <t>N/A</t>
        </is>
      </c>
      <c r="AA916" s="0" t="inlineStr">
        <is>
          <t>N/A</t>
        </is>
      </c>
    </row>
    <row r="917" ht="15.75" customHeight="1" s="51">
      <c r="A917" s="43" t="inlineStr">
        <is>
          <t>EPI-091-05</t>
        </is>
      </c>
      <c r="B917" s="43" t="inlineStr">
        <is>
          <t>Epimetheus</t>
        </is>
      </c>
      <c r="C917" s="43" t="inlineStr">
        <is>
          <t>Smartphones &amp; Tablets</t>
        </is>
      </c>
      <c r="D917" s="43" t="inlineStr">
        <is>
          <t>Smartphone</t>
        </is>
      </c>
      <c r="E917" s="44" t="inlineStr">
        <is>
          <t>Epimetheus Nova Compact Smartphone</t>
        </is>
      </c>
      <c r="F917" s="45" t="n">
        <v>798.99</v>
      </c>
      <c r="G917" s="43" t="inlineStr">
        <is>
          <t>the Nova; Epimetheus Nova; Epimetehus Nova; Nova smartphone</t>
        </is>
      </c>
      <c r="H917" s="43" t="inlineStr">
        <is>
          <t>2 year limited</t>
        </is>
      </c>
      <c r="I917" s="43" t="inlineStr">
        <is>
          <t>FCC, CE, IP68</t>
        </is>
      </c>
      <c r="J917" s="43" t="inlineStr">
        <is>
          <t>MediaTek Dimensity 8300</t>
        </is>
      </c>
      <c r="K917" s="43" t="inlineStr">
        <is>
          <t>Arm Mali-G615 MC6</t>
        </is>
      </c>
      <c r="L917" s="43" t="inlineStr">
        <is>
          <t>AMOLED, 120Hz</t>
        </is>
      </c>
      <c r="M917" s="43" t="inlineStr">
        <is>
          <t>1080x2340</t>
        </is>
      </c>
      <c r="N917" s="43" t="inlineStr">
        <is>
          <t>USB-C (USB 3.2), nano-SIM + eSIM</t>
        </is>
      </c>
      <c r="O917" s="43" t="inlineStr">
        <is>
          <t>Android 15</t>
        </is>
      </c>
      <c r="P917" s="43" t="n">
        <v>21</v>
      </c>
      <c r="Q917" s="46" t="n">
        <v>152</v>
      </c>
      <c r="R917" s="43" t="inlineStr">
        <is>
          <t>Longer battery than Aether Volt SE Compact Smartphone [AET-080-05] (21 vs 19 hrs); Lighter than Iapetus Arc SE Compact Smartphone [IAP-096-05] (152 g vs 165 g)</t>
        </is>
      </c>
      <c r="S917" s="43" t="inlineStr">
        <is>
          <t>everyday, one-handed use</t>
        </is>
      </c>
      <c r="T917" s="0" t="inlineStr">
        <is>
          <t>in_stock</t>
        </is>
      </c>
      <c r="U917" s="0" t="n">
        <v>30</v>
      </c>
      <c r="V917" s="52" t="n">
        <v>823.99</v>
      </c>
      <c r="W917" s="0" t="inlineStr">
        <is>
          <t>2026-08-11</t>
        </is>
      </c>
      <c r="X917" s="0" t="inlineStr">
        <is>
          <t>N/A</t>
        </is>
      </c>
      <c r="Y917" s="0" t="inlineStr">
        <is>
          <t>N/A</t>
        </is>
      </c>
      <c r="Z917" s="0" t="inlineStr">
        <is>
          <t>N/A</t>
        </is>
      </c>
      <c r="AA917" s="0" t="inlineStr">
        <is>
          <t>N/A</t>
        </is>
      </c>
    </row>
    <row r="918" ht="15.75" customHeight="1" s="51">
      <c r="A918" s="43" t="inlineStr">
        <is>
          <t>EPI-091-06</t>
        </is>
      </c>
      <c r="B918" s="43" t="inlineStr">
        <is>
          <t>Epimetheus</t>
        </is>
      </c>
      <c r="C918" s="43" t="inlineStr">
        <is>
          <t>Smartphones &amp; Tablets</t>
        </is>
      </c>
      <c r="D918" s="43" t="inlineStr">
        <is>
          <t>Smartphone</t>
        </is>
      </c>
      <c r="E918" s="44" t="inlineStr">
        <is>
          <t>Epimetheus Orbit Flagship Smartphone</t>
        </is>
      </c>
      <c r="F918" s="45" t="n">
        <v>834.99</v>
      </c>
      <c r="G918" s="43" t="inlineStr">
        <is>
          <t>the Orbit; Epimetheus Orbit; Epimetheeus Orbit; Orbit smartphone</t>
        </is>
      </c>
      <c r="H918" s="43" t="inlineStr">
        <is>
          <t>1 year limited</t>
        </is>
      </c>
      <c r="I918" s="43" t="inlineStr">
        <is>
          <t>FCC, CE, IP68, Qi2</t>
        </is>
      </c>
      <c r="J918" s="43" t="inlineStr">
        <is>
          <t>Qualcomm Snapdragon 8 Gen 3</t>
        </is>
      </c>
      <c r="K918" s="43" t="inlineStr">
        <is>
          <t>Qualcomm Adreno 750</t>
        </is>
      </c>
      <c r="L918" s="43" t="inlineStr">
        <is>
          <t>AMOLED, 120Hz</t>
        </is>
      </c>
      <c r="M918" s="43" t="inlineStr">
        <is>
          <t>1080x2400</t>
        </is>
      </c>
      <c r="N918" s="43" t="inlineStr">
        <is>
          <t>USB-C (USB 3.2), nano-SIM + eSIM</t>
        </is>
      </c>
      <c r="O918" s="43" t="inlineStr">
        <is>
          <t>Android 15</t>
        </is>
      </c>
      <c r="P918" s="43" t="n">
        <v>23</v>
      </c>
      <c r="Q918" s="46" t="n">
        <v>172</v>
      </c>
      <c r="R918" s="43" t="inlineStr">
        <is>
          <t>Lighter than Alpheus Drift Plus Flagship Smartphone [ALP-082-09] (172 g vs 185 g); Lower price than Dike Aria Flagship Smartphone [DIK-099-09] ($834.99 vs $1,267.99)</t>
        </is>
      </c>
      <c r="S918" s="43" t="inlineStr">
        <is>
          <t>photography, everyday, business</t>
        </is>
      </c>
      <c r="T918" s="0" t="inlineStr">
        <is>
          <t>in_stock</t>
        </is>
      </c>
      <c r="U918" s="0" t="n">
        <v>30</v>
      </c>
      <c r="V918" s="52" t="n">
        <v>956.99</v>
      </c>
      <c r="W918" s="0" t="inlineStr">
        <is>
          <t>2026-09-09</t>
        </is>
      </c>
      <c r="X918" s="0" t="inlineStr">
        <is>
          <t>N/A</t>
        </is>
      </c>
      <c r="Y918" s="0" t="inlineStr">
        <is>
          <t>N/A</t>
        </is>
      </c>
      <c r="Z918" s="0" t="inlineStr">
        <is>
          <t>N/A</t>
        </is>
      </c>
      <c r="AA918" s="0" t="inlineStr">
        <is>
          <t>N/A</t>
        </is>
      </c>
    </row>
    <row r="919" ht="15.75" customHeight="1" s="51">
      <c r="A919" s="43" t="inlineStr">
        <is>
          <t>EPI-091-07</t>
        </is>
      </c>
      <c r="B919" s="43" t="inlineStr">
        <is>
          <t>Epimetheus</t>
        </is>
      </c>
      <c r="C919" s="43" t="inlineStr">
        <is>
          <t>Smartphones &amp; Tablets</t>
        </is>
      </c>
      <c r="D919" s="43" t="inlineStr">
        <is>
          <t>Tablet</t>
        </is>
      </c>
      <c r="E919" s="44" t="inlineStr">
        <is>
          <t>Epimetheus Rift Plus 5G Tablet</t>
        </is>
      </c>
      <c r="F919" s="45" t="n">
        <v>867.99</v>
      </c>
      <c r="G919" s="43" t="inlineStr">
        <is>
          <t>the Rift Plus; Epimetheus Rift Plus; Epmietheus Rift Plus; Rift Plus tablet</t>
        </is>
      </c>
      <c r="H919" s="43" t="inlineStr">
        <is>
          <t>1 year limited</t>
        </is>
      </c>
      <c r="I919" s="43" t="inlineStr">
        <is>
          <t>FCC, CE, Energy Star</t>
        </is>
      </c>
      <c r="J919" s="43" t="inlineStr">
        <is>
          <t>Qualcomm Snapdragon 8 Gen 3</t>
        </is>
      </c>
      <c r="K919" s="43" t="inlineStr">
        <is>
          <t>Qualcomm Adreno 750</t>
        </is>
      </c>
      <c r="L919" s="43" t="inlineStr">
        <is>
          <t>OLED, 120Hz</t>
        </is>
      </c>
      <c r="M919" s="43" t="inlineStr">
        <is>
          <t>1752x2800</t>
        </is>
      </c>
      <c r="N919" s="43" t="inlineStr">
        <is>
          <t>USB-C (USB 3.2), microSD slot, nano-SIM + eSIM</t>
        </is>
      </c>
      <c r="O919" s="43" t="inlineStr">
        <is>
          <t>Android 15</t>
        </is>
      </c>
      <c r="P919" s="43" t="n">
        <v>10</v>
      </c>
      <c r="Q919" s="46" t="n">
        <v>529</v>
      </c>
      <c r="R919" s="43" t="inlineStr">
        <is>
          <t>Lighter than Coeus Vertex Lite 5G Tablet [COE-075-05] (529 g vs 553 g); Lower price than Lethe Titan Lite 5G Tablet [LET-086-07] ($867.99 vs $1,109.99)</t>
        </is>
      </c>
      <c r="S919" s="43" t="inlineStr">
        <is>
          <t>travel, streaming, work on the go</t>
        </is>
      </c>
      <c r="T919" s="0" t="inlineStr">
        <is>
          <t>in_stock</t>
        </is>
      </c>
      <c r="U919" s="0" t="n">
        <v>30</v>
      </c>
      <c r="V919" s="52" t="n">
        <v>944.99</v>
      </c>
      <c r="W919" s="0" t="inlineStr">
        <is>
          <t>2026-08-06</t>
        </is>
      </c>
      <c r="X919" s="0" t="inlineStr">
        <is>
          <t>N/A</t>
        </is>
      </c>
      <c r="Y919" s="0" t="inlineStr">
        <is>
          <t>N/A</t>
        </is>
      </c>
      <c r="Z919" s="0" t="inlineStr">
        <is>
          <t>N/A</t>
        </is>
      </c>
      <c r="AA919" s="0" t="inlineStr">
        <is>
          <t>N/A</t>
        </is>
      </c>
    </row>
    <row r="920" ht="15.75" customHeight="1" s="51">
      <c r="A920" s="43" t="inlineStr">
        <is>
          <t>EPI-091-08</t>
        </is>
      </c>
      <c r="B920" s="43" t="inlineStr">
        <is>
          <t>Epimetheus</t>
        </is>
      </c>
      <c r="C920" s="43" t="inlineStr">
        <is>
          <t>Smartphones &amp; Tablets</t>
        </is>
      </c>
      <c r="D920" s="43" t="inlineStr">
        <is>
          <t>Smartphone</t>
        </is>
      </c>
      <c r="E920" s="44" t="inlineStr">
        <is>
          <t>Epimetheus Wave Ultra Flip Foldable Phone</t>
        </is>
      </c>
      <c r="F920" s="45" t="n">
        <v>1147.99</v>
      </c>
      <c r="G920" s="43" t="inlineStr">
        <is>
          <t>the Wave Ultra; Epimetheus Wave Ultra; Epimethues Wave Ultra; Wave Ultra smartphone</t>
        </is>
      </c>
      <c r="H920" s="43" t="inlineStr">
        <is>
          <t>2 year limited</t>
        </is>
      </c>
      <c r="I920" s="43" t="inlineStr">
        <is>
          <t>FCC, CE, IPX8</t>
        </is>
      </c>
      <c r="J920" s="43" t="inlineStr">
        <is>
          <t>MediaTek Dimensity 9400</t>
        </is>
      </c>
      <c r="K920" s="43" t="inlineStr">
        <is>
          <t>Arm Immortalis-G925</t>
        </is>
      </c>
      <c r="L920" s="43" t="inlineStr">
        <is>
          <t>Foldable AMOLED inner + AMOLED cover screen</t>
        </is>
      </c>
      <c r="M920" s="43" t="inlineStr">
        <is>
          <t>1080x2640 inner / 720x748 cover</t>
        </is>
      </c>
      <c r="N920" s="43" t="inlineStr">
        <is>
          <t>USB-C (USB 3.2), nano-SIM + eSIM</t>
        </is>
      </c>
      <c r="O920" s="43" t="inlineStr">
        <is>
          <t>Android 15</t>
        </is>
      </c>
      <c r="P920" s="43" t="n">
        <v>21</v>
      </c>
      <c r="Q920" s="46" t="n">
        <v>198</v>
      </c>
      <c r="R920" s="43" t="inlineStr">
        <is>
          <t>Longer battery than Lethe Titan Max Flip Foldable Phone [LET-086-06] (21 vs 17 hrs); Lower price than Mnemosyne Nova X Flip Foldable Phone [MNE-061-09] ($1,147.99 vs $1,191.99)</t>
        </is>
      </c>
      <c r="S920" s="43" t="inlineStr">
        <is>
          <t>style, everyday, compact</t>
        </is>
      </c>
      <c r="T920" s="0" t="inlineStr">
        <is>
          <t>low_stock</t>
        </is>
      </c>
      <c r="U920" s="0" t="n">
        <v>30</v>
      </c>
      <c r="V920" s="52" t="n">
        <v>1256.99</v>
      </c>
      <c r="W920" s="0" t="inlineStr">
        <is>
          <t>2026-08-17</t>
        </is>
      </c>
      <c r="X920" s="0" t="inlineStr">
        <is>
          <t>N/A</t>
        </is>
      </c>
      <c r="Y920" s="0" t="inlineStr">
        <is>
          <t>N/A</t>
        </is>
      </c>
      <c r="Z920" s="0" t="inlineStr">
        <is>
          <t>N/A</t>
        </is>
      </c>
      <c r="AA920" s="0" t="inlineStr">
        <is>
          <t>N/A</t>
        </is>
      </c>
    </row>
    <row r="921" ht="15.75" customHeight="1" s="51">
      <c r="A921" s="43" t="inlineStr">
        <is>
          <t>EPI-091-09</t>
        </is>
      </c>
      <c r="B921" s="43" t="inlineStr">
        <is>
          <t>Epimetheus</t>
        </is>
      </c>
      <c r="C921" s="43" t="inlineStr">
        <is>
          <t>Smartphones &amp; Tablets</t>
        </is>
      </c>
      <c r="D921" s="43" t="inlineStr">
        <is>
          <t>Tablet</t>
        </is>
      </c>
      <c r="E921" s="44" t="inlineStr">
        <is>
          <t>Epimetheus Volt Air 13" Pro Tablet</t>
        </is>
      </c>
      <c r="F921" s="45" t="n">
        <v>1428.99</v>
      </c>
      <c r="G921" s="43" t="inlineStr">
        <is>
          <t>the Volt Air; Epimetheus Volt Air; Epimetehus Volt Air; Volt Air tablet</t>
        </is>
      </c>
      <c r="H921" s="43" t="inlineStr">
        <is>
          <t>1 year limited</t>
        </is>
      </c>
      <c r="I921" s="43" t="inlineStr">
        <is>
          <t>FCC, CE</t>
        </is>
      </c>
      <c r="J921" s="43" t="inlineStr">
        <is>
          <t>Qualcomm Snapdragon 8 Elite</t>
        </is>
      </c>
      <c r="K921" s="43" t="inlineStr">
        <is>
          <t>Qualcomm Adreno 830</t>
        </is>
      </c>
      <c r="L921" s="43" t="inlineStr">
        <is>
          <t>OLED, 120Hz</t>
        </is>
      </c>
      <c r="M921" s="43" t="inlineStr">
        <is>
          <t>2800x1752</t>
        </is>
      </c>
      <c r="N921" s="43" t="inlineStr">
        <is>
          <t>USB-C (USB 3.2), magnetic keyboard connector</t>
        </is>
      </c>
      <c r="O921" s="43" t="inlineStr">
        <is>
          <t>Android 15</t>
        </is>
      </c>
      <c r="P921" s="43" t="n">
        <v>9</v>
      </c>
      <c r="Q921" s="46" t="n">
        <v>631</v>
      </c>
      <c r="R921" s="43" t="inlineStr">
        <is>
          <t>Lighter than Clymene Onyx 13" Pro Tablet [CLY-067-10] (631 g vs 669 g); Lower price than Anteros Apex Ultra 13" Pro Tablet [ANT-090-10] ($1,428.99 vs $1,628.99)</t>
        </is>
      </c>
      <c r="S921" s="43" t="inlineStr">
        <is>
          <t>creative work, productivity, drawing</t>
        </is>
      </c>
      <c r="T921" s="0" t="inlineStr">
        <is>
          <t>in_stock</t>
        </is>
      </c>
      <c r="U921" s="0" t="n">
        <v>30</v>
      </c>
      <c r="V921" s="52" t="n">
        <v>1491.99</v>
      </c>
      <c r="W921" s="0" t="inlineStr">
        <is>
          <t>2026-08-18</t>
        </is>
      </c>
      <c r="X921" s="0" t="inlineStr">
        <is>
          <t>N/A</t>
        </is>
      </c>
      <c r="Y921" s="0" t="inlineStr">
        <is>
          <t>N/A</t>
        </is>
      </c>
      <c r="Z921" s="0" t="inlineStr">
        <is>
          <t>N/A</t>
        </is>
      </c>
      <c r="AA921" s="0" t="inlineStr">
        <is>
          <t>N/A</t>
        </is>
      </c>
    </row>
    <row r="922" ht="15.75" customHeight="1" s="51">
      <c r="A922" s="43" t="inlineStr">
        <is>
          <t>EPI-091-10</t>
        </is>
      </c>
      <c r="B922" s="43" t="inlineStr">
        <is>
          <t>Epimetheus</t>
        </is>
      </c>
      <c r="C922" s="43" t="inlineStr">
        <is>
          <t>Smartphones &amp; Tablets</t>
        </is>
      </c>
      <c r="D922" s="43" t="inlineStr">
        <is>
          <t>Smartphone</t>
        </is>
      </c>
      <c r="E922" s="44" t="inlineStr">
        <is>
          <t>Epimetheus Echo Pro Foldable Phone</t>
        </is>
      </c>
      <c r="F922" s="45" t="n">
        <v>1959.99</v>
      </c>
      <c r="G922" s="43" t="inlineStr">
        <is>
          <t>the Echo Pro; Epimetheus Echo Pro; Epimethus Echo Pro; Echo Pro smartphone</t>
        </is>
      </c>
      <c r="H922" s="43" t="inlineStr">
        <is>
          <t>2 year limited</t>
        </is>
      </c>
      <c r="I922" s="43" t="inlineStr">
        <is>
          <t>FCC, CE, IPX8</t>
        </is>
      </c>
      <c r="J922" s="43" t="inlineStr">
        <is>
          <t>Qualcomm Snapdragon 8 Elite</t>
        </is>
      </c>
      <c r="K922" s="43" t="inlineStr">
        <is>
          <t>Qualcomm Adreno 830</t>
        </is>
      </c>
      <c r="L922" s="43" t="inlineStr">
        <is>
          <t>Foldable LTPO AMOLED inner + AMOLED cover, 120Hz</t>
        </is>
      </c>
      <c r="M922" s="43" t="inlineStr">
        <is>
          <t>2160x1856 inner / 1080x2376 cover</t>
        </is>
      </c>
      <c r="N922" s="43" t="inlineStr">
        <is>
          <t>USB-C (USB 3.2), nano-SIM + eSIM</t>
        </is>
      </c>
      <c r="O922" s="43" t="inlineStr">
        <is>
          <t>Android 15</t>
        </is>
      </c>
      <c r="P922" s="43" t="n">
        <v>25</v>
      </c>
      <c r="Q922" s="46" t="n">
        <v>257</v>
      </c>
      <c r="R922" s="43" t="inlineStr">
        <is>
          <t>Lower price than Clotho Orbit Ultra Foldable Phone [CLO-062-10] ($1,959.99 vs $2,169.99); Longer battery than Comus Aria X Foldable Phone [COM-078-10] (25 vs 23 hrs)</t>
        </is>
      </c>
      <c r="S922" s="43" t="inlineStr">
        <is>
          <t>multitasking, business, media</t>
        </is>
      </c>
      <c r="T922" s="0" t="inlineStr">
        <is>
          <t>in_stock</t>
        </is>
      </c>
      <c r="U922" s="0" t="n">
        <v>30</v>
      </c>
      <c r="V922" s="52" t="n">
        <v>2068.99</v>
      </c>
      <c r="W922" s="0" t="inlineStr">
        <is>
          <t>2026-09-03</t>
        </is>
      </c>
      <c r="X922" s="0" t="inlineStr">
        <is>
          <t>N/A</t>
        </is>
      </c>
      <c r="Y922" s="0" t="inlineStr">
        <is>
          <t>N/A</t>
        </is>
      </c>
      <c r="Z922" s="0" t="inlineStr">
        <is>
          <t>N/A</t>
        </is>
      </c>
      <c r="AA922" s="0" t="inlineStr">
        <is>
          <t>N/A</t>
        </is>
      </c>
    </row>
    <row r="923" ht="15.75" customHeight="1" s="51">
      <c r="A923" s="43" t="inlineStr">
        <is>
          <t>TRI-092-01</t>
        </is>
      </c>
      <c r="B923" s="43" t="inlineStr">
        <is>
          <t>Triton</t>
        </is>
      </c>
      <c r="C923" s="43" t="inlineStr">
        <is>
          <t>Smartphones &amp; Tablets</t>
        </is>
      </c>
      <c r="D923" s="43" t="inlineStr">
        <is>
          <t>Smartphone</t>
        </is>
      </c>
      <c r="E923" s="44" t="inlineStr">
        <is>
          <t>Triton Nova Air Budget Smartphone</t>
        </is>
      </c>
      <c r="F923" s="45" t="n">
        <v>333.99</v>
      </c>
      <c r="G923" s="43" t="inlineStr">
        <is>
          <t>the Nova Air; Triton Nova Air; Tritoon Nova Air; Nova Air smartphone</t>
        </is>
      </c>
      <c r="H923" s="43" t="inlineStr">
        <is>
          <t>2 year limited</t>
        </is>
      </c>
      <c r="I923" s="43" t="inlineStr">
        <is>
          <t>FCC, CE, IP54</t>
        </is>
      </c>
      <c r="J923" s="43" t="inlineStr">
        <is>
          <t>Qualcomm Snapdragon 6 Gen 1</t>
        </is>
      </c>
      <c r="K923" s="43" t="inlineStr">
        <is>
          <t>Qualcomm Adreno 710</t>
        </is>
      </c>
      <c r="L923" s="43" t="inlineStr">
        <is>
          <t>AMOLED, 120Hz</t>
        </is>
      </c>
      <c r="M923" s="43" t="inlineStr">
        <is>
          <t>1080x2400</t>
        </is>
      </c>
      <c r="N923" s="43" t="inlineStr">
        <is>
          <t>USB-C (USB 2.0), nano-SIM + eSIM, 3.5mm headphone jack, microSD slot</t>
        </is>
      </c>
      <c r="O923" s="43" t="inlineStr">
        <is>
          <t>Android 14</t>
        </is>
      </c>
      <c r="P923" s="43" t="n">
        <v>30</v>
      </c>
      <c r="Q923" s="46" t="n">
        <v>196</v>
      </c>
      <c r="R923" s="43" t="inlineStr">
        <is>
          <t>Lighter than Iapetus Flux Pro Budget Smartphone [IAP-096-03] (196 g vs 201 g); Longer battery than Hephaestus Crest X Budget Smartphone [HEP-076-01] (30 vs 24 hrs)</t>
        </is>
      </c>
      <c r="S923" s="43" t="inlineStr">
        <is>
          <t>budget, first phone, everyday</t>
        </is>
      </c>
      <c r="T923" s="0" t="inlineStr">
        <is>
          <t>in_stock</t>
        </is>
      </c>
      <c r="U923" s="0" t="n">
        <v>45</v>
      </c>
      <c r="V923" s="52" t="n">
        <v>383.99</v>
      </c>
      <c r="W923" s="0" t="inlineStr">
        <is>
          <t>2026-08-15</t>
        </is>
      </c>
      <c r="X923" s="0" t="inlineStr">
        <is>
          <t>N/A</t>
        </is>
      </c>
      <c r="Y923" s="0" t="inlineStr">
        <is>
          <t>N/A</t>
        </is>
      </c>
      <c r="Z923" s="0" t="inlineStr">
        <is>
          <t>N/A</t>
        </is>
      </c>
      <c r="AA923" s="0" t="inlineStr">
        <is>
          <t>N/A</t>
        </is>
      </c>
    </row>
    <row r="924" ht="15.75" customHeight="1" s="51">
      <c r="A924" s="43" t="inlineStr">
        <is>
          <t>TRI-092-02</t>
        </is>
      </c>
      <c r="B924" s="43" t="inlineStr">
        <is>
          <t>Triton</t>
        </is>
      </c>
      <c r="C924" s="43" t="inlineStr">
        <is>
          <t>Smartphones &amp; Tablets</t>
        </is>
      </c>
      <c r="D924" s="43" t="inlineStr">
        <is>
          <t>Smartphone</t>
        </is>
      </c>
      <c r="E924" s="44" t="inlineStr">
        <is>
          <t>Triton Orbit Pro Rugged Smartphone</t>
        </is>
      </c>
      <c r="F924" s="45" t="n">
        <v>338.99</v>
      </c>
      <c r="G924" s="43" t="inlineStr">
        <is>
          <t>the Orbit Pro; Triton Orbit Pro; Tritonn Orbit Pro; Orbit Pro smartphone</t>
        </is>
      </c>
      <c r="H924" s="43" t="inlineStr">
        <is>
          <t>2 year limited</t>
        </is>
      </c>
      <c r="I924" s="43" t="inlineStr">
        <is>
          <t>FCC, CE, IP69K, MIL-STD-810H</t>
        </is>
      </c>
      <c r="J924" s="43" t="inlineStr">
        <is>
          <t>Qualcomm Snapdragon 6 Gen 1</t>
        </is>
      </c>
      <c r="K924" s="43" t="inlineStr">
        <is>
          <t>Qualcomm Adreno 710</t>
        </is>
      </c>
      <c r="L924" s="43" t="inlineStr">
        <is>
          <t>IPS LCD, Gorilla Glass Victus, 120Hz</t>
        </is>
      </c>
      <c r="M924" s="43" t="inlineStr">
        <is>
          <t>1080x2400</t>
        </is>
      </c>
      <c r="N924" s="43" t="inlineStr">
        <is>
          <t>USB-C (USB 2.0), nano-SIM + eSIM, 3.5mm headphone jack, microSD slot</t>
        </is>
      </c>
      <c r="O924" s="43" t="inlineStr">
        <is>
          <t>Android 14</t>
        </is>
      </c>
      <c r="P924" s="43" t="n">
        <v>41</v>
      </c>
      <c r="Q924" s="46" t="n">
        <v>276</v>
      </c>
      <c r="R924" s="43" t="inlineStr">
        <is>
          <t>Lower price than Lachesis Titan Plus Rugged Smartphone [LAC-071-04] ($338.99 vs $553.99); Longer battery than Panacea Crest X Rugged Smartphone [PAN-069-04] (41 vs 39 hrs)</t>
        </is>
      </c>
      <c r="S924" s="43" t="inlineStr">
        <is>
          <t>outdoor, construction, fieldwork</t>
        </is>
      </c>
      <c r="T924" s="0" t="inlineStr">
        <is>
          <t>in_stock</t>
        </is>
      </c>
      <c r="U924" s="0" t="n">
        <v>45</v>
      </c>
      <c r="V924" s="52" t="n">
        <v>375.99</v>
      </c>
      <c r="W924" s="0" t="inlineStr">
        <is>
          <t>2026-09-19</t>
        </is>
      </c>
      <c r="X924" s="0" t="inlineStr">
        <is>
          <t>N/A</t>
        </is>
      </c>
      <c r="Y924" s="0" t="inlineStr">
        <is>
          <t>N/A</t>
        </is>
      </c>
      <c r="Z924" s="0" t="inlineStr">
        <is>
          <t>N/A</t>
        </is>
      </c>
      <c r="AA924" s="0" t="inlineStr">
        <is>
          <t>N/A</t>
        </is>
      </c>
    </row>
    <row r="925" ht="15.75" customHeight="1" s="51">
      <c r="A925" s="43" t="inlineStr">
        <is>
          <t>TRI-092-03</t>
        </is>
      </c>
      <c r="B925" s="43" t="inlineStr">
        <is>
          <t>Triton</t>
        </is>
      </c>
      <c r="C925" s="43" t="inlineStr">
        <is>
          <t>Smartphones &amp; Tablets</t>
        </is>
      </c>
      <c r="D925" s="43" t="inlineStr">
        <is>
          <t>Tablet</t>
        </is>
      </c>
      <c r="E925" s="44" t="inlineStr">
        <is>
          <t>Triton Axis SE 8" Mini Tablet</t>
        </is>
      </c>
      <c r="F925" s="45" t="n">
        <v>356.99</v>
      </c>
      <c r="G925" s="43" t="inlineStr">
        <is>
          <t>the Axis SE; Triton Axis SE; Tritonn Axis SE; Axis SE tablet</t>
        </is>
      </c>
      <c r="H925" s="43" t="inlineStr">
        <is>
          <t>1 year limited</t>
        </is>
      </c>
      <c r="I925" s="43" t="inlineStr">
        <is>
          <t>FCC, CE, TUV Rheinland Low Blue Light</t>
        </is>
      </c>
      <c r="J925" s="43" t="inlineStr">
        <is>
          <t>MediaTek Dimensity 7300</t>
        </is>
      </c>
      <c r="K925" s="43" t="inlineStr">
        <is>
          <t>Arm Mali-G615 MC2</t>
        </is>
      </c>
      <c r="L925" s="43" t="inlineStr">
        <is>
          <t>IPS LCD, 60Hz</t>
        </is>
      </c>
      <c r="M925" s="43" t="inlineStr">
        <is>
          <t>1200x1920</t>
        </is>
      </c>
      <c r="N925" s="43" t="inlineStr">
        <is>
          <t>USB-C (USB 2.0), microSD slot</t>
        </is>
      </c>
      <c r="O925" s="43" t="inlineStr">
        <is>
          <t>Android 15</t>
        </is>
      </c>
      <c r="P925" s="43" t="n">
        <v>12</v>
      </c>
      <c r="Q925" s="46" t="n">
        <v>315</v>
      </c>
      <c r="R925" s="43" t="inlineStr">
        <is>
          <t>Longer battery than Aether Drift SE 8" Mini Tablet [AET-080-03] (12 vs 10 hrs); Lower price than Elpis Pulse Pro 8" Mini Tablet [ELP-074-02] ($356.99 vs $359.99)</t>
        </is>
      </c>
      <c r="S925" s="43" t="inlineStr">
        <is>
          <t>reading, travel, gaming</t>
        </is>
      </c>
      <c r="T925" s="0" t="inlineStr">
        <is>
          <t>in_stock</t>
        </is>
      </c>
      <c r="U925" s="0" t="n">
        <v>45</v>
      </c>
      <c r="V925" s="52" t="n">
        <v>405.99</v>
      </c>
      <c r="W925" s="0" t="inlineStr">
        <is>
          <t>2026-08-27</t>
        </is>
      </c>
      <c r="X925" s="0" t="inlineStr">
        <is>
          <t>N/A</t>
        </is>
      </c>
      <c r="Y925" s="0" t="inlineStr">
        <is>
          <t>N/A</t>
        </is>
      </c>
      <c r="Z925" s="0" t="inlineStr">
        <is>
          <t>N/A</t>
        </is>
      </c>
      <c r="AA925" s="0" t="inlineStr">
        <is>
          <t>N/A</t>
        </is>
      </c>
    </row>
    <row r="926" ht="15.75" customHeight="1" s="51">
      <c r="A926" s="43" t="inlineStr">
        <is>
          <t>TRI-092-04</t>
        </is>
      </c>
      <c r="B926" s="43" t="inlineStr">
        <is>
          <t>Triton</t>
        </is>
      </c>
      <c r="C926" s="43" t="inlineStr">
        <is>
          <t>Smartphones &amp; Tablets</t>
        </is>
      </c>
      <c r="D926" s="43" t="inlineStr">
        <is>
          <t>Tablet</t>
        </is>
      </c>
      <c r="E926" s="44" t="inlineStr">
        <is>
          <t>Triton Nova Max Drawing Tablet with Stylus</t>
        </is>
      </c>
      <c r="F926" s="45" t="n">
        <v>682.99</v>
      </c>
      <c r="G926" s="43" t="inlineStr">
        <is>
          <t>the Nova Max; Triton Nova Max; Tritoon Nova Max; Nova Max tablet</t>
        </is>
      </c>
      <c r="H926" s="43" t="inlineStr">
        <is>
          <t>1 year limited</t>
        </is>
      </c>
      <c r="I926" s="43" t="inlineStr">
        <is>
          <t>FCC, CE, TUV Rheinland Low Blue Light</t>
        </is>
      </c>
      <c r="J926" s="43" t="inlineStr">
        <is>
          <t>MediaTek Dimensity 8300</t>
        </is>
      </c>
      <c r="K926" s="43" t="inlineStr">
        <is>
          <t>Arm Mali-G615 MC6</t>
        </is>
      </c>
      <c r="L926" s="43" t="inlineStr">
        <is>
          <t>IPS LCD anti-glare, pen digitizer</t>
        </is>
      </c>
      <c r="M926" s="43" t="inlineStr">
        <is>
          <t>2000x1200</t>
        </is>
      </c>
      <c r="N926" s="43" t="inlineStr">
        <is>
          <t>USB-C (USB 2.0), microSD slot</t>
        </is>
      </c>
      <c r="O926" s="43" t="inlineStr">
        <is>
          <t>Android 15</t>
        </is>
      </c>
      <c r="P926" s="43" t="n">
        <v>9</v>
      </c>
      <c r="Q926" s="46" t="n">
        <v>581</v>
      </c>
      <c r="R926" s="43" t="inlineStr">
        <is>
          <t>Lower price than Phorcys Orbit Max Drawing Tablet with Stylus [PHO-087-06] ($682.99 vs $810.99); Lighter than Lethe Echo X Drawing Tablet with Stylus [LET-086-09] (581 g vs 637 g)</t>
        </is>
      </c>
      <c r="S926" s="43" t="inlineStr">
        <is>
          <t>drawing, design, note-taking</t>
        </is>
      </c>
      <c r="T926" s="0" t="inlineStr">
        <is>
          <t>in_stock</t>
        </is>
      </c>
      <c r="U926" s="0" t="n">
        <v>45</v>
      </c>
      <c r="V926" s="52" t="n">
        <v>760.99</v>
      </c>
      <c r="W926" s="0" t="inlineStr">
        <is>
          <t>2026-09-16</t>
        </is>
      </c>
      <c r="X926" s="0" t="inlineStr">
        <is>
          <t>N/A</t>
        </is>
      </c>
      <c r="Y926" s="0" t="inlineStr">
        <is>
          <t>N/A</t>
        </is>
      </c>
      <c r="Z926" s="0" t="inlineStr">
        <is>
          <t>N/A</t>
        </is>
      </c>
      <c r="AA926" s="0" t="inlineStr">
        <is>
          <t>N/A</t>
        </is>
      </c>
    </row>
    <row r="927" ht="15.75" customHeight="1" s="51">
      <c r="A927" s="43" t="inlineStr">
        <is>
          <t>TRI-092-05</t>
        </is>
      </c>
      <c r="B927" s="43" t="inlineStr">
        <is>
          <t>Triton</t>
        </is>
      </c>
      <c r="C927" s="43" t="inlineStr">
        <is>
          <t>Smartphones &amp; Tablets</t>
        </is>
      </c>
      <c r="D927" s="43" t="inlineStr">
        <is>
          <t>Tablet</t>
        </is>
      </c>
      <c r="E927" s="44" t="inlineStr">
        <is>
          <t>Triton Strata Pro 11" Tablet</t>
        </is>
      </c>
      <c r="F927" s="45" t="n">
        <v>701.99</v>
      </c>
      <c r="G927" s="43" t="inlineStr">
        <is>
          <t>the Strata Pro; Triton Strata Pro; Tritton Strata Pro; Strata Pro tablet</t>
        </is>
      </c>
      <c r="H927" s="43" t="inlineStr">
        <is>
          <t>2 year limited</t>
        </is>
      </c>
      <c r="I927" s="43" t="inlineStr">
        <is>
          <t>FCC, CE, Energy Star</t>
        </is>
      </c>
      <c r="J927" s="43" t="inlineStr">
        <is>
          <t>MediaTek Dimensity 8300</t>
        </is>
      </c>
      <c r="K927" s="43" t="inlineStr">
        <is>
          <t>Arm Mali-G615 MC6</t>
        </is>
      </c>
      <c r="L927" s="43" t="inlineStr">
        <is>
          <t>OLED, 120Hz</t>
        </is>
      </c>
      <c r="M927" s="43" t="inlineStr">
        <is>
          <t>1752x2800</t>
        </is>
      </c>
      <c r="N927" s="43" t="inlineStr">
        <is>
          <t>USB-C (USB 3.2), microSD slot</t>
        </is>
      </c>
      <c r="O927" s="43" t="inlineStr">
        <is>
          <t>Android 15</t>
        </is>
      </c>
      <c r="P927" s="43" t="n">
        <v>14</v>
      </c>
      <c r="Q927" s="46" t="n">
        <v>509</v>
      </c>
      <c r="R927" s="43" t="inlineStr">
        <is>
          <t>Longer battery than Nemesis Volt Air 11" Tablet [NEM-051-06] (14 vs 13 hrs); Lower price than Erato Blaze Ultra 11" Tablet [ERA-085-04] ($701.99 vs $717.99)</t>
        </is>
      </c>
      <c r="S927" s="43" t="inlineStr">
        <is>
          <t>school, streaming, reading</t>
        </is>
      </c>
      <c r="T927" s="0" t="inlineStr">
        <is>
          <t>in_stock</t>
        </is>
      </c>
      <c r="U927" s="0" t="n">
        <v>45</v>
      </c>
      <c r="V927" s="52" t="n">
        <v>741.99</v>
      </c>
      <c r="W927" s="0" t="inlineStr">
        <is>
          <t>2026-08-20</t>
        </is>
      </c>
      <c r="X927" s="0" t="inlineStr">
        <is>
          <t>N/A</t>
        </is>
      </c>
      <c r="Y927" s="0" t="inlineStr">
        <is>
          <t>N/A</t>
        </is>
      </c>
      <c r="Z927" s="0" t="inlineStr">
        <is>
          <t>N/A</t>
        </is>
      </c>
      <c r="AA927" s="0" t="inlineStr">
        <is>
          <t>N/A</t>
        </is>
      </c>
    </row>
    <row r="928" ht="15.75" customHeight="1" s="51">
      <c r="A928" s="43" t="inlineStr">
        <is>
          <t>TRI-092-06</t>
        </is>
      </c>
      <c r="B928" s="43" t="inlineStr">
        <is>
          <t>Triton</t>
        </is>
      </c>
      <c r="C928" s="43" t="inlineStr">
        <is>
          <t>Smartphones &amp; Tablets</t>
        </is>
      </c>
      <c r="D928" s="43" t="inlineStr">
        <is>
          <t>Tablet</t>
        </is>
      </c>
      <c r="E928" s="44" t="inlineStr">
        <is>
          <t>Triton Nimbus X 5G Tablet</t>
        </is>
      </c>
      <c r="F928" s="45" t="n">
        <v>832.99</v>
      </c>
      <c r="G928" s="43" t="inlineStr">
        <is>
          <t>the Nimbus X; Triton Nimbus X; Tirton Nimbus X; Nimbus X tablet</t>
        </is>
      </c>
      <c r="H928" s="43" t="inlineStr">
        <is>
          <t>1 year limited</t>
        </is>
      </c>
      <c r="I928" s="43" t="inlineStr">
        <is>
          <t>FCC, CE</t>
        </is>
      </c>
      <c r="J928" s="43" t="inlineStr">
        <is>
          <t>Qualcomm Snapdragon 8 Gen 3</t>
        </is>
      </c>
      <c r="K928" s="43" t="inlineStr">
        <is>
          <t>Qualcomm Adreno 750</t>
        </is>
      </c>
      <c r="L928" s="43" t="inlineStr">
        <is>
          <t>IPS LCD, 90Hz</t>
        </is>
      </c>
      <c r="M928" s="43" t="inlineStr">
        <is>
          <t>1600x2560</t>
        </is>
      </c>
      <c r="N928" s="43" t="inlineStr">
        <is>
          <t>USB-C (USB 3.2), microSD slot, nano-SIM + eSIM</t>
        </is>
      </c>
      <c r="O928" s="43" t="inlineStr">
        <is>
          <t>Android 15</t>
        </is>
      </c>
      <c r="P928" s="43" t="n">
        <v>11</v>
      </c>
      <c r="Q928" s="46" t="n">
        <v>535</v>
      </c>
      <c r="R928" s="43" t="inlineStr">
        <is>
          <t>Lighter than Coeus Vertex Lite 5G Tablet [COE-075-05] (535 g vs 553 g); Lower price than Hecate Rift 5G Tablet [HEC-052-07] ($832.99 vs $1,012.99)</t>
        </is>
      </c>
      <c r="S928" s="43" t="inlineStr">
        <is>
          <t>travel, streaming, work on the go</t>
        </is>
      </c>
      <c r="T928" s="0" t="inlineStr">
        <is>
          <t>out_of_stock</t>
        </is>
      </c>
      <c r="U928" s="0" t="n">
        <v>45</v>
      </c>
      <c r="V928" s="52" t="n">
        <v>897.99</v>
      </c>
      <c r="W928" s="0" t="inlineStr">
        <is>
          <t>2026-08-09</t>
        </is>
      </c>
      <c r="X928" s="0" t="inlineStr">
        <is>
          <t>N/A</t>
        </is>
      </c>
      <c r="Y928" s="0" t="inlineStr">
        <is>
          <t>N/A</t>
        </is>
      </c>
      <c r="Z928" s="0" t="inlineStr">
        <is>
          <t>N/A</t>
        </is>
      </c>
      <c r="AA928" s="0" t="inlineStr">
        <is>
          <t>N/A</t>
        </is>
      </c>
    </row>
    <row r="929" ht="15.75" customHeight="1" s="51">
      <c r="A929" s="43" t="inlineStr">
        <is>
          <t>TRI-092-07</t>
        </is>
      </c>
      <c r="B929" s="43" t="inlineStr">
        <is>
          <t>Triton</t>
        </is>
      </c>
      <c r="C929" s="43" t="inlineStr">
        <is>
          <t>Smartphones &amp; Tablets</t>
        </is>
      </c>
      <c r="D929" s="43" t="inlineStr">
        <is>
          <t>Smartphone</t>
        </is>
      </c>
      <c r="E929" s="44" t="inlineStr">
        <is>
          <t>Triton Crest Lite Flagship Smartphone</t>
        </is>
      </c>
      <c r="F929" s="45" t="n">
        <v>1073.99</v>
      </c>
      <c r="G929" s="43" t="inlineStr">
        <is>
          <t>the Crest Lite; Triton Crest Lite; Triiton Crest Lite; Crest Lite smartphone</t>
        </is>
      </c>
      <c r="H929" s="43" t="inlineStr">
        <is>
          <t>1 year limited</t>
        </is>
      </c>
      <c r="I929" s="43" t="inlineStr">
        <is>
          <t>FCC, CE, IP68, Qi2</t>
        </is>
      </c>
      <c r="J929" s="43" t="inlineStr">
        <is>
          <t>MediaTek Dimensity 9400</t>
        </is>
      </c>
      <c r="K929" s="43" t="inlineStr">
        <is>
          <t>Arm Immortalis-G925</t>
        </is>
      </c>
      <c r="L929" s="43" t="inlineStr">
        <is>
          <t>LTPO AMOLED, 1-120Hz</t>
        </is>
      </c>
      <c r="M929" s="43" t="inlineStr">
        <is>
          <t>1440x3120</t>
        </is>
      </c>
      <c r="N929" s="43" t="inlineStr">
        <is>
          <t>USB-C (USB 3.2), nano-SIM + eSIM</t>
        </is>
      </c>
      <c r="O929" s="43" t="inlineStr">
        <is>
          <t>Android 15</t>
        </is>
      </c>
      <c r="P929" s="43" t="n">
        <v>22</v>
      </c>
      <c r="Q929" s="46" t="n">
        <v>179</v>
      </c>
      <c r="R929" s="43" t="inlineStr">
        <is>
          <t>Lighter than Alpheus Drift Plus Flagship Smartphone [ALP-082-09] (179 g vs 185 g); Lower price than Amphitrite Pulse SE Flagship Smartphone [AMP-065-09] ($1,073.99 vs $1,168.99)</t>
        </is>
      </c>
      <c r="S929" s="43" t="inlineStr">
        <is>
          <t>photography, everyday, business</t>
        </is>
      </c>
      <c r="T929" s="0" t="inlineStr">
        <is>
          <t>in_stock</t>
        </is>
      </c>
      <c r="U929" s="0" t="n">
        <v>45</v>
      </c>
      <c r="V929" s="52" t="n">
        <v>1122.99</v>
      </c>
      <c r="W929" s="0" t="inlineStr">
        <is>
          <t>2026-08-02</t>
        </is>
      </c>
      <c r="X929" s="0" t="inlineStr">
        <is>
          <t>N/A</t>
        </is>
      </c>
      <c r="Y929" s="0" t="inlineStr">
        <is>
          <t>N/A</t>
        </is>
      </c>
      <c r="Z929" s="0" t="inlineStr">
        <is>
          <t>N/A</t>
        </is>
      </c>
      <c r="AA929" s="0" t="inlineStr">
        <is>
          <t>N/A</t>
        </is>
      </c>
    </row>
    <row r="930" ht="15.75" customHeight="1" s="51">
      <c r="A930" s="43" t="inlineStr">
        <is>
          <t>TRI-092-08</t>
        </is>
      </c>
      <c r="B930" s="43" t="inlineStr">
        <is>
          <t>Triton</t>
        </is>
      </c>
      <c r="C930" s="43" t="inlineStr">
        <is>
          <t>Smartphones &amp; Tablets</t>
        </is>
      </c>
      <c r="D930" s="43" t="inlineStr">
        <is>
          <t>Smartphone</t>
        </is>
      </c>
      <c r="E930" s="44" t="inlineStr">
        <is>
          <t>Triton Onyx Flip Foldable Phone</t>
        </is>
      </c>
      <c r="F930" s="45" t="n">
        <v>1122.99</v>
      </c>
      <c r="G930" s="43" t="inlineStr">
        <is>
          <t>the Onyx; Triton Onyx; Tirton Onyx; Onyx smartphone</t>
        </is>
      </c>
      <c r="H930" s="43" t="inlineStr">
        <is>
          <t>2 year limited</t>
        </is>
      </c>
      <c r="I930" s="43" t="inlineStr">
        <is>
          <t>FCC, CE, IPX8</t>
        </is>
      </c>
      <c r="J930" s="43" t="inlineStr">
        <is>
          <t>MediaTek Dimensity 9400</t>
        </is>
      </c>
      <c r="K930" s="43" t="inlineStr">
        <is>
          <t>Arm Immortalis-G925</t>
        </is>
      </c>
      <c r="L930" s="43" t="inlineStr">
        <is>
          <t>Foldable AMOLED inner + AMOLED cover screen</t>
        </is>
      </c>
      <c r="M930" s="43" t="inlineStr">
        <is>
          <t>1080x2640 inner / 720x748 cover</t>
        </is>
      </c>
      <c r="N930" s="43" t="inlineStr">
        <is>
          <t>USB-C (USB 3.2), nano-SIM + eSIM</t>
        </is>
      </c>
      <c r="O930" s="43" t="inlineStr">
        <is>
          <t>Android 15</t>
        </is>
      </c>
      <c r="P930" s="43" t="n">
        <v>18</v>
      </c>
      <c r="Q930" s="46" t="n">
        <v>180</v>
      </c>
      <c r="R930" s="43" t="inlineStr">
        <is>
          <t>Lighter than Athena Orbit Ultra Flip Foldable Phone [ATH-064-08] (180 g vs 188 g); Longer battery than Lachesis Zen Pro Flip Foldable Phone [LAC-071-07] (18 vs 16 hrs)</t>
        </is>
      </c>
      <c r="S930" s="43" t="inlineStr">
        <is>
          <t>style, everyday, compact</t>
        </is>
      </c>
      <c r="T930" s="0" t="inlineStr">
        <is>
          <t>in_stock</t>
        </is>
      </c>
      <c r="U930" s="0" t="n">
        <v>45</v>
      </c>
      <c r="V930" s="52" t="n">
        <v>1196.99</v>
      </c>
      <c r="W930" s="0" t="inlineStr">
        <is>
          <t>2026-09-06</t>
        </is>
      </c>
      <c r="X930" s="0" t="inlineStr">
        <is>
          <t>N/A</t>
        </is>
      </c>
      <c r="Y930" s="0" t="inlineStr">
        <is>
          <t>N/A</t>
        </is>
      </c>
      <c r="Z930" s="0" t="inlineStr">
        <is>
          <t>N/A</t>
        </is>
      </c>
      <c r="AA930" s="0" t="inlineStr">
        <is>
          <t>N/A</t>
        </is>
      </c>
    </row>
    <row r="931" ht="15.75" customHeight="1" s="51">
      <c r="A931" s="43" t="inlineStr">
        <is>
          <t>TRI-092-09</t>
        </is>
      </c>
      <c r="B931" s="43" t="inlineStr">
        <is>
          <t>Triton</t>
        </is>
      </c>
      <c r="C931" s="43" t="inlineStr">
        <is>
          <t>Smartphones &amp; Tablets</t>
        </is>
      </c>
      <c r="D931" s="43" t="inlineStr">
        <is>
          <t>Tablet</t>
        </is>
      </c>
      <c r="E931" s="44" t="inlineStr">
        <is>
          <t>Triton Vibe Air 13" Pro Tablet</t>
        </is>
      </c>
      <c r="F931" s="45" t="n">
        <v>1825.99</v>
      </c>
      <c r="G931" s="43" t="inlineStr">
        <is>
          <t>the Vibe Air; Triton Vibe Air; Trriton Vibe Air; Vibe Air tablet</t>
        </is>
      </c>
      <c r="H931" s="43" t="inlineStr">
        <is>
          <t>2 year limited</t>
        </is>
      </c>
      <c r="I931" s="43" t="inlineStr">
        <is>
          <t>FCC, CE, Energy Star</t>
        </is>
      </c>
      <c r="J931" s="43" t="inlineStr">
        <is>
          <t>Qualcomm Snapdragon 8 Elite</t>
        </is>
      </c>
      <c r="K931" s="43" t="inlineStr">
        <is>
          <t>Qualcomm Adreno 830</t>
        </is>
      </c>
      <c r="L931" s="43" t="inlineStr">
        <is>
          <t>Mini-LED, 144Hz</t>
        </is>
      </c>
      <c r="M931" s="43" t="inlineStr">
        <is>
          <t>2960x1848</t>
        </is>
      </c>
      <c r="N931" s="43" t="inlineStr">
        <is>
          <t>USB-C (USB 3.2), magnetic keyboard connector</t>
        </is>
      </c>
      <c r="O931" s="43" t="inlineStr">
        <is>
          <t>Android 15</t>
        </is>
      </c>
      <c r="P931" s="43" t="n">
        <v>12</v>
      </c>
      <c r="Q931" s="46" t="n">
        <v>599</v>
      </c>
      <c r="R931" s="43" t="inlineStr">
        <is>
          <t>Longer battery than Aglaea Strata SE 13" Pro Tablet [AGL-079-10] (12 vs 11 hrs); Lighter than Tyche Lumen Plus 13" Pro Tablet [TYC-055-08] (599 g vs 667 g)</t>
        </is>
      </c>
      <c r="S931" s="43" t="inlineStr">
        <is>
          <t>creative work, productivity, drawing</t>
        </is>
      </c>
      <c r="T931" s="0" t="inlineStr">
        <is>
          <t>in_stock</t>
        </is>
      </c>
      <c r="U931" s="0" t="n">
        <v>45</v>
      </c>
      <c r="V931" s="52" t="n">
        <v>2010.99</v>
      </c>
      <c r="W931" s="0" t="inlineStr">
        <is>
          <t>2026-08-15</t>
        </is>
      </c>
      <c r="X931" s="0" t="inlineStr">
        <is>
          <t>N/A</t>
        </is>
      </c>
      <c r="Y931" s="0" t="inlineStr">
        <is>
          <t>N/A</t>
        </is>
      </c>
      <c r="Z931" s="0" t="inlineStr">
        <is>
          <t>N/A</t>
        </is>
      </c>
      <c r="AA931" s="0" t="inlineStr">
        <is>
          <t>N/A</t>
        </is>
      </c>
    </row>
    <row r="932" ht="15.75" customHeight="1" s="51">
      <c r="A932" s="43" t="inlineStr">
        <is>
          <t>TRI-092-10</t>
        </is>
      </c>
      <c r="B932" s="43" t="inlineStr">
        <is>
          <t>Triton</t>
        </is>
      </c>
      <c r="C932" s="43" t="inlineStr">
        <is>
          <t>Smartphones &amp; Tablets</t>
        </is>
      </c>
      <c r="D932" s="43" t="inlineStr">
        <is>
          <t>Smartphone</t>
        </is>
      </c>
      <c r="E932" s="44" t="inlineStr">
        <is>
          <t>Triton Vertex SE Foldable Phone</t>
        </is>
      </c>
      <c r="F932" s="45" t="n">
        <v>2083.99</v>
      </c>
      <c r="G932" s="43" t="inlineStr">
        <is>
          <t>the Vertex SE; Triton Vertex SE; Tritoon Vertex SE; Vertex SE smartphone</t>
        </is>
      </c>
      <c r="H932" s="43" t="inlineStr">
        <is>
          <t>2 year limited</t>
        </is>
      </c>
      <c r="I932" s="43" t="inlineStr">
        <is>
          <t>FCC, CE, IPX8</t>
        </is>
      </c>
      <c r="J932" s="43" t="inlineStr">
        <is>
          <t>Qualcomm Snapdragon 8 Elite</t>
        </is>
      </c>
      <c r="K932" s="43" t="inlineStr">
        <is>
          <t>Qualcomm Adreno 830</t>
        </is>
      </c>
      <c r="L932" s="43" t="inlineStr">
        <is>
          <t>Foldable LTPO AMOLED inner + AMOLED cover, 120Hz</t>
        </is>
      </c>
      <c r="M932" s="43" t="inlineStr">
        <is>
          <t>2160x1856 inner / 1080x2376 cover</t>
        </is>
      </c>
      <c r="N932" s="43" t="inlineStr">
        <is>
          <t>USB-C (USB 3.2), nano-SIM + eSIM</t>
        </is>
      </c>
      <c r="O932" s="43" t="inlineStr">
        <is>
          <t>Android 15</t>
        </is>
      </c>
      <c r="P932" s="43" t="n">
        <v>23</v>
      </c>
      <c r="Q932" s="46" t="n">
        <v>232</v>
      </c>
      <c r="R932" s="43" t="inlineStr">
        <is>
          <t>Lighter than Hecate Vibe Air Foldable Phone [HEC-052-09] (232 g vs 269 g); Lower price than Clotho Orbit Ultra Foldable Phone [CLO-062-10] ($2,083.99 vs $2,169.99)</t>
        </is>
      </c>
      <c r="S932" s="43" t="inlineStr">
        <is>
          <t>multitasking, business, media</t>
        </is>
      </c>
      <c r="T932" s="0" t="inlineStr">
        <is>
          <t>in_stock</t>
        </is>
      </c>
      <c r="U932" s="0" t="n">
        <v>45</v>
      </c>
      <c r="V932" s="52" t="n">
        <v>2324.99</v>
      </c>
      <c r="W932" s="0" t="inlineStr">
        <is>
          <t>2026-09-21</t>
        </is>
      </c>
      <c r="X932" s="0" t="inlineStr">
        <is>
          <t>N/A</t>
        </is>
      </c>
      <c r="Y932" s="0" t="inlineStr">
        <is>
          <t>N/A</t>
        </is>
      </c>
      <c r="Z932" s="0" t="inlineStr">
        <is>
          <t>N/A</t>
        </is>
      </c>
      <c r="AA932" s="0" t="inlineStr">
        <is>
          <t>N/A</t>
        </is>
      </c>
    </row>
    <row r="933" ht="15.75" customHeight="1" s="51">
      <c r="A933" s="43" t="inlineStr">
        <is>
          <t>THE-093-01</t>
        </is>
      </c>
      <c r="B933" s="43" t="inlineStr">
        <is>
          <t>Thetis</t>
        </is>
      </c>
      <c r="C933" s="43" t="inlineStr">
        <is>
          <t>Smartphones &amp; Tablets</t>
        </is>
      </c>
      <c r="D933" s="43" t="inlineStr">
        <is>
          <t>Smartphone</t>
        </is>
      </c>
      <c r="E933" s="44" t="inlineStr">
        <is>
          <t>Thetis Wave Ultra Budget Smartphone</t>
        </is>
      </c>
      <c r="F933" s="45" t="n">
        <v>133.99</v>
      </c>
      <c r="G933" s="43" t="inlineStr">
        <is>
          <t>the Wave Ultra; Thetis Wave Ultra; Thetiis Wave Ultra; Wave Ultra smartphone</t>
        </is>
      </c>
      <c r="H933" s="43" t="inlineStr">
        <is>
          <t>1 year limited</t>
        </is>
      </c>
      <c r="I933" s="43" t="inlineStr">
        <is>
          <t>FCC, CE, IP54</t>
        </is>
      </c>
      <c r="J933" s="43" t="inlineStr">
        <is>
          <t>MediaTek Dimensity 6300</t>
        </is>
      </c>
      <c r="K933" s="43" t="inlineStr">
        <is>
          <t>Arm Mali-G57 MC2</t>
        </is>
      </c>
      <c r="L933" s="43" t="inlineStr">
        <is>
          <t>IPS LCD, 90Hz</t>
        </is>
      </c>
      <c r="M933" s="43" t="inlineStr">
        <is>
          <t>720x1600</t>
        </is>
      </c>
      <c r="N933" s="43" t="inlineStr">
        <is>
          <t>USB-C (USB 2.0), nano-SIM + eSIM, 3.5mm headphone jack, microSD slot</t>
        </is>
      </c>
      <c r="O933" s="43" t="inlineStr">
        <is>
          <t>Android 14</t>
        </is>
      </c>
      <c r="P933" s="43" t="n">
        <v>20</v>
      </c>
      <c r="Q933" s="46" t="n">
        <v>199</v>
      </c>
      <c r="R933" s="43" t="inlineStr">
        <is>
          <t>Lower price than Aglaea Lumen SE Budget Smartphone [AGL-079-03] ($133.99 vs $373.99); Lighter than Coeus Sable Pro Budget Smartphone [COE-075-01] (199 g vs 209 g)</t>
        </is>
      </c>
      <c r="S933" s="43" t="inlineStr">
        <is>
          <t>budget, first phone, everyday</t>
        </is>
      </c>
      <c r="T933" s="0" t="inlineStr">
        <is>
          <t>in_stock</t>
        </is>
      </c>
      <c r="U933" s="0" t="n">
        <v>14</v>
      </c>
      <c r="V933" s="52" t="n">
        <v>149.99</v>
      </c>
      <c r="W933" s="0" t="inlineStr">
        <is>
          <t>2026-08-01</t>
        </is>
      </c>
      <c r="X933" s="0" t="inlineStr">
        <is>
          <t>N/A</t>
        </is>
      </c>
      <c r="Y933" s="0" t="inlineStr">
        <is>
          <t>N/A</t>
        </is>
      </c>
      <c r="Z933" s="0" t="inlineStr">
        <is>
          <t>N/A</t>
        </is>
      </c>
      <c r="AA933" s="0" t="inlineStr">
        <is>
          <t>N/A</t>
        </is>
      </c>
    </row>
    <row r="934" ht="15.75" customHeight="1" s="51">
      <c r="A934" s="43" t="inlineStr">
        <is>
          <t>THE-093-02</t>
        </is>
      </c>
      <c r="B934" s="43" t="inlineStr">
        <is>
          <t>Thetis</t>
        </is>
      </c>
      <c r="C934" s="43" t="inlineStr">
        <is>
          <t>Smartphones &amp; Tablets</t>
        </is>
      </c>
      <c r="D934" s="43" t="inlineStr">
        <is>
          <t>Tablet</t>
        </is>
      </c>
      <c r="E934" s="44" t="inlineStr">
        <is>
          <t>Thetis Axis X 8" Mini Tablet</t>
        </is>
      </c>
      <c r="F934" s="45" t="n">
        <v>332.99</v>
      </c>
      <c r="G934" s="43" t="inlineStr">
        <is>
          <t>the Axis X; Thetis Axis X; Thetiis Axis X; Axis X tablet</t>
        </is>
      </c>
      <c r="H934" s="43" t="inlineStr">
        <is>
          <t>1 year limited</t>
        </is>
      </c>
      <c r="I934" s="43" t="inlineStr">
        <is>
          <t>FCC, CE, TUV Rheinland Low Blue Light</t>
        </is>
      </c>
      <c r="J934" s="43" t="inlineStr">
        <is>
          <t>Qualcomm Snapdragon 6 Gen 1</t>
        </is>
      </c>
      <c r="K934" s="43" t="inlineStr">
        <is>
          <t>Qualcomm Adreno 710</t>
        </is>
      </c>
      <c r="L934" s="43" t="inlineStr">
        <is>
          <t>IPS LCD, 60Hz</t>
        </is>
      </c>
      <c r="M934" s="43" t="inlineStr">
        <is>
          <t>1200x1920</t>
        </is>
      </c>
      <c r="N934" s="43" t="inlineStr">
        <is>
          <t>USB-C (USB 2.0), microSD slot</t>
        </is>
      </c>
      <c r="O934" s="43" t="inlineStr">
        <is>
          <t>Android 15</t>
        </is>
      </c>
      <c r="P934" s="43" t="n">
        <v>10</v>
      </c>
      <c r="Q934" s="46" t="n">
        <v>338</v>
      </c>
      <c r="R934" s="43" t="inlineStr">
        <is>
          <t>Longer battery than Alpheus Volt Plus 8" Mini Tablet [ALP-082-02] (10 vs 9 hrs); Lower price than Eupheme Axis Ultra 8" Mini Tablet [EUP-084-03] ($332.99 vs $410.99)</t>
        </is>
      </c>
      <c r="S934" s="43" t="inlineStr">
        <is>
          <t>reading, travel, gaming</t>
        </is>
      </c>
      <c r="T934" s="0" t="inlineStr">
        <is>
          <t>in_stock</t>
        </is>
      </c>
      <c r="U934" s="0" t="n">
        <v>14</v>
      </c>
      <c r="V934" s="52" t="n">
        <v>353.99</v>
      </c>
      <c r="W934" s="0" t="inlineStr">
        <is>
          <t>2026-09-05</t>
        </is>
      </c>
      <c r="X934" s="0" t="inlineStr">
        <is>
          <t>N/A</t>
        </is>
      </c>
      <c r="Y934" s="0" t="inlineStr">
        <is>
          <t>N/A</t>
        </is>
      </c>
      <c r="Z934" s="0" t="inlineStr">
        <is>
          <t>N/A</t>
        </is>
      </c>
      <c r="AA934" s="0" t="inlineStr">
        <is>
          <t>N/A</t>
        </is>
      </c>
    </row>
    <row r="935" ht="15.75" customHeight="1" s="51">
      <c r="A935" s="43" t="inlineStr">
        <is>
          <t>THE-093-03</t>
        </is>
      </c>
      <c r="B935" s="43" t="inlineStr">
        <is>
          <t>Thetis</t>
        </is>
      </c>
      <c r="C935" s="43" t="inlineStr">
        <is>
          <t>Smartphones &amp; Tablets</t>
        </is>
      </c>
      <c r="D935" s="43" t="inlineStr">
        <is>
          <t>Smartphone</t>
        </is>
      </c>
      <c r="E935" s="44" t="inlineStr">
        <is>
          <t>Thetis Sable Max Rugged Smartphone</t>
        </is>
      </c>
      <c r="F935" s="45" t="n">
        <v>562.99</v>
      </c>
      <c r="G935" s="43" t="inlineStr">
        <is>
          <t>the Sable Max; Thetis Sable Max; Theetis Sable Max; Sable Max smartphone</t>
        </is>
      </c>
      <c r="H935" s="43" t="inlineStr">
        <is>
          <t>2 year limited</t>
        </is>
      </c>
      <c r="I935" s="43" t="inlineStr">
        <is>
          <t>FCC, CE, IP69K, MIL-STD-810H</t>
        </is>
      </c>
      <c r="J935" s="43" t="inlineStr">
        <is>
          <t>Qualcomm Snapdragon 7+ Gen 3</t>
        </is>
      </c>
      <c r="K935" s="43" t="inlineStr">
        <is>
          <t>Qualcomm Adreno 732</t>
        </is>
      </c>
      <c r="L935" s="43" t="inlineStr">
        <is>
          <t>IPS LCD, Gorilla Glass Victus, 120Hz</t>
        </is>
      </c>
      <c r="M935" s="43" t="inlineStr">
        <is>
          <t>1080x2400</t>
        </is>
      </c>
      <c r="N935" s="43" t="inlineStr">
        <is>
          <t>USB-C (USB 2.0), nano-SIM + eSIM, 3.5mm headphone jack, microSD slot</t>
        </is>
      </c>
      <c r="O935" s="43" t="inlineStr">
        <is>
          <t>Android 15</t>
        </is>
      </c>
      <c r="P935" s="43" t="n">
        <v>36</v>
      </c>
      <c r="Q935" s="46" t="n">
        <v>335</v>
      </c>
      <c r="R935" s="43" t="inlineStr">
        <is>
          <t>Longer battery than Lachesis Titan Plus Rugged Smartphone [LAC-071-04] (36 vs 30 hrs); Lower price than Hecate Lumen Lite Rugged Smartphone [HEC-052-05] ($562.99 vs $625.99)</t>
        </is>
      </c>
      <c r="S935" s="43" t="inlineStr">
        <is>
          <t>outdoor, construction, fieldwork</t>
        </is>
      </c>
      <c r="T935" s="0" t="inlineStr">
        <is>
          <t>in_stock</t>
        </is>
      </c>
      <c r="U935" s="0" t="n">
        <v>14</v>
      </c>
      <c r="V935" s="52" t="n">
        <v>613.99</v>
      </c>
      <c r="W935" s="0" t="inlineStr">
        <is>
          <t>2026-09-20</t>
        </is>
      </c>
      <c r="X935" s="0" t="inlineStr">
        <is>
          <t>N/A</t>
        </is>
      </c>
      <c r="Y935" s="0" t="inlineStr">
        <is>
          <t>N/A</t>
        </is>
      </c>
      <c r="Z935" s="0" t="inlineStr">
        <is>
          <t>N/A</t>
        </is>
      </c>
      <c r="AA935" s="0" t="inlineStr">
        <is>
          <t>N/A</t>
        </is>
      </c>
    </row>
    <row r="936" ht="15.75" customHeight="1" s="51">
      <c r="A936" s="43" t="inlineStr">
        <is>
          <t>THE-093-04</t>
        </is>
      </c>
      <c r="B936" s="43" t="inlineStr">
        <is>
          <t>Thetis</t>
        </is>
      </c>
      <c r="C936" s="43" t="inlineStr">
        <is>
          <t>Smartphones &amp; Tablets</t>
        </is>
      </c>
      <c r="D936" s="43" t="inlineStr">
        <is>
          <t>Tablet</t>
        </is>
      </c>
      <c r="E936" s="44" t="inlineStr">
        <is>
          <t>Thetis Volt Lite Drawing Tablet with Stylus</t>
        </is>
      </c>
      <c r="F936" s="45" t="n">
        <v>568.99</v>
      </c>
      <c r="G936" s="43" t="inlineStr">
        <is>
          <t>the Volt Lite; Thetis Volt Lite; Theetis Volt Lite; Volt Lite tablet</t>
        </is>
      </c>
      <c r="H936" s="43" t="inlineStr">
        <is>
          <t>1 year limited</t>
        </is>
      </c>
      <c r="I936" s="43" t="inlineStr">
        <is>
          <t>FCC, CE, TUV Rheinland Low Blue Light</t>
        </is>
      </c>
      <c r="J936" s="43" t="inlineStr">
        <is>
          <t>Qualcomm Snapdragon 7+ Gen 3</t>
        </is>
      </c>
      <c r="K936" s="43" t="inlineStr">
        <is>
          <t>Qualcomm Adreno 732</t>
        </is>
      </c>
      <c r="L936" s="43" t="inlineStr">
        <is>
          <t>IPS LCD anti-glare, pen digitizer</t>
        </is>
      </c>
      <c r="M936" s="43" t="inlineStr">
        <is>
          <t>2000x1200</t>
        </is>
      </c>
      <c r="N936" s="43" t="inlineStr">
        <is>
          <t>USB-C (USB 2.0), microSD slot</t>
        </is>
      </c>
      <c r="O936" s="43" t="inlineStr">
        <is>
          <t>Android 15</t>
        </is>
      </c>
      <c r="P936" s="43" t="n">
        <v>8</v>
      </c>
      <c r="Q936" s="46" t="n">
        <v>619</v>
      </c>
      <c r="R936" s="43" t="inlineStr">
        <is>
          <t>Lower price than Lethe Echo X Drawing Tablet with Stylus [LET-086-09] ($568.99 vs $1,222.99); Lighter than Comus Axis Ultra Drawing Tablet with Stylus [COM-078-08] (619 g vs 629 g)</t>
        </is>
      </c>
      <c r="S936" s="43" t="inlineStr">
        <is>
          <t>drawing, design, note-taking</t>
        </is>
      </c>
      <c r="T936" s="0" t="inlineStr">
        <is>
          <t>low_stock</t>
        </is>
      </c>
      <c r="U936" s="0" t="n">
        <v>14</v>
      </c>
      <c r="V936" s="52" t="n">
        <v>649.99</v>
      </c>
      <c r="W936" s="0" t="inlineStr">
        <is>
          <t>2026-08-06</t>
        </is>
      </c>
      <c r="X936" s="0" t="inlineStr">
        <is>
          <t>N/A</t>
        </is>
      </c>
      <c r="Y936" s="0" t="inlineStr">
        <is>
          <t>N/A</t>
        </is>
      </c>
      <c r="Z936" s="0" t="inlineStr">
        <is>
          <t>N/A</t>
        </is>
      </c>
      <c r="AA936" s="0" t="inlineStr">
        <is>
          <t>N/A</t>
        </is>
      </c>
    </row>
    <row r="937" ht="15.75" customHeight="1" s="51">
      <c r="A937" s="43" t="inlineStr">
        <is>
          <t>THE-093-05</t>
        </is>
      </c>
      <c r="B937" s="43" t="inlineStr">
        <is>
          <t>Thetis</t>
        </is>
      </c>
      <c r="C937" s="43" t="inlineStr">
        <is>
          <t>Smartphones &amp; Tablets</t>
        </is>
      </c>
      <c r="D937" s="43" t="inlineStr">
        <is>
          <t>Tablet</t>
        </is>
      </c>
      <c r="E937" s="44" t="inlineStr">
        <is>
          <t>Thetis Onyx 5G Tablet</t>
        </is>
      </c>
      <c r="F937" s="45" t="n">
        <v>618.99</v>
      </c>
      <c r="G937" s="43" t="inlineStr">
        <is>
          <t>the Onyx; Thetis Onyx; Thetiis Onyx; Onyx tablet</t>
        </is>
      </c>
      <c r="H937" s="43" t="inlineStr">
        <is>
          <t>1 year limited</t>
        </is>
      </c>
      <c r="I937" s="43" t="inlineStr">
        <is>
          <t>FCC, CE</t>
        </is>
      </c>
      <c r="J937" s="43" t="inlineStr">
        <is>
          <t>Qualcomm Snapdragon 7+ Gen 3</t>
        </is>
      </c>
      <c r="K937" s="43" t="inlineStr">
        <is>
          <t>Qualcomm Adreno 732</t>
        </is>
      </c>
      <c r="L937" s="43" t="inlineStr">
        <is>
          <t>IPS LCD, 90Hz</t>
        </is>
      </c>
      <c r="M937" s="43" t="inlineStr">
        <is>
          <t>1600x2560</t>
        </is>
      </c>
      <c r="N937" s="43" t="inlineStr">
        <is>
          <t>USB-C (USB 2.0), microSD slot, nano-SIM + eSIM</t>
        </is>
      </c>
      <c r="O937" s="43" t="inlineStr">
        <is>
          <t>Android 15</t>
        </is>
      </c>
      <c r="P937" s="43" t="n">
        <v>14</v>
      </c>
      <c r="Q937" s="46" t="n">
        <v>505</v>
      </c>
      <c r="R937" s="43" t="inlineStr">
        <is>
          <t>Longer battery than Paean Nova Air 5G Tablet [PAE-066-05] (14 vs 13 hrs); Lighter than Triton Nimbus X 5G Tablet [TRI-092-06] (505 g vs 535 g)</t>
        </is>
      </c>
      <c r="S937" s="43" t="inlineStr">
        <is>
          <t>travel, streaming, work on the go</t>
        </is>
      </c>
      <c r="T937" s="0" t="inlineStr">
        <is>
          <t>low_stock</t>
        </is>
      </c>
      <c r="U937" s="0" t="n">
        <v>14</v>
      </c>
      <c r="V937" s="52" t="n">
        <v>644.99</v>
      </c>
      <c r="W937" s="0" t="inlineStr">
        <is>
          <t>2026-08-23</t>
        </is>
      </c>
      <c r="X937" s="0" t="inlineStr">
        <is>
          <t>N/A</t>
        </is>
      </c>
      <c r="Y937" s="0" t="inlineStr">
        <is>
          <t>N/A</t>
        </is>
      </c>
      <c r="Z937" s="0" t="inlineStr">
        <is>
          <t>N/A</t>
        </is>
      </c>
      <c r="AA937" s="0" t="inlineStr">
        <is>
          <t>N/A</t>
        </is>
      </c>
    </row>
    <row r="938" ht="15.75" customHeight="1" s="51">
      <c r="A938" s="43" t="inlineStr">
        <is>
          <t>THE-093-06</t>
        </is>
      </c>
      <c r="B938" s="43" t="inlineStr">
        <is>
          <t>Thetis</t>
        </is>
      </c>
      <c r="C938" s="43" t="inlineStr">
        <is>
          <t>Smartphones &amp; Tablets</t>
        </is>
      </c>
      <c r="D938" s="43" t="inlineStr">
        <is>
          <t>Smartphone</t>
        </is>
      </c>
      <c r="E938" s="44" t="inlineStr">
        <is>
          <t>Thetis Sable SE Compact Smartphone</t>
        </is>
      </c>
      <c r="F938" s="45" t="n">
        <v>669.99</v>
      </c>
      <c r="G938" s="43" t="inlineStr">
        <is>
          <t>the Sable SE; Thetis Sable SE; Theetis Sable SE; Sable SE smartphone</t>
        </is>
      </c>
      <c r="H938" s="43" t="inlineStr">
        <is>
          <t>1 year limited</t>
        </is>
      </c>
      <c r="I938" s="43" t="inlineStr">
        <is>
          <t>FCC, CE, IP68</t>
        </is>
      </c>
      <c r="J938" s="43" t="inlineStr">
        <is>
          <t>MediaTek Dimensity 8300</t>
        </is>
      </c>
      <c r="K938" s="43" t="inlineStr">
        <is>
          <t>Arm Mali-G615 MC6</t>
        </is>
      </c>
      <c r="L938" s="43" t="inlineStr">
        <is>
          <t>AMOLED, 120Hz</t>
        </is>
      </c>
      <c r="M938" s="43" t="inlineStr">
        <is>
          <t>1080x2340</t>
        </is>
      </c>
      <c r="N938" s="43" t="inlineStr">
        <is>
          <t>USB-C (USB 2.0), nano-SIM + eSIM</t>
        </is>
      </c>
      <c r="O938" s="43" t="inlineStr">
        <is>
          <t>Android 15</t>
        </is>
      </c>
      <c r="P938" s="43" t="n">
        <v>22</v>
      </c>
      <c r="Q938" s="46" t="n">
        <v>159</v>
      </c>
      <c r="R938" s="43" t="inlineStr">
        <is>
          <t>Lower price than Clotho Quanta Lite Compact Smartphone [CLO-062-07] ($669.99 vs $750.99); Lighter than Iapetus Arc SE Compact Smartphone [IAP-096-05] (159 g vs 165 g)</t>
        </is>
      </c>
      <c r="S938" s="43" t="inlineStr">
        <is>
          <t>everyday, one-handed use</t>
        </is>
      </c>
      <c r="T938" s="0" t="inlineStr">
        <is>
          <t>in_stock</t>
        </is>
      </c>
      <c r="U938" s="0" t="n">
        <v>14</v>
      </c>
      <c r="V938" s="52" t="n">
        <v>758.99</v>
      </c>
      <c r="W938" s="0" t="inlineStr">
        <is>
          <t>2026-08-31</t>
        </is>
      </c>
      <c r="X938" s="0" t="inlineStr">
        <is>
          <t>N/A</t>
        </is>
      </c>
      <c r="Y938" s="0" t="inlineStr">
        <is>
          <t>N/A</t>
        </is>
      </c>
      <c r="Z938" s="0" t="inlineStr">
        <is>
          <t>N/A</t>
        </is>
      </c>
      <c r="AA938" s="0" t="inlineStr">
        <is>
          <t>N/A</t>
        </is>
      </c>
    </row>
    <row r="939" ht="15.75" customHeight="1" s="51">
      <c r="A939" s="43" t="inlineStr">
        <is>
          <t>THE-093-07</t>
        </is>
      </c>
      <c r="B939" s="43" t="inlineStr">
        <is>
          <t>Thetis</t>
        </is>
      </c>
      <c r="C939" s="43" t="inlineStr">
        <is>
          <t>Smartphones &amp; Tablets</t>
        </is>
      </c>
      <c r="D939" s="43" t="inlineStr">
        <is>
          <t>Tablet</t>
        </is>
      </c>
      <c r="E939" s="44" t="inlineStr">
        <is>
          <t>Thetis Onyx Max 11" Tablet</t>
        </is>
      </c>
      <c r="F939" s="45" t="n">
        <v>711.99</v>
      </c>
      <c r="G939" s="43" t="inlineStr">
        <is>
          <t>the Onyx Max; Thetis Onyx Max; Theits Onyx Max; Onyx Max tablet</t>
        </is>
      </c>
      <c r="H939" s="43" t="inlineStr">
        <is>
          <t>2 year limited</t>
        </is>
      </c>
      <c r="I939" s="43" t="inlineStr">
        <is>
          <t>FCC, CE, Energy Star</t>
        </is>
      </c>
      <c r="J939" s="43" t="inlineStr">
        <is>
          <t>MediaTek Dimensity 8300</t>
        </is>
      </c>
      <c r="K939" s="43" t="inlineStr">
        <is>
          <t>Arm Mali-G615 MC6</t>
        </is>
      </c>
      <c r="L939" s="43" t="inlineStr">
        <is>
          <t>OLED, 120Hz</t>
        </is>
      </c>
      <c r="M939" s="43" t="inlineStr">
        <is>
          <t>1752x2800</t>
        </is>
      </c>
      <c r="N939" s="43" t="inlineStr">
        <is>
          <t>USB-C (USB 3.2), microSD slot</t>
        </is>
      </c>
      <c r="O939" s="43" t="inlineStr">
        <is>
          <t>Android 15</t>
        </is>
      </c>
      <c r="P939" s="43" t="n">
        <v>11</v>
      </c>
      <c r="Q939" s="46" t="n">
        <v>461</v>
      </c>
      <c r="R939" s="43" t="inlineStr">
        <is>
          <t>Lighter than Eurus Nova Plus 11" Tablet [EUR-088-02] (461 g vs 470 g); Lower price than Athena Orbit Pro 11" Tablet [ATH-064-07] ($711.99 vs $790.99)</t>
        </is>
      </c>
      <c r="S939" s="43" t="inlineStr">
        <is>
          <t>school, streaming, reading</t>
        </is>
      </c>
      <c r="T939" s="0" t="inlineStr">
        <is>
          <t>in_stock</t>
        </is>
      </c>
      <c r="U939" s="0" t="n">
        <v>14</v>
      </c>
      <c r="V939" s="52" t="n">
        <v>744.99</v>
      </c>
      <c r="W939" s="0" t="inlineStr">
        <is>
          <t>2026-09-14</t>
        </is>
      </c>
      <c r="X939" s="0" t="inlineStr">
        <is>
          <t>N/A</t>
        </is>
      </c>
      <c r="Y939" s="0" t="inlineStr">
        <is>
          <t>N/A</t>
        </is>
      </c>
      <c r="Z939" s="0" t="inlineStr">
        <is>
          <t>N/A</t>
        </is>
      </c>
      <c r="AA939" s="0" t="inlineStr">
        <is>
          <t>N/A</t>
        </is>
      </c>
    </row>
    <row r="940" ht="15.75" customHeight="1" s="51">
      <c r="A940" s="43" t="inlineStr">
        <is>
          <t>THE-093-08</t>
        </is>
      </c>
      <c r="B940" s="43" t="inlineStr">
        <is>
          <t>Thetis</t>
        </is>
      </c>
      <c r="C940" s="43" t="inlineStr">
        <is>
          <t>Smartphones &amp; Tablets</t>
        </is>
      </c>
      <c r="D940" s="43" t="inlineStr">
        <is>
          <t>Smartphone</t>
        </is>
      </c>
      <c r="E940" s="44" t="inlineStr">
        <is>
          <t>Thetis Pulse Lite Flagship Smartphone</t>
        </is>
      </c>
      <c r="F940" s="45" t="n">
        <v>859.99</v>
      </c>
      <c r="G940" s="43" t="inlineStr">
        <is>
          <t>the Pulse Lite; Thetis Pulse Lite; Theti Pulse Lite; Pulse Lite smartphone</t>
        </is>
      </c>
      <c r="H940" s="43" t="inlineStr">
        <is>
          <t>1 year limited</t>
        </is>
      </c>
      <c r="I940" s="43" t="inlineStr">
        <is>
          <t>FCC, CE, IP68, Qi2</t>
        </is>
      </c>
      <c r="J940" s="43" t="inlineStr">
        <is>
          <t>Qualcomm Snapdragon 8 Gen 3</t>
        </is>
      </c>
      <c r="K940" s="43" t="inlineStr">
        <is>
          <t>Qualcomm Adreno 750</t>
        </is>
      </c>
      <c r="L940" s="43" t="inlineStr">
        <is>
          <t>AMOLED, 120Hz</t>
        </is>
      </c>
      <c r="M940" s="43" t="inlineStr">
        <is>
          <t>1080x2400</t>
        </is>
      </c>
      <c r="N940" s="43" t="inlineStr">
        <is>
          <t>USB-C (USB 3.2), nano-SIM + eSIM</t>
        </is>
      </c>
      <c r="O940" s="43" t="inlineStr">
        <is>
          <t>Android 15</t>
        </is>
      </c>
      <c r="P940" s="43" t="n">
        <v>24</v>
      </c>
      <c r="Q940" s="46" t="n">
        <v>170</v>
      </c>
      <c r="R940" s="43" t="inlineStr">
        <is>
          <t>Longer battery than Coeus Lumen SE Flagship Smartphone [COE-075-08] (24 vs 23 hrs); Lower price than Alpheus Drift Plus Flagship Smartphone [ALP-082-09] ($859.99 vs $1,068.99)</t>
        </is>
      </c>
      <c r="S940" s="43" t="inlineStr">
        <is>
          <t>photography, everyday, business</t>
        </is>
      </c>
      <c r="T940" s="0" t="inlineStr">
        <is>
          <t>in_stock</t>
        </is>
      </c>
      <c r="U940" s="0" t="n">
        <v>14</v>
      </c>
      <c r="V940" s="52" t="n">
        <v>945.99</v>
      </c>
      <c r="W940" s="0" t="inlineStr">
        <is>
          <t>2026-08-26</t>
        </is>
      </c>
      <c r="X940" s="0" t="inlineStr">
        <is>
          <t>N/A</t>
        </is>
      </c>
      <c r="Y940" s="0" t="inlineStr">
        <is>
          <t>N/A</t>
        </is>
      </c>
      <c r="Z940" s="0" t="inlineStr">
        <is>
          <t>N/A</t>
        </is>
      </c>
      <c r="AA940" s="0" t="inlineStr">
        <is>
          <t>N/A</t>
        </is>
      </c>
    </row>
    <row r="941" ht="15.75" customHeight="1" s="51">
      <c r="A941" s="43" t="inlineStr">
        <is>
          <t>THE-093-09</t>
        </is>
      </c>
      <c r="B941" s="43" t="inlineStr">
        <is>
          <t>Thetis</t>
        </is>
      </c>
      <c r="C941" s="43" t="inlineStr">
        <is>
          <t>Smartphones &amp; Tablets</t>
        </is>
      </c>
      <c r="D941" s="43" t="inlineStr">
        <is>
          <t>Smartphone</t>
        </is>
      </c>
      <c r="E941" s="44" t="inlineStr">
        <is>
          <t>Thetis Orbit Flip Foldable Phone</t>
        </is>
      </c>
      <c r="F941" s="45" t="n">
        <v>937.99</v>
      </c>
      <c r="G941" s="43" t="inlineStr">
        <is>
          <t>the Orbit; Thetis Orbit; Tehtis Orbit; Orbit smartphone</t>
        </is>
      </c>
      <c r="H941" s="43" t="inlineStr">
        <is>
          <t>1 year limited</t>
        </is>
      </c>
      <c r="I941" s="43" t="inlineStr">
        <is>
          <t>FCC, CE, IPX8</t>
        </is>
      </c>
      <c r="J941" s="43" t="inlineStr">
        <is>
          <t>Qualcomm Snapdragon 8 Gen 3</t>
        </is>
      </c>
      <c r="K941" s="43" t="inlineStr">
        <is>
          <t>Qualcomm Adreno 750</t>
        </is>
      </c>
      <c r="L941" s="43" t="inlineStr">
        <is>
          <t>Foldable AMOLED inner + AMOLED cover screen</t>
        </is>
      </c>
      <c r="M941" s="43" t="inlineStr">
        <is>
          <t>1080x2640 inner / 720x748 cover</t>
        </is>
      </c>
      <c r="N941" s="43" t="inlineStr">
        <is>
          <t>USB-C (USB 3.2), nano-SIM + eSIM</t>
        </is>
      </c>
      <c r="O941" s="43" t="inlineStr">
        <is>
          <t>Android 15</t>
        </is>
      </c>
      <c r="P941" s="43" t="n">
        <v>17</v>
      </c>
      <c r="Q941" s="46" t="n">
        <v>195</v>
      </c>
      <c r="R941" s="43" t="inlineStr">
        <is>
          <t>Lower price than Proteus Zen Max Flip Foldable Phone [PRO-070-06] ($937.99 vs $1,080.99); Lighter than Plutus Arc Max Flip Foldable Phone [PLU-100-07] (195 g vs 199 g)</t>
        </is>
      </c>
      <c r="S941" s="43" t="inlineStr">
        <is>
          <t>style, everyday, compact</t>
        </is>
      </c>
      <c r="T941" s="0" t="inlineStr">
        <is>
          <t>in_stock</t>
        </is>
      </c>
      <c r="U941" s="0" t="n">
        <v>14</v>
      </c>
      <c r="V941" s="52" t="n">
        <v>1030.99</v>
      </c>
      <c r="W941" s="0" t="inlineStr">
        <is>
          <t>2026-08-30</t>
        </is>
      </c>
      <c r="X941" s="0" t="inlineStr">
        <is>
          <t>N/A</t>
        </is>
      </c>
      <c r="Y941" s="0" t="inlineStr">
        <is>
          <t>N/A</t>
        </is>
      </c>
      <c r="Z941" s="0" t="inlineStr">
        <is>
          <t>N/A</t>
        </is>
      </c>
      <c r="AA941" s="0" t="inlineStr">
        <is>
          <t>N/A</t>
        </is>
      </c>
    </row>
    <row r="942" ht="15.75" customHeight="1" s="51">
      <c r="A942" s="43" t="inlineStr">
        <is>
          <t>THE-093-10</t>
        </is>
      </c>
      <c r="B942" s="43" t="inlineStr">
        <is>
          <t>Thetis</t>
        </is>
      </c>
      <c r="C942" s="43" t="inlineStr">
        <is>
          <t>Smartphones &amp; Tablets</t>
        </is>
      </c>
      <c r="D942" s="43" t="inlineStr">
        <is>
          <t>Smartphone</t>
        </is>
      </c>
      <c r="E942" s="44" t="inlineStr">
        <is>
          <t>Thetis Volt Air Pro Max Smartphone</t>
        </is>
      </c>
      <c r="F942" s="45" t="n">
        <v>1585.99</v>
      </c>
      <c r="G942" s="43" t="inlineStr">
        <is>
          <t>the Volt Air; Thetis Volt Air; Thettis Volt Air; Volt Air smartphone</t>
        </is>
      </c>
      <c r="H942" s="43" t="inlineStr">
        <is>
          <t>2 year limited</t>
        </is>
      </c>
      <c r="I942" s="43" t="inlineStr">
        <is>
          <t>FCC, CE, IP68, Qi2</t>
        </is>
      </c>
      <c r="J942" s="43" t="inlineStr">
        <is>
          <t>Qualcomm Snapdragon 8 Elite</t>
        </is>
      </c>
      <c r="K942" s="43" t="inlineStr">
        <is>
          <t>Qualcomm Adreno 830</t>
        </is>
      </c>
      <c r="L942" s="43" t="inlineStr">
        <is>
          <t>LTPO AMOLED, 1-120Hz</t>
        </is>
      </c>
      <c r="M942" s="43" t="inlineStr">
        <is>
          <t>1440x3120</t>
        </is>
      </c>
      <c r="N942" s="43" t="inlineStr">
        <is>
          <t>USB-C (USB 3.2), nano-SIM + eSIM</t>
        </is>
      </c>
      <c r="O942" s="43" t="inlineStr">
        <is>
          <t>Android 15</t>
        </is>
      </c>
      <c r="P942" s="43" t="n">
        <v>29</v>
      </c>
      <c r="Q942" s="46" t="n">
        <v>235</v>
      </c>
      <c r="R942" s="43" t="inlineStr">
        <is>
          <t>Longer battery than Adrastea Flux X Pro Max Smartphone [ADR-094-09] (29 vs 27 hrs)</t>
        </is>
      </c>
      <c r="S942" s="43" t="inlineStr">
        <is>
          <t>photography, video, mobile gaming</t>
        </is>
      </c>
      <c r="T942" s="0" t="inlineStr">
        <is>
          <t>in_stock</t>
        </is>
      </c>
      <c r="U942" s="0" t="n">
        <v>14</v>
      </c>
      <c r="V942" s="52" t="n">
        <v>1766.99</v>
      </c>
      <c r="W942" s="0" t="inlineStr">
        <is>
          <t>2026-08-02</t>
        </is>
      </c>
      <c r="X942" s="0" t="inlineStr">
        <is>
          <t>N/A</t>
        </is>
      </c>
      <c r="Y942" s="0" t="inlineStr">
        <is>
          <t>N/A</t>
        </is>
      </c>
      <c r="Z942" s="0" t="inlineStr">
        <is>
          <t>N/A</t>
        </is>
      </c>
      <c r="AA942" s="0" t="inlineStr">
        <is>
          <t>N/A</t>
        </is>
      </c>
    </row>
    <row r="943" ht="15.75" customHeight="1" s="51">
      <c r="A943" s="43" t="inlineStr">
        <is>
          <t>ADR-094-01</t>
        </is>
      </c>
      <c r="B943" s="43" t="inlineStr">
        <is>
          <t>Adrastea</t>
        </is>
      </c>
      <c r="C943" s="43" t="inlineStr">
        <is>
          <t>Smartphones &amp; Tablets</t>
        </is>
      </c>
      <c r="D943" s="43" t="inlineStr">
        <is>
          <t>Tablet</t>
        </is>
      </c>
      <c r="E943" s="44" t="inlineStr">
        <is>
          <t>Adrastea Wave Max Kids Tablet</t>
        </is>
      </c>
      <c r="F943" s="45" t="n">
        <v>125.99</v>
      </c>
      <c r="G943" s="43" t="inlineStr">
        <is>
          <t>the Wave Max; Adrastea Wave Max; Adrasstea Wave Max; Wave Max tablet</t>
        </is>
      </c>
      <c r="H943" s="43" t="inlineStr">
        <is>
          <t>1 year limited</t>
        </is>
      </c>
      <c r="I943" s="43" t="inlineStr">
        <is>
          <t>FCC, CE, TUV Rheinland Low Blue Light, EN 71 Toy Safety</t>
        </is>
      </c>
      <c r="J943" s="43" t="inlineStr">
        <is>
          <t>MediaTek Helio G88</t>
        </is>
      </c>
      <c r="K943" s="43" t="inlineStr">
        <is>
          <t>Arm Mali-G52 MC2</t>
        </is>
      </c>
      <c r="L943" s="43" t="inlineStr">
        <is>
          <t>IPS LCD, 60Hz</t>
        </is>
      </c>
      <c r="M943" s="43" t="inlineStr">
        <is>
          <t>800x1280</t>
        </is>
      </c>
      <c r="N943" s="43" t="inlineStr">
        <is>
          <t>USB-C (USB 2.0), microSD slot</t>
        </is>
      </c>
      <c r="O943" s="43" t="inlineStr">
        <is>
          <t>Android 14 with parental controls</t>
        </is>
      </c>
      <c r="P943" s="43" t="n">
        <v>10</v>
      </c>
      <c r="Q943" s="46" t="n">
        <v>428</v>
      </c>
      <c r="R943" s="43" t="inlineStr">
        <is>
          <t>Lighter than Theia Sable Kids Tablet [THE-081-01] (428 g vs 437 g); Longer battery than Iapetus Blaze Kids Tablet [IAP-096-01] (10 vs 8 hrs)</t>
        </is>
      </c>
      <c r="S943" s="43" t="inlineStr">
        <is>
          <t>kids, learning, games</t>
        </is>
      </c>
      <c r="T943" s="0" t="inlineStr">
        <is>
          <t>in_stock</t>
        </is>
      </c>
      <c r="U943" s="0" t="n">
        <v>14</v>
      </c>
      <c r="V943" s="52" t="n">
        <v>143.99</v>
      </c>
      <c r="W943" s="0" t="inlineStr">
        <is>
          <t>2026-09-25</t>
        </is>
      </c>
      <c r="X943" s="0" t="inlineStr">
        <is>
          <t>N/A</t>
        </is>
      </c>
      <c r="Y943" s="0" t="inlineStr">
        <is>
          <t>N/A</t>
        </is>
      </c>
      <c r="Z943" s="0" t="inlineStr">
        <is>
          <t>N/A</t>
        </is>
      </c>
      <c r="AA943" s="0" t="inlineStr">
        <is>
          <t>N/A</t>
        </is>
      </c>
    </row>
    <row r="944" ht="15.75" customHeight="1" s="51">
      <c r="A944" s="43" t="inlineStr">
        <is>
          <t>ADR-094-02</t>
        </is>
      </c>
      <c r="B944" s="43" t="inlineStr">
        <is>
          <t>Adrastea</t>
        </is>
      </c>
      <c r="C944" s="43" t="inlineStr">
        <is>
          <t>Smartphones &amp; Tablets</t>
        </is>
      </c>
      <c r="D944" s="43" t="inlineStr">
        <is>
          <t>Smartphone</t>
        </is>
      </c>
      <c r="E944" s="44" t="inlineStr">
        <is>
          <t>Adrastea Rift Budget Smartphone</t>
        </is>
      </c>
      <c r="F944" s="45" t="n">
        <v>219.99</v>
      </c>
      <c r="G944" s="43" t="inlineStr">
        <is>
          <t>the Rift; Adrastea Rift; Adraseta Rift; Rift smartphone</t>
        </is>
      </c>
      <c r="H944" s="43" t="inlineStr">
        <is>
          <t>1 year limited</t>
        </is>
      </c>
      <c r="I944" s="43" t="inlineStr">
        <is>
          <t>FCC, CE, IP54</t>
        </is>
      </c>
      <c r="J944" s="43" t="inlineStr">
        <is>
          <t>MediaTek Helio G99</t>
        </is>
      </c>
      <c r="K944" s="43" t="inlineStr">
        <is>
          <t>Arm Mali-G57 MC2</t>
        </is>
      </c>
      <c r="L944" s="43" t="inlineStr">
        <is>
          <t>IPS LCD, 90Hz</t>
        </is>
      </c>
      <c r="M944" s="43" t="inlineStr">
        <is>
          <t>1080x2400</t>
        </is>
      </c>
      <c r="N944" s="43" t="inlineStr">
        <is>
          <t>USB-C (USB 2.0), nano-SIM + eSIM, 3.5mm headphone jack, microSD slot</t>
        </is>
      </c>
      <c r="O944" s="43" t="inlineStr">
        <is>
          <t>Android 14</t>
        </is>
      </c>
      <c r="P944" s="43" t="n">
        <v>28</v>
      </c>
      <c r="Q944" s="46" t="n">
        <v>208</v>
      </c>
      <c r="R944" s="43" t="inlineStr">
        <is>
          <t>Longer battery than Dike Sable Lite Budget Smartphone [DIK-099-04] (28 vs 24 hrs); Lower price than Pallas Lumen Plus Budget Smartphone [PAL-057-02] ($219.99 vs $281.99)</t>
        </is>
      </c>
      <c r="S944" s="43" t="inlineStr">
        <is>
          <t>budget, first phone, everyday</t>
        </is>
      </c>
      <c r="T944" s="0" t="inlineStr">
        <is>
          <t>out_of_stock</t>
        </is>
      </c>
      <c r="U944" s="0" t="n">
        <v>14</v>
      </c>
      <c r="V944" s="52" t="n">
        <v>252.99</v>
      </c>
      <c r="W944" s="0" t="inlineStr">
        <is>
          <t>2026-08-01</t>
        </is>
      </c>
      <c r="X944" s="0" t="inlineStr">
        <is>
          <t>N/A</t>
        </is>
      </c>
      <c r="Y944" s="0" t="inlineStr">
        <is>
          <t>N/A</t>
        </is>
      </c>
      <c r="Z944" s="0" t="inlineStr">
        <is>
          <t>N/A</t>
        </is>
      </c>
      <c r="AA944" s="0" t="inlineStr">
        <is>
          <t>N/A</t>
        </is>
      </c>
    </row>
    <row r="945" ht="15.75" customHeight="1" s="51">
      <c r="A945" s="43" t="inlineStr">
        <is>
          <t>ADR-094-03</t>
        </is>
      </c>
      <c r="B945" s="43" t="inlineStr">
        <is>
          <t>Adrastea</t>
        </is>
      </c>
      <c r="C945" s="43" t="inlineStr">
        <is>
          <t>Smartphones &amp; Tablets</t>
        </is>
      </c>
      <c r="D945" s="43" t="inlineStr">
        <is>
          <t>Tablet</t>
        </is>
      </c>
      <c r="E945" s="44" t="inlineStr">
        <is>
          <t>Adrastea Zen Pro E-Ink Note Tablet</t>
        </is>
      </c>
      <c r="F945" s="45" t="n">
        <v>362.99</v>
      </c>
      <c r="G945" s="43" t="inlineStr">
        <is>
          <t>the Zen Pro; Adrastea Zen Pro; Adraastea Zen Pro; Zen Pro tablet</t>
        </is>
      </c>
      <c r="H945" s="43" t="inlineStr">
        <is>
          <t>1 year limited</t>
        </is>
      </c>
      <c r="I945" s="43" t="inlineStr">
        <is>
          <t>FCC, CE, TUV Rheinland Low Blue Light</t>
        </is>
      </c>
      <c r="J945" s="43" t="inlineStr">
        <is>
          <t>Rockchip RK3566</t>
        </is>
      </c>
      <c r="K945" s="43" t="inlineStr">
        <is>
          <t>Arm Mali-G52 2EE</t>
        </is>
      </c>
      <c r="L945" s="43" t="inlineStr">
        <is>
          <t>E Ink Carta 1300, front-lit</t>
        </is>
      </c>
      <c r="M945" s="43" t="inlineStr">
        <is>
          <t>1404x1872</t>
        </is>
      </c>
      <c r="N945" s="43" t="inlineStr">
        <is>
          <t>USB-C (USB 2.0), microSD slot</t>
        </is>
      </c>
      <c r="O945" s="43" t="inlineStr">
        <is>
          <t>Android 13 (E Ink optimized)</t>
        </is>
      </c>
      <c r="P945" s="43" t="n">
        <v>293</v>
      </c>
      <c r="Q945" s="46" t="n">
        <v>438</v>
      </c>
      <c r="R945" s="43" t="inlineStr">
        <is>
          <t>Longer battery than Peitho Drift Air E-Ink Note Tablet [PEI-083-03] (293 vs 131 hrs); Lower price than Erato Aria E-Ink Note Tablet [ERA-085-03] ($362.99 vs $525.99)</t>
        </is>
      </c>
      <c r="S945" s="43" t="inlineStr">
        <is>
          <t>reading, note-taking, school</t>
        </is>
      </c>
      <c r="T945" s="0" t="inlineStr">
        <is>
          <t>in_stock</t>
        </is>
      </c>
      <c r="U945" s="0" t="n">
        <v>14</v>
      </c>
      <c r="V945" s="52" t="n">
        <v>382.99</v>
      </c>
      <c r="W945" s="0" t="inlineStr">
        <is>
          <t>2026-08-08</t>
        </is>
      </c>
      <c r="X945" s="0" t="inlineStr">
        <is>
          <t>N/A</t>
        </is>
      </c>
      <c r="Y945" s="0" t="inlineStr">
        <is>
          <t>N/A</t>
        </is>
      </c>
      <c r="Z945" s="0" t="inlineStr">
        <is>
          <t>N/A</t>
        </is>
      </c>
      <c r="AA945" s="0" t="inlineStr">
        <is>
          <t>N/A</t>
        </is>
      </c>
    </row>
    <row r="946" ht="15.75" customHeight="1" s="51">
      <c r="A946" s="43" t="inlineStr">
        <is>
          <t>ADR-094-04</t>
        </is>
      </c>
      <c r="B946" s="43" t="inlineStr">
        <is>
          <t>Adrastea</t>
        </is>
      </c>
      <c r="C946" s="43" t="inlineStr">
        <is>
          <t>Smartphones &amp; Tablets</t>
        </is>
      </c>
      <c r="D946" s="43" t="inlineStr">
        <is>
          <t>Tablet</t>
        </is>
      </c>
      <c r="E946" s="44" t="inlineStr">
        <is>
          <t>Adrastea Blaze Air Drawing Tablet with Stylus</t>
        </is>
      </c>
      <c r="F946" s="45" t="n">
        <v>631.99</v>
      </c>
      <c r="G946" s="43" t="inlineStr">
        <is>
          <t>the Blaze Air; Adrastea Blaze Air; Adarstea Blaze Air; Blaze Air tablet</t>
        </is>
      </c>
      <c r="H946" s="43" t="inlineStr">
        <is>
          <t>1 year limited</t>
        </is>
      </c>
      <c r="I946" s="43" t="inlineStr">
        <is>
          <t>FCC, CE, TUV Rheinland Low Blue Light</t>
        </is>
      </c>
      <c r="J946" s="43" t="inlineStr">
        <is>
          <t>Qualcomm Snapdragon 7+ Gen 3</t>
        </is>
      </c>
      <c r="K946" s="43" t="inlineStr">
        <is>
          <t>Qualcomm Adreno 732</t>
        </is>
      </c>
      <c r="L946" s="43" t="inlineStr">
        <is>
          <t>IPS LCD anti-glare, pen digitizer</t>
        </is>
      </c>
      <c r="M946" s="43" t="inlineStr">
        <is>
          <t>2000x1200</t>
        </is>
      </c>
      <c r="N946" s="43" t="inlineStr">
        <is>
          <t>USB-C (USB 2.0), microSD slot</t>
        </is>
      </c>
      <c r="O946" s="43" t="inlineStr">
        <is>
          <t>Android 15</t>
        </is>
      </c>
      <c r="P946" s="43" t="n">
        <v>12</v>
      </c>
      <c r="Q946" s="46" t="n">
        <v>583</v>
      </c>
      <c r="R946" s="43" t="inlineStr">
        <is>
          <t>Longer battery than Comus Axis Ultra Drawing Tablet with Stylus [COM-078-08] (12 vs 9 hrs); Lower price than Phobos Quanta X Drawing Tablet with Stylus [PHO-053-07] ($631.99 vs $1,135.99)</t>
        </is>
      </c>
      <c r="S946" s="43" t="inlineStr">
        <is>
          <t>drawing, design, note-taking</t>
        </is>
      </c>
      <c r="T946" s="0" t="inlineStr">
        <is>
          <t>in_stock</t>
        </is>
      </c>
      <c r="U946" s="0" t="n">
        <v>14</v>
      </c>
      <c r="V946" s="52" t="n">
        <v>668.99</v>
      </c>
      <c r="W946" s="0" t="inlineStr">
        <is>
          <t>2026-09-05</t>
        </is>
      </c>
      <c r="X946" s="0" t="inlineStr">
        <is>
          <t>N/A</t>
        </is>
      </c>
      <c r="Y946" s="0" t="inlineStr">
        <is>
          <t>N/A</t>
        </is>
      </c>
      <c r="Z946" s="0" t="inlineStr">
        <is>
          <t>N/A</t>
        </is>
      </c>
      <c r="AA946" s="0" t="inlineStr">
        <is>
          <t>N/A</t>
        </is>
      </c>
    </row>
    <row r="947" ht="15.75" customHeight="1" s="51">
      <c r="A947" s="43" t="inlineStr">
        <is>
          <t>ADR-094-05</t>
        </is>
      </c>
      <c r="B947" s="43" t="inlineStr">
        <is>
          <t>Adrastea</t>
        </is>
      </c>
      <c r="C947" s="43" t="inlineStr">
        <is>
          <t>Smartphones &amp; Tablets</t>
        </is>
      </c>
      <c r="D947" s="43" t="inlineStr">
        <is>
          <t>Tablet</t>
        </is>
      </c>
      <c r="E947" s="44" t="inlineStr">
        <is>
          <t>Adrastea Blaze 11" Tablet</t>
        </is>
      </c>
      <c r="F947" s="45" t="n">
        <v>673.99</v>
      </c>
      <c r="G947" s="43" t="inlineStr">
        <is>
          <t>the Blaze; Adrastea Blaze; Addrastea Blaze; Blaze tablet</t>
        </is>
      </c>
      <c r="H947" s="43" t="inlineStr">
        <is>
          <t>2 year limited</t>
        </is>
      </c>
      <c r="I947" s="43" t="inlineStr">
        <is>
          <t>FCC, CE, Energy Star</t>
        </is>
      </c>
      <c r="J947" s="43" t="inlineStr">
        <is>
          <t>MediaTek Dimensity 8300</t>
        </is>
      </c>
      <c r="K947" s="43" t="inlineStr">
        <is>
          <t>Arm Mali-G615 MC6</t>
        </is>
      </c>
      <c r="L947" s="43" t="inlineStr">
        <is>
          <t>OLED, 120Hz</t>
        </is>
      </c>
      <c r="M947" s="43" t="inlineStr">
        <is>
          <t>1752x2800</t>
        </is>
      </c>
      <c r="N947" s="43" t="inlineStr">
        <is>
          <t>USB-C (USB 2.0), microSD slot</t>
        </is>
      </c>
      <c r="O947" s="43" t="inlineStr">
        <is>
          <t>Android 15</t>
        </is>
      </c>
      <c r="P947" s="43" t="n">
        <v>14</v>
      </c>
      <c r="Q947" s="46" t="n">
        <v>508</v>
      </c>
      <c r="R947" s="43" t="inlineStr">
        <is>
          <t>Longer battery than Plutus Drift Air 11" Tablet [PLU-100-04] (14 vs 10 hrs); Lower price than Triton Strata Pro 11" Tablet [TRI-092-05] ($673.99 vs $701.99)</t>
        </is>
      </c>
      <c r="S947" s="43" t="inlineStr">
        <is>
          <t>school, streaming, reading</t>
        </is>
      </c>
      <c r="T947" s="0" t="inlineStr">
        <is>
          <t>in_stock</t>
        </is>
      </c>
      <c r="U947" s="0" t="n">
        <v>14</v>
      </c>
      <c r="V947" s="52" t="n">
        <v>744.99</v>
      </c>
      <c r="W947" s="0" t="inlineStr">
        <is>
          <t>2026-08-17</t>
        </is>
      </c>
      <c r="X947" s="0" t="inlineStr">
        <is>
          <t>N/A</t>
        </is>
      </c>
      <c r="Y947" s="0" t="inlineStr">
        <is>
          <t>N/A</t>
        </is>
      </c>
      <c r="Z947" s="0" t="inlineStr">
        <is>
          <t>N/A</t>
        </is>
      </c>
      <c r="AA947" s="0" t="inlineStr">
        <is>
          <t>N/A</t>
        </is>
      </c>
    </row>
    <row r="948" ht="15.75" customHeight="1" s="51">
      <c r="A948" s="43" t="inlineStr">
        <is>
          <t>ADR-094-06</t>
        </is>
      </c>
      <c r="B948" s="43" t="inlineStr">
        <is>
          <t>Adrastea</t>
        </is>
      </c>
      <c r="C948" s="43" t="inlineStr">
        <is>
          <t>Smartphones &amp; Tablets</t>
        </is>
      </c>
      <c r="D948" s="43" t="inlineStr">
        <is>
          <t>Smartphone</t>
        </is>
      </c>
      <c r="E948" s="44" t="inlineStr">
        <is>
          <t>Adrastea Echo Ultra Flip Foldable Phone</t>
        </is>
      </c>
      <c r="F948" s="45" t="n">
        <v>923.99</v>
      </c>
      <c r="G948" s="43" t="inlineStr">
        <is>
          <t>the Echo Ultra; Adrastea Echo Ultra; Adratsea Echo Ultra; Echo Ultra smartphone</t>
        </is>
      </c>
      <c r="H948" s="43" t="inlineStr">
        <is>
          <t>1 year limited</t>
        </is>
      </c>
      <c r="I948" s="43" t="inlineStr">
        <is>
          <t>FCC, CE, IPX8</t>
        </is>
      </c>
      <c r="J948" s="43" t="inlineStr">
        <is>
          <t>Qualcomm Snapdragon 8 Gen 3</t>
        </is>
      </c>
      <c r="K948" s="43" t="inlineStr">
        <is>
          <t>Qualcomm Adreno 750</t>
        </is>
      </c>
      <c r="L948" s="43" t="inlineStr">
        <is>
          <t>Foldable AMOLED inner + AMOLED cover screen</t>
        </is>
      </c>
      <c r="M948" s="43" t="inlineStr">
        <is>
          <t>1080x2640 inner / 720x748 cover</t>
        </is>
      </c>
      <c r="N948" s="43" t="inlineStr">
        <is>
          <t>USB-C (USB 3.2), nano-SIM + eSIM</t>
        </is>
      </c>
      <c r="O948" s="43" t="inlineStr">
        <is>
          <t>Android 15</t>
        </is>
      </c>
      <c r="P948" s="43" t="n">
        <v>20</v>
      </c>
      <c r="Q948" s="46" t="n">
        <v>192</v>
      </c>
      <c r="R948" s="43" t="inlineStr">
        <is>
          <t>Longer battery than Leucothea Strata Max Flip Foldable Phone [LEU-095-06] (20 vs 17 hrs); Lower price than Panacea Apex Air Flip Foldable Phone [PAN-069-09] ($923.99 vs $1,168.99)</t>
        </is>
      </c>
      <c r="S948" s="43" t="inlineStr">
        <is>
          <t>style, everyday, compact</t>
        </is>
      </c>
      <c r="T948" s="0" t="inlineStr">
        <is>
          <t>in_stock</t>
        </is>
      </c>
      <c r="U948" s="0" t="n">
        <v>14</v>
      </c>
      <c r="V948" s="52" t="n">
        <v>968.99</v>
      </c>
      <c r="W948" s="0" t="inlineStr">
        <is>
          <t>2026-08-28</t>
        </is>
      </c>
      <c r="X948" s="0" t="inlineStr">
        <is>
          <t>N/A</t>
        </is>
      </c>
      <c r="Y948" s="0" t="inlineStr">
        <is>
          <t>N/A</t>
        </is>
      </c>
      <c r="Z948" s="0" t="inlineStr">
        <is>
          <t>N/A</t>
        </is>
      </c>
      <c r="AA948" s="0" t="inlineStr">
        <is>
          <t>N/A</t>
        </is>
      </c>
    </row>
    <row r="949" ht="15.75" customHeight="1" s="51">
      <c r="A949" s="43" t="inlineStr">
        <is>
          <t>ADR-094-07</t>
        </is>
      </c>
      <c r="B949" s="43" t="inlineStr">
        <is>
          <t>Adrastea</t>
        </is>
      </c>
      <c r="C949" s="43" t="inlineStr">
        <is>
          <t>Smartphones &amp; Tablets</t>
        </is>
      </c>
      <c r="D949" s="43" t="inlineStr">
        <is>
          <t>Smartphone</t>
        </is>
      </c>
      <c r="E949" s="44" t="inlineStr">
        <is>
          <t>Adrastea Nimbus Lite Flagship Smartphone</t>
        </is>
      </c>
      <c r="F949" s="45" t="n">
        <v>984.99</v>
      </c>
      <c r="G949" s="43" t="inlineStr">
        <is>
          <t>the Nimbus Lite; Adrastea Nimbus Lite; Adraastea Nimbus Lite; Nimbus Lite smartphone</t>
        </is>
      </c>
      <c r="H949" s="43" t="inlineStr">
        <is>
          <t>1 year limited</t>
        </is>
      </c>
      <c r="I949" s="43" t="inlineStr">
        <is>
          <t>FCC, CE, IP68, Qi2</t>
        </is>
      </c>
      <c r="J949" s="43" t="inlineStr">
        <is>
          <t>Qualcomm Snapdragon 8 Gen 3</t>
        </is>
      </c>
      <c r="K949" s="43" t="inlineStr">
        <is>
          <t>Qualcomm Adreno 750</t>
        </is>
      </c>
      <c r="L949" s="43" t="inlineStr">
        <is>
          <t>AMOLED, 120Hz</t>
        </is>
      </c>
      <c r="M949" s="43" t="inlineStr">
        <is>
          <t>1080x2400</t>
        </is>
      </c>
      <c r="N949" s="43" t="inlineStr">
        <is>
          <t>USB-C (USB 3.2), nano-SIM + eSIM</t>
        </is>
      </c>
      <c r="O949" s="43" t="inlineStr">
        <is>
          <t>Android 15</t>
        </is>
      </c>
      <c r="P949" s="43" t="n">
        <v>23</v>
      </c>
      <c r="Q949" s="46" t="n">
        <v>184</v>
      </c>
      <c r="R949" s="43" t="inlineStr">
        <is>
          <t>Lighter than Panacea Core SE Flagship Smartphone [PAN-069-08] (184 g vs 196 g); Lower price than Alpheus Drift Plus Flagship Smartphone [ALP-082-09] ($984.99 vs $1,068.99)</t>
        </is>
      </c>
      <c r="S949" s="43" t="inlineStr">
        <is>
          <t>photography, everyday, business</t>
        </is>
      </c>
      <c r="T949" s="0" t="inlineStr">
        <is>
          <t>low_stock</t>
        </is>
      </c>
      <c r="U949" s="0" t="n">
        <v>14</v>
      </c>
      <c r="V949" s="52" t="n">
        <v>1072.99</v>
      </c>
      <c r="W949" s="0" t="inlineStr">
        <is>
          <t>2026-08-18</t>
        </is>
      </c>
      <c r="X949" s="0" t="inlineStr">
        <is>
          <t>N/A</t>
        </is>
      </c>
      <c r="Y949" s="0" t="inlineStr">
        <is>
          <t>N/A</t>
        </is>
      </c>
      <c r="Z949" s="0" t="inlineStr">
        <is>
          <t>N/A</t>
        </is>
      </c>
      <c r="AA949" s="0" t="inlineStr">
        <is>
          <t>N/A</t>
        </is>
      </c>
    </row>
    <row r="950" ht="15.75" customHeight="1" s="51">
      <c r="A950" s="43" t="inlineStr">
        <is>
          <t>ADR-094-08</t>
        </is>
      </c>
      <c r="B950" s="43" t="inlineStr">
        <is>
          <t>Adrastea</t>
        </is>
      </c>
      <c r="C950" s="43" t="inlineStr">
        <is>
          <t>Smartphones &amp; Tablets</t>
        </is>
      </c>
      <c r="D950" s="43" t="inlineStr">
        <is>
          <t>Tablet</t>
        </is>
      </c>
      <c r="E950" s="44" t="inlineStr">
        <is>
          <t>Adrastea Echo 13" Pro Tablet</t>
        </is>
      </c>
      <c r="F950" s="45" t="n">
        <v>1000.99</v>
      </c>
      <c r="G950" s="43" t="inlineStr">
        <is>
          <t>the Echo; Adrastea Echo; Addrastea Echo; Echo tablet</t>
        </is>
      </c>
      <c r="H950" s="43" t="inlineStr">
        <is>
          <t>1 year limited</t>
        </is>
      </c>
      <c r="I950" s="43" t="inlineStr">
        <is>
          <t>FCC, CE</t>
        </is>
      </c>
      <c r="J950" s="43" t="inlineStr">
        <is>
          <t>MediaTek Dimensity 9400</t>
        </is>
      </c>
      <c r="K950" s="43" t="inlineStr">
        <is>
          <t>Arm Immortalis-G925</t>
        </is>
      </c>
      <c r="L950" s="43" t="inlineStr">
        <is>
          <t>OLED, 120Hz</t>
        </is>
      </c>
      <c r="M950" s="43" t="inlineStr">
        <is>
          <t>2800x1752</t>
        </is>
      </c>
      <c r="N950" s="43" t="inlineStr">
        <is>
          <t>USB-C (USB 3.2), magnetic keyboard connector</t>
        </is>
      </c>
      <c r="O950" s="43" t="inlineStr">
        <is>
          <t>Android 15</t>
        </is>
      </c>
      <c r="P950" s="43" t="n">
        <v>11</v>
      </c>
      <c r="Q950" s="46" t="n">
        <v>581</v>
      </c>
      <c r="R950" s="43" t="inlineStr">
        <is>
          <t>Lower price than Pan Aria Plus 13" Pro Tablet [PAN-097-10] ($1,000.99 vs $1,715.99); Lighter than Amphitrite Quanta Air 13" Pro Tablet [AMP-065-08] (581 g vs 643 g)</t>
        </is>
      </c>
      <c r="S950" s="43" t="inlineStr">
        <is>
          <t>creative work, productivity, drawing</t>
        </is>
      </c>
      <c r="T950" s="0" t="inlineStr">
        <is>
          <t>in_stock</t>
        </is>
      </c>
      <c r="U950" s="0" t="n">
        <v>14</v>
      </c>
      <c r="V950" s="52" t="n">
        <v>1057.99</v>
      </c>
      <c r="W950" s="0" t="inlineStr">
        <is>
          <t>2026-09-15</t>
        </is>
      </c>
      <c r="X950" s="0" t="inlineStr">
        <is>
          <t>N/A</t>
        </is>
      </c>
      <c r="Y950" s="0" t="inlineStr">
        <is>
          <t>N/A</t>
        </is>
      </c>
      <c r="Z950" s="0" t="inlineStr">
        <is>
          <t>N/A</t>
        </is>
      </c>
      <c r="AA950" s="0" t="inlineStr">
        <is>
          <t>N/A</t>
        </is>
      </c>
    </row>
    <row r="951" ht="15.75" customHeight="1" s="51">
      <c r="A951" s="43" t="inlineStr">
        <is>
          <t>ADR-094-09</t>
        </is>
      </c>
      <c r="B951" s="43" t="inlineStr">
        <is>
          <t>Adrastea</t>
        </is>
      </c>
      <c r="C951" s="43" t="inlineStr">
        <is>
          <t>Smartphones &amp; Tablets</t>
        </is>
      </c>
      <c r="D951" s="43" t="inlineStr">
        <is>
          <t>Smartphone</t>
        </is>
      </c>
      <c r="E951" s="44" t="inlineStr">
        <is>
          <t>Adrastea Flux X Pro Max Smartphone</t>
        </is>
      </c>
      <c r="F951" s="45" t="n">
        <v>1493.99</v>
      </c>
      <c r="G951" s="43" t="inlineStr">
        <is>
          <t>the Flux X; Adrastea Flux X; Ardastea Flux X; Flux X smartphone</t>
        </is>
      </c>
      <c r="H951" s="43" t="inlineStr">
        <is>
          <t>2 year limited</t>
        </is>
      </c>
      <c r="I951" s="43" t="inlineStr">
        <is>
          <t>FCC, CE, IP68, Qi2</t>
        </is>
      </c>
      <c r="J951" s="43" t="inlineStr">
        <is>
          <t>Qualcomm Snapdragon 8 Elite</t>
        </is>
      </c>
      <c r="K951" s="43" t="inlineStr">
        <is>
          <t>Qualcomm Adreno 830</t>
        </is>
      </c>
      <c r="L951" s="43" t="inlineStr">
        <is>
          <t>LTPO AMOLED, 1-120Hz</t>
        </is>
      </c>
      <c r="M951" s="43" t="inlineStr">
        <is>
          <t>1440x3120</t>
        </is>
      </c>
      <c r="N951" s="43" t="inlineStr">
        <is>
          <t>USB-C (USB 3.2), nano-SIM + eSIM</t>
        </is>
      </c>
      <c r="O951" s="43" t="inlineStr">
        <is>
          <t>Android 15</t>
        </is>
      </c>
      <c r="P951" s="43" t="n">
        <v>27</v>
      </c>
      <c r="Q951" s="46" t="n">
        <v>216</v>
      </c>
      <c r="R951" s="43" t="inlineStr">
        <is>
          <t>Lighter than Thetis Volt Air Pro Max Smartphone [THE-093-10] (216 g vs 235 g); Lower price than Lethe Drift Lite Pro Max Smartphone [LET-086-10] ($1,493.99 vs $1,541.99)</t>
        </is>
      </c>
      <c r="S951" s="43" t="inlineStr">
        <is>
          <t>photography, video, mobile gaming</t>
        </is>
      </c>
      <c r="T951" s="0" t="inlineStr">
        <is>
          <t>low_stock</t>
        </is>
      </c>
      <c r="U951" s="0" t="n">
        <v>14</v>
      </c>
      <c r="V951" s="52" t="n">
        <v>1660.99</v>
      </c>
      <c r="W951" s="0" t="inlineStr">
        <is>
          <t>2026-08-28</t>
        </is>
      </c>
      <c r="X951" s="0" t="inlineStr">
        <is>
          <t>N/A</t>
        </is>
      </c>
      <c r="Y951" s="0" t="inlineStr">
        <is>
          <t>N/A</t>
        </is>
      </c>
      <c r="Z951" s="0" t="inlineStr">
        <is>
          <t>N/A</t>
        </is>
      </c>
      <c r="AA951" s="0" t="inlineStr">
        <is>
          <t>N/A</t>
        </is>
      </c>
    </row>
    <row r="952" ht="15.75" customHeight="1" s="51">
      <c r="A952" s="43" t="inlineStr">
        <is>
          <t>ADR-094-10</t>
        </is>
      </c>
      <c r="B952" s="43" t="inlineStr">
        <is>
          <t>Adrastea</t>
        </is>
      </c>
      <c r="C952" s="43" t="inlineStr">
        <is>
          <t>Smartphones &amp; Tablets</t>
        </is>
      </c>
      <c r="D952" s="43" t="inlineStr">
        <is>
          <t>Smartphone</t>
        </is>
      </c>
      <c r="E952" s="44" t="inlineStr">
        <is>
          <t>Adrastea Sable SE Foldable Phone</t>
        </is>
      </c>
      <c r="F952" s="45" t="n">
        <v>1864.99</v>
      </c>
      <c r="G952" s="43" t="inlineStr">
        <is>
          <t>the Sable SE; Adrastea Sable SE; Ardastea Sable SE; Sable SE smartphone</t>
        </is>
      </c>
      <c r="H952" s="43" t="inlineStr">
        <is>
          <t>1 year limited</t>
        </is>
      </c>
      <c r="I952" s="43" t="inlineStr">
        <is>
          <t>FCC, CE, IPX8</t>
        </is>
      </c>
      <c r="J952" s="43" t="inlineStr">
        <is>
          <t>Qualcomm Snapdragon 8 Elite</t>
        </is>
      </c>
      <c r="K952" s="43" t="inlineStr">
        <is>
          <t>Qualcomm Adreno 830</t>
        </is>
      </c>
      <c r="L952" s="43" t="inlineStr">
        <is>
          <t>Foldable LTPO AMOLED inner + AMOLED cover, 120Hz</t>
        </is>
      </c>
      <c r="M952" s="43" t="inlineStr">
        <is>
          <t>2160x1856 inner / 1080x2376 cover</t>
        </is>
      </c>
      <c r="N952" s="43" t="inlineStr">
        <is>
          <t>USB-C (USB 3.2), nano-SIM + eSIM</t>
        </is>
      </c>
      <c r="O952" s="43" t="inlineStr">
        <is>
          <t>Android 15</t>
        </is>
      </c>
      <c r="P952" s="43" t="n">
        <v>26</v>
      </c>
      <c r="Q952" s="46" t="n">
        <v>241</v>
      </c>
      <c r="R952" s="43" t="inlineStr">
        <is>
          <t>Longer battery than Tyche Prism Ultra Foldable Phone [TYC-055-10] (26 vs 18 hrs); Lighter than Phorcys Halo SE Foldable Phone [PHO-087-10] (241 g vs 256 g)</t>
        </is>
      </c>
      <c r="S952" s="43" t="inlineStr">
        <is>
          <t>multitasking, business, media</t>
        </is>
      </c>
      <c r="T952" s="0" t="inlineStr">
        <is>
          <t>in_stock</t>
        </is>
      </c>
      <c r="U952" s="0" t="n">
        <v>14</v>
      </c>
      <c r="V952" s="52" t="n">
        <v>1930.99</v>
      </c>
      <c r="W952" s="0" t="inlineStr">
        <is>
          <t>2026-09-08</t>
        </is>
      </c>
      <c r="X952" s="0" t="inlineStr">
        <is>
          <t>N/A</t>
        </is>
      </c>
      <c r="Y952" s="0" t="inlineStr">
        <is>
          <t>N/A</t>
        </is>
      </c>
      <c r="Z952" s="0" t="inlineStr">
        <is>
          <t>N/A</t>
        </is>
      </c>
      <c r="AA952" s="0" t="inlineStr">
        <is>
          <t>N/A</t>
        </is>
      </c>
    </row>
    <row r="953" ht="15.75" customHeight="1" s="51">
      <c r="A953" s="43" t="inlineStr">
        <is>
          <t>LEU-095-01</t>
        </is>
      </c>
      <c r="B953" s="43" t="inlineStr">
        <is>
          <t>Leucothea</t>
        </is>
      </c>
      <c r="C953" s="43" t="inlineStr">
        <is>
          <t>Smartphones &amp; Tablets</t>
        </is>
      </c>
      <c r="D953" s="43" t="inlineStr">
        <is>
          <t>Tablet</t>
        </is>
      </c>
      <c r="E953" s="44" t="inlineStr">
        <is>
          <t>Leucothea Prism X Kids Tablet</t>
        </is>
      </c>
      <c r="F953" s="45" t="n">
        <v>178.99</v>
      </c>
      <c r="G953" s="43" t="inlineStr">
        <is>
          <t>the Prism X; Leucothea Prism X; Leucoteha Prism X; Prism X tablet</t>
        </is>
      </c>
      <c r="H953" s="43" t="inlineStr">
        <is>
          <t>2 year limited</t>
        </is>
      </c>
      <c r="I953" s="43" t="inlineStr">
        <is>
          <t>FCC, CE, TUV Rheinland Low Blue Light, EN 71 Toy Safety, Energy Star</t>
        </is>
      </c>
      <c r="J953" s="43" t="inlineStr">
        <is>
          <t>MediaTek Helio G88</t>
        </is>
      </c>
      <c r="K953" s="43" t="inlineStr">
        <is>
          <t>Arm Mali-G52 MC2</t>
        </is>
      </c>
      <c r="L953" s="43" t="inlineStr">
        <is>
          <t>IPS LCD, 60Hz</t>
        </is>
      </c>
      <c r="M953" s="43" t="inlineStr">
        <is>
          <t>800x1280</t>
        </is>
      </c>
      <c r="N953" s="43" t="inlineStr">
        <is>
          <t>USB-C (USB 2.0), microSD slot</t>
        </is>
      </c>
      <c r="O953" s="43" t="inlineStr">
        <is>
          <t>Android 14 with parental controls</t>
        </is>
      </c>
      <c r="P953" s="43" t="n">
        <v>12</v>
      </c>
      <c r="Q953" s="46" t="n">
        <v>381</v>
      </c>
      <c r="R953" s="43" t="inlineStr">
        <is>
          <t>Lighter than Pontus Core SE Kids Tablet [PON-063-01] (381 g vs 404 g); Longer battery than Arete Echo Lite Kids Tablet [ARE-054-01] (12 vs 8 hrs)</t>
        </is>
      </c>
      <c r="S953" s="43" t="inlineStr">
        <is>
          <t>kids, learning, games</t>
        </is>
      </c>
      <c r="T953" s="0" t="inlineStr">
        <is>
          <t>in_stock</t>
        </is>
      </c>
      <c r="U953" s="0" t="n">
        <v>45</v>
      </c>
      <c r="V953" s="52" t="n">
        <v>187.99</v>
      </c>
      <c r="W953" s="0" t="inlineStr">
        <is>
          <t>2026-09-03</t>
        </is>
      </c>
      <c r="X953" s="0" t="inlineStr">
        <is>
          <t>N/A</t>
        </is>
      </c>
      <c r="Y953" s="0" t="inlineStr">
        <is>
          <t>N/A</t>
        </is>
      </c>
      <c r="Z953" s="0" t="inlineStr">
        <is>
          <t>N/A</t>
        </is>
      </c>
      <c r="AA953" s="0" t="inlineStr">
        <is>
          <t>N/A</t>
        </is>
      </c>
    </row>
    <row r="954" ht="15.75" customHeight="1" s="51">
      <c r="A954" s="43" t="inlineStr">
        <is>
          <t>LEU-095-02</t>
        </is>
      </c>
      <c r="B954" s="43" t="inlineStr">
        <is>
          <t>Leucothea</t>
        </is>
      </c>
      <c r="C954" s="43" t="inlineStr">
        <is>
          <t>Smartphones &amp; Tablets</t>
        </is>
      </c>
      <c r="D954" s="43" t="inlineStr">
        <is>
          <t>Tablet</t>
        </is>
      </c>
      <c r="E954" s="44" t="inlineStr">
        <is>
          <t>Leucothea Prism X 8" Mini Tablet</t>
        </is>
      </c>
      <c r="F954" s="45" t="n">
        <v>300.99</v>
      </c>
      <c r="G954" s="43" t="inlineStr">
        <is>
          <t>the Prism X; Leucothea Prism X; Luecothea Prism X; Prism X tablet</t>
        </is>
      </c>
      <c r="H954" s="43" t="inlineStr">
        <is>
          <t>1 year limited</t>
        </is>
      </c>
      <c r="I954" s="43" t="inlineStr">
        <is>
          <t>FCC, CE, TUV Rheinland Low Blue Light</t>
        </is>
      </c>
      <c r="J954" s="43" t="inlineStr">
        <is>
          <t>Qualcomm Snapdragon 6 Gen 1</t>
        </is>
      </c>
      <c r="K954" s="43" t="inlineStr">
        <is>
          <t>Qualcomm Adreno 710</t>
        </is>
      </c>
      <c r="L954" s="43" t="inlineStr">
        <is>
          <t>IPS LCD, 60Hz</t>
        </is>
      </c>
      <c r="M954" s="43" t="inlineStr">
        <is>
          <t>1200x1920</t>
        </is>
      </c>
      <c r="N954" s="43" t="inlineStr">
        <is>
          <t>USB-C (USB 2.0), microSD slot</t>
        </is>
      </c>
      <c r="O954" s="43" t="inlineStr">
        <is>
          <t>Android 15</t>
        </is>
      </c>
      <c r="P954" s="43" t="n">
        <v>10</v>
      </c>
      <c r="Q954" s="46" t="n">
        <v>312</v>
      </c>
      <c r="R954" s="43" t="inlineStr">
        <is>
          <t>Lower price than Eunomia Volt SE 8" Mini Tablet [EUN-056-06] ($300.99 vs $570.99); Lighter than Phobos Aria 8" Mini Tablet [PHO-053-02] (312 g vs 321 g)</t>
        </is>
      </c>
      <c r="S954" s="43" t="inlineStr">
        <is>
          <t>reading, travel, gaming</t>
        </is>
      </c>
      <c r="T954" s="0" t="inlineStr">
        <is>
          <t>in_stock</t>
        </is>
      </c>
      <c r="U954" s="0" t="n">
        <v>45</v>
      </c>
      <c r="V954" s="52" t="n">
        <v>337.99</v>
      </c>
      <c r="W954" s="0" t="inlineStr">
        <is>
          <t>2026-09-03</t>
        </is>
      </c>
      <c r="X954" s="0" t="inlineStr">
        <is>
          <t>N/A</t>
        </is>
      </c>
      <c r="Y954" s="0" t="inlineStr">
        <is>
          <t>N/A</t>
        </is>
      </c>
      <c r="Z954" s="0" t="inlineStr">
        <is>
          <t>N/A</t>
        </is>
      </c>
      <c r="AA954" s="0" t="inlineStr">
        <is>
          <t>N/A</t>
        </is>
      </c>
    </row>
    <row r="955" ht="15.75" customHeight="1" s="51">
      <c r="A955" s="43" t="inlineStr">
        <is>
          <t>LEU-095-03</t>
        </is>
      </c>
      <c r="B955" s="43" t="inlineStr">
        <is>
          <t>Leucothea</t>
        </is>
      </c>
      <c r="C955" s="43" t="inlineStr">
        <is>
          <t>Smartphones &amp; Tablets</t>
        </is>
      </c>
      <c r="D955" s="43" t="inlineStr">
        <is>
          <t>Smartphone</t>
        </is>
      </c>
      <c r="E955" s="44" t="inlineStr">
        <is>
          <t>Leucothea Arc Air Rugged Smartphone</t>
        </is>
      </c>
      <c r="F955" s="45" t="n">
        <v>389.99</v>
      </c>
      <c r="G955" s="43" t="inlineStr">
        <is>
          <t>the Arc Air; Leucothea Arc Air; Leeucothea Arc Air; Arc Air smartphone</t>
        </is>
      </c>
      <c r="H955" s="43" t="inlineStr">
        <is>
          <t>2 year limited</t>
        </is>
      </c>
      <c r="I955" s="43" t="inlineStr">
        <is>
          <t>FCC, CE, IP69K, MIL-STD-810H</t>
        </is>
      </c>
      <c r="J955" s="43" t="inlineStr">
        <is>
          <t>MediaTek Dimensity 7300</t>
        </is>
      </c>
      <c r="K955" s="43" t="inlineStr">
        <is>
          <t>Arm Mali-G615 MC2</t>
        </is>
      </c>
      <c r="L955" s="43" t="inlineStr">
        <is>
          <t>IPS LCD, Gorilla Glass Victus, 120Hz</t>
        </is>
      </c>
      <c r="M955" s="43" t="inlineStr">
        <is>
          <t>1080x2400</t>
        </is>
      </c>
      <c r="N955" s="43" t="inlineStr">
        <is>
          <t>USB-C (USB 2.0), nano-SIM + eSIM, 3.5mm headphone jack, microSD slot</t>
        </is>
      </c>
      <c r="O955" s="43" t="inlineStr">
        <is>
          <t>Android 15</t>
        </is>
      </c>
      <c r="P955" s="43" t="n">
        <v>38</v>
      </c>
      <c r="Q955" s="46" t="n">
        <v>286</v>
      </c>
      <c r="R955" s="43" t="inlineStr">
        <is>
          <t>Longer battery than Leto Spark Lite Rugged Smartphone [LET-077-04] (38 vs 29 hrs); Lower price than Elpis Nova Max Rugged Smartphone [ELP-074-05] ($389.99 vs $771.99)</t>
        </is>
      </c>
      <c r="S955" s="43" t="inlineStr">
        <is>
          <t>outdoor, construction, fieldwork</t>
        </is>
      </c>
      <c r="T955" s="0" t="inlineStr">
        <is>
          <t>in_stock</t>
        </is>
      </c>
      <c r="U955" s="0" t="n">
        <v>45</v>
      </c>
      <c r="V955" s="52" t="n">
        <v>406.99</v>
      </c>
      <c r="W955" s="0" t="inlineStr">
        <is>
          <t>2026-09-09</t>
        </is>
      </c>
      <c r="X955" s="0" t="inlineStr">
        <is>
          <t>N/A</t>
        </is>
      </c>
      <c r="Y955" s="0" t="inlineStr">
        <is>
          <t>N/A</t>
        </is>
      </c>
      <c r="Z955" s="0" t="inlineStr">
        <is>
          <t>N/A</t>
        </is>
      </c>
      <c r="AA955" s="0" t="inlineStr">
        <is>
          <t>N/A</t>
        </is>
      </c>
    </row>
    <row r="956" ht="15.75" customHeight="1" s="51">
      <c r="A956" s="43" t="inlineStr">
        <is>
          <t>LEU-095-04</t>
        </is>
      </c>
      <c r="B956" s="43" t="inlineStr">
        <is>
          <t>Leucothea</t>
        </is>
      </c>
      <c r="C956" s="43" t="inlineStr">
        <is>
          <t>Smartphones &amp; Tablets</t>
        </is>
      </c>
      <c r="D956" s="43" t="inlineStr">
        <is>
          <t>Tablet</t>
        </is>
      </c>
      <c r="E956" s="44" t="inlineStr">
        <is>
          <t>Leucothea Nimbus Drawing Tablet with Stylus</t>
        </is>
      </c>
      <c r="F956" s="45" t="n">
        <v>445.99</v>
      </c>
      <c r="G956" s="43" t="inlineStr">
        <is>
          <t>the Nimbus; Leucothea Nimbus; Leucoothea Nimbus; Nimbus tablet</t>
        </is>
      </c>
      <c r="H956" s="43" t="inlineStr">
        <is>
          <t>1 year limited</t>
        </is>
      </c>
      <c r="I956" s="43" t="inlineStr">
        <is>
          <t>FCC, CE, TUV Rheinland Low Blue Light</t>
        </is>
      </c>
      <c r="J956" s="43" t="inlineStr">
        <is>
          <t>MediaTek Dimensity 7300</t>
        </is>
      </c>
      <c r="K956" s="43" t="inlineStr">
        <is>
          <t>Arm Mali-G615 MC2</t>
        </is>
      </c>
      <c r="L956" s="43" t="inlineStr">
        <is>
          <t>IPS LCD anti-glare, pen digitizer</t>
        </is>
      </c>
      <c r="M956" s="43" t="inlineStr">
        <is>
          <t>2000x1200</t>
        </is>
      </c>
      <c r="N956" s="43" t="inlineStr">
        <is>
          <t>USB-C (USB 2.0), microSD slot</t>
        </is>
      </c>
      <c r="O956" s="43" t="inlineStr">
        <is>
          <t>Android 15</t>
        </is>
      </c>
      <c r="P956" s="43" t="n">
        <v>11</v>
      </c>
      <c r="Q956" s="46" t="n">
        <v>575</v>
      </c>
      <c r="R956" s="43" t="inlineStr">
        <is>
          <t>Lower price than Erato Blaze Pro Drawing Tablet with Stylus [ERA-085-02] ($445.99 vs $502.99); Longer battery than Aletheia Vibe Ultra Drawing Tablet with Stylus [ALE-089-08] (11 vs 9 hrs)</t>
        </is>
      </c>
      <c r="S956" s="43" t="inlineStr">
        <is>
          <t>drawing, design, note-taking</t>
        </is>
      </c>
      <c r="T956" s="0" t="inlineStr">
        <is>
          <t>in_stock</t>
        </is>
      </c>
      <c r="U956" s="0" t="n">
        <v>45</v>
      </c>
      <c r="V956" s="52" t="n">
        <v>482.99</v>
      </c>
      <c r="W956" s="0" t="inlineStr">
        <is>
          <t>2026-09-25</t>
        </is>
      </c>
      <c r="X956" s="0" t="inlineStr">
        <is>
          <t>N/A</t>
        </is>
      </c>
      <c r="Y956" s="0" t="inlineStr">
        <is>
          <t>N/A</t>
        </is>
      </c>
      <c r="Z956" s="0" t="inlineStr">
        <is>
          <t>N/A</t>
        </is>
      </c>
      <c r="AA956" s="0" t="inlineStr">
        <is>
          <t>N/A</t>
        </is>
      </c>
    </row>
    <row r="957" ht="15.75" customHeight="1" s="51">
      <c r="A957" s="43" t="inlineStr">
        <is>
          <t>LEU-095-05</t>
        </is>
      </c>
      <c r="B957" s="43" t="inlineStr">
        <is>
          <t>Leucothea</t>
        </is>
      </c>
      <c r="C957" s="43" t="inlineStr">
        <is>
          <t>Smartphones &amp; Tablets</t>
        </is>
      </c>
      <c r="D957" s="43" t="inlineStr">
        <is>
          <t>Tablet</t>
        </is>
      </c>
      <c r="E957" s="44" t="inlineStr">
        <is>
          <t>Leucothea Pulse Plus E-Ink Note Tablet</t>
        </is>
      </c>
      <c r="F957" s="45" t="n">
        <v>481.99</v>
      </c>
      <c r="G957" s="43" t="inlineStr">
        <is>
          <t>the Pulse Plus; Leucothea Pulse Plus; Leucotthea Pulse Plus; Pulse Plus tablet</t>
        </is>
      </c>
      <c r="H957" s="43" t="inlineStr">
        <is>
          <t>1 year limited</t>
        </is>
      </c>
      <c r="I957" s="43" t="inlineStr">
        <is>
          <t>FCC, CE, TUV Rheinland Low Blue Light, Energy Star</t>
        </is>
      </c>
      <c r="J957" s="43" t="inlineStr">
        <is>
          <t>Rockchip RK3566</t>
        </is>
      </c>
      <c r="K957" s="43" t="inlineStr">
        <is>
          <t>Arm Mali-G52 2EE</t>
        </is>
      </c>
      <c r="L957" s="43" t="inlineStr">
        <is>
          <t>E Ink Carta 1300, front-lit</t>
        </is>
      </c>
      <c r="M957" s="43" t="inlineStr">
        <is>
          <t>1404x1872</t>
        </is>
      </c>
      <c r="N957" s="43" t="inlineStr">
        <is>
          <t>USB-C (USB 2.0), microSD slot</t>
        </is>
      </c>
      <c r="O957" s="43" t="inlineStr">
        <is>
          <t>Android 13 (E Ink optimized)</t>
        </is>
      </c>
      <c r="P957" s="43" t="n">
        <v>148</v>
      </c>
      <c r="Q957" s="46" t="n">
        <v>403</v>
      </c>
      <c r="R957" s="43" t="inlineStr">
        <is>
          <t>Lower price than Leto Drift Ultra E-Ink Note Tablet [LET-077-06] ($481.99 vs $617.99); Lighter than Circe Orbit Plus E-Ink Note Tablet [CIR-068-03] (403 g vs 414 g)</t>
        </is>
      </c>
      <c r="S957" s="43" t="inlineStr">
        <is>
          <t>reading, note-taking, school</t>
        </is>
      </c>
      <c r="T957" s="0" t="inlineStr">
        <is>
          <t>in_stock</t>
        </is>
      </c>
      <c r="U957" s="0" t="n">
        <v>45</v>
      </c>
      <c r="V957" s="52" t="n">
        <v>545.99</v>
      </c>
      <c r="W957" s="0" t="inlineStr">
        <is>
          <t>2026-09-12</t>
        </is>
      </c>
      <c r="X957" s="0" t="inlineStr">
        <is>
          <t>N/A</t>
        </is>
      </c>
      <c r="Y957" s="0" t="inlineStr">
        <is>
          <t>N/A</t>
        </is>
      </c>
      <c r="Z957" s="0" t="inlineStr">
        <is>
          <t>N/A</t>
        </is>
      </c>
      <c r="AA957" s="0" t="inlineStr">
        <is>
          <t>N/A</t>
        </is>
      </c>
    </row>
    <row r="958" ht="15.75" customHeight="1" s="51">
      <c r="A958" s="43" t="inlineStr">
        <is>
          <t>LEU-095-06</t>
        </is>
      </c>
      <c r="B958" s="43" t="inlineStr">
        <is>
          <t>Leucothea</t>
        </is>
      </c>
      <c r="C958" s="43" t="inlineStr">
        <is>
          <t>Smartphones &amp; Tablets</t>
        </is>
      </c>
      <c r="D958" s="43" t="inlineStr">
        <is>
          <t>Smartphone</t>
        </is>
      </c>
      <c r="E958" s="44" t="inlineStr">
        <is>
          <t>Leucothea Strata Max Flip Foldable Phone</t>
        </is>
      </c>
      <c r="F958" s="45" t="n">
        <v>1036.99</v>
      </c>
      <c r="G958" s="43" t="inlineStr">
        <is>
          <t>the Strata Max; Leucothea Strata Max; Leucothhea Strata Max; Strata Max smartphone</t>
        </is>
      </c>
      <c r="H958" s="43" t="inlineStr">
        <is>
          <t>1 year limited</t>
        </is>
      </c>
      <c r="I958" s="43" t="inlineStr">
        <is>
          <t>FCC, CE, IPX8</t>
        </is>
      </c>
      <c r="J958" s="43" t="inlineStr">
        <is>
          <t>MediaTek Dimensity 9400</t>
        </is>
      </c>
      <c r="K958" s="43" t="inlineStr">
        <is>
          <t>Arm Immortalis-G925</t>
        </is>
      </c>
      <c r="L958" s="43" t="inlineStr">
        <is>
          <t>Foldable AMOLED inner + AMOLED cover screen</t>
        </is>
      </c>
      <c r="M958" s="43" t="inlineStr">
        <is>
          <t>1080x2640 inner / 720x748 cover</t>
        </is>
      </c>
      <c r="N958" s="43" t="inlineStr">
        <is>
          <t>USB-C (USB 3.2), nano-SIM + eSIM</t>
        </is>
      </c>
      <c r="O958" s="43" t="inlineStr">
        <is>
          <t>Android 15</t>
        </is>
      </c>
      <c r="P958" s="43" t="n">
        <v>17</v>
      </c>
      <c r="Q958" s="46" t="n">
        <v>188</v>
      </c>
      <c r="R958" s="43" t="inlineStr">
        <is>
          <t>Longer battery than Lachesis Zen Pro Flip Foldable Phone [LAC-071-07] (17 vs 16 hrs); Lighter than Panacea Apex Air Flip Foldable Phone [PAN-069-09] (188 g vs 191 g)</t>
        </is>
      </c>
      <c r="S958" s="43" t="inlineStr">
        <is>
          <t>style, everyday, compact</t>
        </is>
      </c>
      <c r="T958" s="0" t="inlineStr">
        <is>
          <t>in_stock</t>
        </is>
      </c>
      <c r="U958" s="0" t="n">
        <v>45</v>
      </c>
      <c r="V958" s="52" t="n">
        <v>1076.99</v>
      </c>
      <c r="W958" s="0" t="inlineStr">
        <is>
          <t>2026-08-29</t>
        </is>
      </c>
      <c r="X958" s="0" t="inlineStr">
        <is>
          <t>N/A</t>
        </is>
      </c>
      <c r="Y958" s="0" t="inlineStr">
        <is>
          <t>N/A</t>
        </is>
      </c>
      <c r="Z958" s="0" t="inlineStr">
        <is>
          <t>N/A</t>
        </is>
      </c>
      <c r="AA958" s="0" t="inlineStr">
        <is>
          <t>N/A</t>
        </is>
      </c>
    </row>
    <row r="959" ht="15.75" customHeight="1" s="51">
      <c r="A959" s="43" t="inlineStr">
        <is>
          <t>LEU-095-07</t>
        </is>
      </c>
      <c r="B959" s="43" t="inlineStr">
        <is>
          <t>Leucothea</t>
        </is>
      </c>
      <c r="C959" s="43" t="inlineStr">
        <is>
          <t>Smartphones &amp; Tablets</t>
        </is>
      </c>
      <c r="D959" s="43" t="inlineStr">
        <is>
          <t>Smartphone</t>
        </is>
      </c>
      <c r="E959" s="44" t="inlineStr">
        <is>
          <t>Leucothea Spark Pro Flagship Smartphone</t>
        </is>
      </c>
      <c r="F959" s="45" t="n">
        <v>1100.99</v>
      </c>
      <c r="G959" s="43" t="inlineStr">
        <is>
          <t>the Spark Pro; Leucothea Spark Pro; Leucothe Spark Pro; Spark Pro smartphone</t>
        </is>
      </c>
      <c r="H959" s="43" t="inlineStr">
        <is>
          <t>1 year limited</t>
        </is>
      </c>
      <c r="I959" s="43" t="inlineStr">
        <is>
          <t>FCC, CE, IP68, Qi2</t>
        </is>
      </c>
      <c r="J959" s="43" t="inlineStr">
        <is>
          <t>MediaTek Dimensity 9400</t>
        </is>
      </c>
      <c r="K959" s="43" t="inlineStr">
        <is>
          <t>Arm Immortalis-G925</t>
        </is>
      </c>
      <c r="L959" s="43" t="inlineStr">
        <is>
          <t>LTPO AMOLED, 1-120Hz</t>
        </is>
      </c>
      <c r="M959" s="43" t="inlineStr">
        <is>
          <t>1440x3120</t>
        </is>
      </c>
      <c r="N959" s="43" t="inlineStr">
        <is>
          <t>USB-C (USB 3.2), nano-SIM + eSIM</t>
        </is>
      </c>
      <c r="O959" s="43" t="inlineStr">
        <is>
          <t>Android 15</t>
        </is>
      </c>
      <c r="P959" s="43" t="n">
        <v>30</v>
      </c>
      <c r="Q959" s="46" t="n">
        <v>184</v>
      </c>
      <c r="R959" s="43" t="inlineStr">
        <is>
          <t>Lower price than Dike Aria Flagship Smartphone [DIK-099-09] ($1,100.99 vs $1,267.99); Longer battery than Eurus Axis Pro Flagship Smartphone [EUR-088-08] (30 vs 26 hrs)</t>
        </is>
      </c>
      <c r="S959" s="43" t="inlineStr">
        <is>
          <t>photography, everyday, business</t>
        </is>
      </c>
      <c r="T959" s="0" t="inlineStr">
        <is>
          <t>in_stock</t>
        </is>
      </c>
      <c r="U959" s="0" t="n">
        <v>45</v>
      </c>
      <c r="V959" s="52" t="n">
        <v>1253.99</v>
      </c>
      <c r="W959" s="0" t="inlineStr">
        <is>
          <t>2026-09-23</t>
        </is>
      </c>
      <c r="X959" s="0" t="inlineStr">
        <is>
          <t>N/A</t>
        </is>
      </c>
      <c r="Y959" s="0" t="inlineStr">
        <is>
          <t>N/A</t>
        </is>
      </c>
      <c r="Z959" s="0" t="inlineStr">
        <is>
          <t>N/A</t>
        </is>
      </c>
      <c r="AA959" s="0" t="inlineStr">
        <is>
          <t>N/A</t>
        </is>
      </c>
    </row>
    <row r="960" ht="15.75" customHeight="1" s="51">
      <c r="A960" s="43" t="inlineStr">
        <is>
          <t>LEU-095-08</t>
        </is>
      </c>
      <c r="B960" s="43" t="inlineStr">
        <is>
          <t>Leucothea</t>
        </is>
      </c>
      <c r="C960" s="43" t="inlineStr">
        <is>
          <t>Smartphones &amp; Tablets</t>
        </is>
      </c>
      <c r="D960" s="43" t="inlineStr">
        <is>
          <t>Tablet</t>
        </is>
      </c>
      <c r="E960" s="44" t="inlineStr">
        <is>
          <t>Leucothea Aeon Plus 13" Pro Tablet</t>
        </is>
      </c>
      <c r="F960" s="45" t="n">
        <v>1246.99</v>
      </c>
      <c r="G960" s="43" t="inlineStr">
        <is>
          <t>the Aeon Plus; Leucothea Aeon Plus; Leucotea Aeon Plus; Aeon Plus tablet</t>
        </is>
      </c>
      <c r="H960" s="43" t="inlineStr">
        <is>
          <t>1 year limited</t>
        </is>
      </c>
      <c r="I960" s="43" t="inlineStr">
        <is>
          <t>FCC, CE</t>
        </is>
      </c>
      <c r="J960" s="43" t="inlineStr">
        <is>
          <t>MediaTek Dimensity 9400</t>
        </is>
      </c>
      <c r="K960" s="43" t="inlineStr">
        <is>
          <t>Arm Immortalis-G925</t>
        </is>
      </c>
      <c r="L960" s="43" t="inlineStr">
        <is>
          <t>OLED, 120Hz</t>
        </is>
      </c>
      <c r="M960" s="43" t="inlineStr">
        <is>
          <t>2800x1752</t>
        </is>
      </c>
      <c r="N960" s="43" t="inlineStr">
        <is>
          <t>USB-C (USB 3.2), magnetic keyboard connector</t>
        </is>
      </c>
      <c r="O960" s="43" t="inlineStr">
        <is>
          <t>Android 15</t>
        </is>
      </c>
      <c r="P960" s="43" t="n">
        <v>9</v>
      </c>
      <c r="Q960" s="46" t="n">
        <v>655</v>
      </c>
      <c r="R960" s="43" t="inlineStr">
        <is>
          <t>Lighter than Tyche Lumen Plus 13" Pro Tablet [TYC-055-08] (655 g vs 667 g); Lower price than Phobos Drift Lite 13" Pro Tablet [PHO-053-09] ($1,246.99 vs $1,512.99)</t>
        </is>
      </c>
      <c r="S960" s="43" t="inlineStr">
        <is>
          <t>creative work, productivity, drawing</t>
        </is>
      </c>
      <c r="T960" s="0" t="inlineStr">
        <is>
          <t>in_stock</t>
        </is>
      </c>
      <c r="U960" s="0" t="n">
        <v>45</v>
      </c>
      <c r="V960" s="52" t="n">
        <v>1353.99</v>
      </c>
      <c r="W960" s="0" t="inlineStr">
        <is>
          <t>2026-09-21</t>
        </is>
      </c>
      <c r="X960" s="0" t="inlineStr">
        <is>
          <t>N/A</t>
        </is>
      </c>
      <c r="Y960" s="0" t="inlineStr">
        <is>
          <t>N/A</t>
        </is>
      </c>
      <c r="Z960" s="0" t="inlineStr">
        <is>
          <t>N/A</t>
        </is>
      </c>
      <c r="AA960" s="0" t="inlineStr">
        <is>
          <t>N/A</t>
        </is>
      </c>
    </row>
    <row r="961" ht="15.75" customHeight="1" s="51">
      <c r="A961" s="43" t="inlineStr">
        <is>
          <t>LEU-095-09</t>
        </is>
      </c>
      <c r="B961" s="43" t="inlineStr">
        <is>
          <t>Leucothea</t>
        </is>
      </c>
      <c r="C961" s="43" t="inlineStr">
        <is>
          <t>Smartphones &amp; Tablets</t>
        </is>
      </c>
      <c r="D961" s="43" t="inlineStr">
        <is>
          <t>Smartphone</t>
        </is>
      </c>
      <c r="E961" s="44" t="inlineStr">
        <is>
          <t>Leucothea Nova Air Pro Max Smartphone</t>
        </is>
      </c>
      <c r="F961" s="45" t="n">
        <v>1265.99</v>
      </c>
      <c r="G961" s="43" t="inlineStr">
        <is>
          <t>the Nova Air; Leucothea Nova Air; Leucothe Nova Air; Nova Air smartphone</t>
        </is>
      </c>
      <c r="H961" s="43" t="inlineStr">
        <is>
          <t>1 year limited</t>
        </is>
      </c>
      <c r="I961" s="43" t="inlineStr">
        <is>
          <t>FCC, CE, IP68, Qi2</t>
        </is>
      </c>
      <c r="J961" s="43" t="inlineStr">
        <is>
          <t>MediaTek Dimensity 9400</t>
        </is>
      </c>
      <c r="K961" s="43" t="inlineStr">
        <is>
          <t>Arm Immortalis-G925</t>
        </is>
      </c>
      <c r="L961" s="43" t="inlineStr">
        <is>
          <t>LTPO AMOLED, 1-120Hz</t>
        </is>
      </c>
      <c r="M961" s="43" t="inlineStr">
        <is>
          <t>1440x3120</t>
        </is>
      </c>
      <c r="N961" s="43" t="inlineStr">
        <is>
          <t>USB-C (USB 3.2), nano-SIM + eSIM</t>
        </is>
      </c>
      <c r="O961" s="43" t="inlineStr">
        <is>
          <t>Android 15</t>
        </is>
      </c>
      <c r="P961" s="43" t="n">
        <v>28</v>
      </c>
      <c r="Q961" s="46" t="n">
        <v>220</v>
      </c>
      <c r="R961" s="43" t="inlineStr">
        <is>
          <t>Lighter than Erato Core Plus Pro Max Smartphone [ERA-085-09] (220 g vs 232 g); Lower price than Dike Lumen Max Pro Max Smartphone [DIK-099-10] ($1,265.99 vs $1,396.99)</t>
        </is>
      </c>
      <c r="S961" s="43" t="inlineStr">
        <is>
          <t>photography, video, mobile gaming</t>
        </is>
      </c>
      <c r="T961" s="0" t="inlineStr">
        <is>
          <t>in_stock</t>
        </is>
      </c>
      <c r="U961" s="0" t="n">
        <v>45</v>
      </c>
      <c r="V961" s="52" t="n">
        <v>1445.99</v>
      </c>
      <c r="W961" s="0" t="inlineStr">
        <is>
          <t>2026-08-28</t>
        </is>
      </c>
      <c r="X961" s="0" t="inlineStr">
        <is>
          <t>N/A</t>
        </is>
      </c>
      <c r="Y961" s="0" t="inlineStr">
        <is>
          <t>N/A</t>
        </is>
      </c>
      <c r="Z961" s="0" t="inlineStr">
        <is>
          <t>N/A</t>
        </is>
      </c>
      <c r="AA961" s="0" t="inlineStr">
        <is>
          <t>N/A</t>
        </is>
      </c>
    </row>
    <row r="962" ht="15.75" customHeight="1" s="51">
      <c r="A962" s="43" t="inlineStr">
        <is>
          <t>LEU-095-10</t>
        </is>
      </c>
      <c r="B962" s="43" t="inlineStr">
        <is>
          <t>Leucothea</t>
        </is>
      </c>
      <c r="C962" s="43" t="inlineStr">
        <is>
          <t>Smartphones &amp; Tablets</t>
        </is>
      </c>
      <c r="D962" s="43" t="inlineStr">
        <is>
          <t>Smartphone</t>
        </is>
      </c>
      <c r="E962" s="44" t="inlineStr">
        <is>
          <t>Leucothea Strata Max Foldable Phone</t>
        </is>
      </c>
      <c r="F962" s="45" t="n">
        <v>2090.99</v>
      </c>
      <c r="G962" s="43" t="inlineStr">
        <is>
          <t>the Strata Max; Leucothea Strata Max; Lucothea Strata Max; Strata Max smartphone</t>
        </is>
      </c>
      <c r="H962" s="43" t="inlineStr">
        <is>
          <t>2 year limited</t>
        </is>
      </c>
      <c r="I962" s="43" t="inlineStr">
        <is>
          <t>FCC, CE, IPX8</t>
        </is>
      </c>
      <c r="J962" s="43" t="inlineStr">
        <is>
          <t>Qualcomm Snapdragon 8 Elite</t>
        </is>
      </c>
      <c r="K962" s="43" t="inlineStr">
        <is>
          <t>Qualcomm Adreno 830</t>
        </is>
      </c>
      <c r="L962" s="43" t="inlineStr">
        <is>
          <t>Foldable LTPO AMOLED inner + AMOLED cover, 120Hz</t>
        </is>
      </c>
      <c r="M962" s="43" t="inlineStr">
        <is>
          <t>2160x1856 inner / 1080x2376 cover</t>
        </is>
      </c>
      <c r="N962" s="43" t="inlineStr">
        <is>
          <t>USB-C (USB 3.2), nano-SIM + eSIM</t>
        </is>
      </c>
      <c r="O962" s="43" t="inlineStr">
        <is>
          <t>Android 15</t>
        </is>
      </c>
      <c r="P962" s="43" t="n">
        <v>22</v>
      </c>
      <c r="Q962" s="46" t="n">
        <v>232</v>
      </c>
      <c r="R962" s="43" t="inlineStr">
        <is>
          <t>Longer battery than Phorcys Halo SE Foldable Phone [PHO-087-10] (22 vs 18 hrs); Lighter than Athena Onyx Air Foldable Phone [ATH-064-10] (232 g vs 236 g)</t>
        </is>
      </c>
      <c r="S962" s="43" t="inlineStr">
        <is>
          <t>multitasking, business, media</t>
        </is>
      </c>
      <c r="T962" s="0" t="inlineStr">
        <is>
          <t>out_of_stock</t>
        </is>
      </c>
      <c r="U962" s="0" t="n">
        <v>45</v>
      </c>
      <c r="V962" s="52" t="n">
        <v>2312.99</v>
      </c>
      <c r="W962" s="0" t="inlineStr">
        <is>
          <t>2026-09-11</t>
        </is>
      </c>
      <c r="X962" s="0" t="inlineStr">
        <is>
          <t>N/A</t>
        </is>
      </c>
      <c r="Y962" s="0" t="inlineStr">
        <is>
          <t>N/A</t>
        </is>
      </c>
      <c r="Z962" s="0" t="inlineStr">
        <is>
          <t>N/A</t>
        </is>
      </c>
      <c r="AA962" s="0" t="inlineStr">
        <is>
          <t>N/A</t>
        </is>
      </c>
    </row>
    <row r="963" ht="15.75" customHeight="1" s="51">
      <c r="A963" s="43" t="inlineStr">
        <is>
          <t>IAP-096-01</t>
        </is>
      </c>
      <c r="B963" s="43" t="inlineStr">
        <is>
          <t>Iapetus</t>
        </is>
      </c>
      <c r="C963" s="43" t="inlineStr">
        <is>
          <t>Smartphones &amp; Tablets</t>
        </is>
      </c>
      <c r="D963" s="43" t="inlineStr">
        <is>
          <t>Tablet</t>
        </is>
      </c>
      <c r="E963" s="44" t="inlineStr">
        <is>
          <t>Iapetus Blaze Kids Tablet</t>
        </is>
      </c>
      <c r="F963" s="45" t="n">
        <v>136.99</v>
      </c>
      <c r="G963" s="43" t="inlineStr">
        <is>
          <t>the Blaze; Iapetus Blaze; Iapetu Blaze; Blaze tablet</t>
        </is>
      </c>
      <c r="H963" s="43" t="inlineStr">
        <is>
          <t>1 year limited</t>
        </is>
      </c>
      <c r="I963" s="43" t="inlineStr">
        <is>
          <t>FCC, CE, TUV Rheinland Low Blue Light, EN 71 Toy Safety</t>
        </is>
      </c>
      <c r="J963" s="43" t="inlineStr">
        <is>
          <t>MediaTek Helio G88</t>
        </is>
      </c>
      <c r="K963" s="43" t="inlineStr">
        <is>
          <t>Arm Mali-G52 MC2</t>
        </is>
      </c>
      <c r="L963" s="43" t="inlineStr">
        <is>
          <t>IPS LCD, 60Hz</t>
        </is>
      </c>
      <c r="M963" s="43" t="inlineStr">
        <is>
          <t>800x1280</t>
        </is>
      </c>
      <c r="N963" s="43" t="inlineStr">
        <is>
          <t>USB-C (USB 2.0), microSD slot</t>
        </is>
      </c>
      <c r="O963" s="43" t="inlineStr">
        <is>
          <t>Android 14 with parental controls</t>
        </is>
      </c>
      <c r="P963" s="43" t="n">
        <v>8</v>
      </c>
      <c r="Q963" s="46" t="n">
        <v>435</v>
      </c>
      <c r="R963" s="43" t="inlineStr">
        <is>
          <t>Lighter than Helios Nimbus Air Kids Tablet [HEL-073-01] (435 g vs 438 g); Lower price than Styx Spark Lite Kids Tablet [STY-058-01] ($136.99 vs $152.99)</t>
        </is>
      </c>
      <c r="S963" s="43" t="inlineStr">
        <is>
          <t>kids, learning, games</t>
        </is>
      </c>
      <c r="T963" s="0" t="inlineStr">
        <is>
          <t>in_stock</t>
        </is>
      </c>
      <c r="U963" s="0" t="n">
        <v>14</v>
      </c>
      <c r="V963" s="52" t="n">
        <v>153.99</v>
      </c>
      <c r="W963" s="0" t="inlineStr">
        <is>
          <t>2026-08-06</t>
        </is>
      </c>
      <c r="X963" s="0" t="inlineStr">
        <is>
          <t>N/A</t>
        </is>
      </c>
      <c r="Y963" s="0" t="inlineStr">
        <is>
          <t>N/A</t>
        </is>
      </c>
      <c r="Z963" s="0" t="inlineStr">
        <is>
          <t>N/A</t>
        </is>
      </c>
      <c r="AA963" s="0" t="inlineStr">
        <is>
          <t>N/A</t>
        </is>
      </c>
    </row>
    <row r="964" ht="15.75" customHeight="1" s="51">
      <c r="A964" s="43" t="inlineStr">
        <is>
          <t>IAP-096-02</t>
        </is>
      </c>
      <c r="B964" s="43" t="inlineStr">
        <is>
          <t>Iapetus</t>
        </is>
      </c>
      <c r="C964" s="43" t="inlineStr">
        <is>
          <t>Smartphones &amp; Tablets</t>
        </is>
      </c>
      <c r="D964" s="43" t="inlineStr">
        <is>
          <t>Tablet</t>
        </is>
      </c>
      <c r="E964" s="44" t="inlineStr">
        <is>
          <t>Iapetus Rift Pro 8" Mini Tablet</t>
        </is>
      </c>
      <c r="F964" s="45" t="n">
        <v>220.99</v>
      </c>
      <c r="G964" s="43" t="inlineStr">
        <is>
          <t>the Rift Pro; Iapetus Rift Pro; Iapeuts Rift Pro; Rift Pro tablet</t>
        </is>
      </c>
      <c r="H964" s="43" t="inlineStr">
        <is>
          <t>1 year limited</t>
        </is>
      </c>
      <c r="I964" s="43" t="inlineStr">
        <is>
          <t>FCC, CE, TUV Rheinland Low Blue Light</t>
        </is>
      </c>
      <c r="J964" s="43" t="inlineStr">
        <is>
          <t>MediaTek Helio G99</t>
        </is>
      </c>
      <c r="K964" s="43" t="inlineStr">
        <is>
          <t>Arm Mali-G57 MC2</t>
        </is>
      </c>
      <c r="L964" s="43" t="inlineStr">
        <is>
          <t>IPS LCD, 60Hz</t>
        </is>
      </c>
      <c r="M964" s="43" t="inlineStr">
        <is>
          <t>1200x1920</t>
        </is>
      </c>
      <c r="N964" s="43" t="inlineStr">
        <is>
          <t>USB-C (USB 2.0), microSD slot</t>
        </is>
      </c>
      <c r="O964" s="43" t="inlineStr">
        <is>
          <t>Android 15</t>
        </is>
      </c>
      <c r="P964" s="43" t="n">
        <v>10</v>
      </c>
      <c r="Q964" s="46" t="n">
        <v>306</v>
      </c>
      <c r="R964" s="43" t="inlineStr">
        <is>
          <t>Lower price than Aether Drift SE 8" Mini Tablet [AET-080-03] ($220.99 vs $486.99); Longer battery than Circe Spark 8" Mini Tablet [CIR-068-02] (10 vs 9 hrs)</t>
        </is>
      </c>
      <c r="S964" s="43" t="inlineStr">
        <is>
          <t>reading, travel, gaming</t>
        </is>
      </c>
      <c r="T964" s="0" t="inlineStr">
        <is>
          <t>in_stock</t>
        </is>
      </c>
      <c r="U964" s="0" t="n">
        <v>14</v>
      </c>
      <c r="V964" s="52" t="n">
        <v>243.99</v>
      </c>
      <c r="W964" s="0" t="inlineStr">
        <is>
          <t>2026-09-01</t>
        </is>
      </c>
      <c r="X964" s="0" t="inlineStr">
        <is>
          <t>N/A</t>
        </is>
      </c>
      <c r="Y964" s="0" t="inlineStr">
        <is>
          <t>N/A</t>
        </is>
      </c>
      <c r="Z964" s="0" t="inlineStr">
        <is>
          <t>N/A</t>
        </is>
      </c>
      <c r="AA964" s="0" t="inlineStr">
        <is>
          <t>N/A</t>
        </is>
      </c>
    </row>
    <row r="965" ht="15.75" customHeight="1" s="51">
      <c r="A965" s="43" t="inlineStr">
        <is>
          <t>IAP-096-03</t>
        </is>
      </c>
      <c r="B965" s="43" t="inlineStr">
        <is>
          <t>Iapetus</t>
        </is>
      </c>
      <c r="C965" s="43" t="inlineStr">
        <is>
          <t>Smartphones &amp; Tablets</t>
        </is>
      </c>
      <c r="D965" s="43" t="inlineStr">
        <is>
          <t>Smartphone</t>
        </is>
      </c>
      <c r="E965" s="44" t="inlineStr">
        <is>
          <t>Iapetus Flux Pro Budget Smartphone</t>
        </is>
      </c>
      <c r="F965" s="45" t="n">
        <v>285.99</v>
      </c>
      <c r="G965" s="43" t="inlineStr">
        <is>
          <t>the Flux Pro; Iapetus Flux Pro; Iapettus Flux Pro; Flux Pro smartphone</t>
        </is>
      </c>
      <c r="H965" s="43" t="inlineStr">
        <is>
          <t>1 year limited</t>
        </is>
      </c>
      <c r="I965" s="43" t="inlineStr">
        <is>
          <t>FCC, CE, IP54</t>
        </is>
      </c>
      <c r="J965" s="43" t="inlineStr">
        <is>
          <t>Qualcomm Snapdragon 6 Gen 1</t>
        </is>
      </c>
      <c r="K965" s="43" t="inlineStr">
        <is>
          <t>Qualcomm Adreno 710</t>
        </is>
      </c>
      <c r="L965" s="43" t="inlineStr">
        <is>
          <t>IPS LCD, 90Hz</t>
        </is>
      </c>
      <c r="M965" s="43" t="inlineStr">
        <is>
          <t>1080x2400</t>
        </is>
      </c>
      <c r="N965" s="43" t="inlineStr">
        <is>
          <t>USB-C (USB 2.0), nano-SIM + eSIM, 3.5mm headphone jack, microSD slot</t>
        </is>
      </c>
      <c r="O965" s="43" t="inlineStr">
        <is>
          <t>Android 14</t>
        </is>
      </c>
      <c r="P965" s="43" t="n">
        <v>24</v>
      </c>
      <c r="Q965" s="46" t="n">
        <v>201</v>
      </c>
      <c r="R965" s="43" t="inlineStr">
        <is>
          <t>Lighter than Coeus Sable Pro Budget Smartphone [COE-075-01] (201 g vs 209 g); Lower price than Aglaea Lumen SE Budget Smartphone [AGL-079-03] ($285.99 vs $373.99)</t>
        </is>
      </c>
      <c r="S965" s="43" t="inlineStr">
        <is>
          <t>budget, first phone, everyday</t>
        </is>
      </c>
      <c r="T965" s="0" t="inlineStr">
        <is>
          <t>in_stock</t>
        </is>
      </c>
      <c r="U965" s="0" t="n">
        <v>14</v>
      </c>
      <c r="V965" s="52" t="n">
        <v>310.99</v>
      </c>
      <c r="W965" s="0" t="inlineStr">
        <is>
          <t>2026-09-01</t>
        </is>
      </c>
      <c r="X965" s="0" t="inlineStr">
        <is>
          <t>N/A</t>
        </is>
      </c>
      <c r="Y965" s="0" t="inlineStr">
        <is>
          <t>N/A</t>
        </is>
      </c>
      <c r="Z965" s="0" t="inlineStr">
        <is>
          <t>N/A</t>
        </is>
      </c>
      <c r="AA965" s="0" t="inlineStr">
        <is>
          <t>N/A</t>
        </is>
      </c>
    </row>
    <row r="966" ht="15.75" customHeight="1" s="51">
      <c r="A966" s="43" t="inlineStr">
        <is>
          <t>IAP-096-04</t>
        </is>
      </c>
      <c r="B966" s="43" t="inlineStr">
        <is>
          <t>Iapetus</t>
        </is>
      </c>
      <c r="C966" s="43" t="inlineStr">
        <is>
          <t>Smartphones &amp; Tablets</t>
        </is>
      </c>
      <c r="D966" s="43" t="inlineStr">
        <is>
          <t>Smartphone</t>
        </is>
      </c>
      <c r="E966" s="44" t="inlineStr">
        <is>
          <t>Iapetus Core Rugged Smartphone</t>
        </is>
      </c>
      <c r="F966" s="45" t="n">
        <v>662.99</v>
      </c>
      <c r="G966" s="43" t="inlineStr">
        <is>
          <t>the Core; Iapetus Core; Iapetuss Core; Core smartphone</t>
        </is>
      </c>
      <c r="H966" s="43" t="inlineStr">
        <is>
          <t>2 year limited</t>
        </is>
      </c>
      <c r="I966" s="43" t="inlineStr">
        <is>
          <t>FCC, CE, IP69K, MIL-STD-810H</t>
        </is>
      </c>
      <c r="J966" s="43" t="inlineStr">
        <is>
          <t>MediaTek Dimensity 8300</t>
        </is>
      </c>
      <c r="K966" s="43" t="inlineStr">
        <is>
          <t>Arm Mali-G615 MC6</t>
        </is>
      </c>
      <c r="L966" s="43" t="inlineStr">
        <is>
          <t>IPS LCD, Gorilla Glass Victus, 120Hz</t>
        </is>
      </c>
      <c r="M966" s="43" t="inlineStr">
        <is>
          <t>1080x2400</t>
        </is>
      </c>
      <c r="N966" s="43" t="inlineStr">
        <is>
          <t>USB-C (USB 2.0), nano-SIM + eSIM, 3.5mm headphone jack, microSD slot</t>
        </is>
      </c>
      <c r="O966" s="43" t="inlineStr">
        <is>
          <t>Android 15</t>
        </is>
      </c>
      <c r="P966" s="43" t="n">
        <v>35</v>
      </c>
      <c r="Q966" s="46" t="n">
        <v>324</v>
      </c>
      <c r="R966" s="43" t="inlineStr">
        <is>
          <t>Longer battery than Theia Aeon Ultra Rugged Smartphone [THE-081-03] (35 vs 29 hrs); Lighter than Mnemosyne Drift Rugged Smartphone [MNE-061-04] (324 g vs 336 g)</t>
        </is>
      </c>
      <c r="S966" s="43" t="inlineStr">
        <is>
          <t>outdoor, construction, fieldwork</t>
        </is>
      </c>
      <c r="T966" s="0" t="inlineStr">
        <is>
          <t>out_of_stock</t>
        </is>
      </c>
      <c r="U966" s="0" t="n">
        <v>14</v>
      </c>
      <c r="V966" s="52" t="n">
        <v>752.99</v>
      </c>
      <c r="W966" s="0" t="inlineStr">
        <is>
          <t>2026-09-09</t>
        </is>
      </c>
      <c r="X966" s="0" t="inlineStr">
        <is>
          <t>N/A</t>
        </is>
      </c>
      <c r="Y966" s="0" t="inlineStr">
        <is>
          <t>N/A</t>
        </is>
      </c>
      <c r="Z966" s="0" t="inlineStr">
        <is>
          <t>N/A</t>
        </is>
      </c>
      <c r="AA966" s="0" t="inlineStr">
        <is>
          <t>N/A</t>
        </is>
      </c>
    </row>
    <row r="967" ht="15.75" customHeight="1" s="51">
      <c r="A967" s="43" t="inlineStr">
        <is>
          <t>IAP-096-05</t>
        </is>
      </c>
      <c r="B967" s="43" t="inlineStr">
        <is>
          <t>Iapetus</t>
        </is>
      </c>
      <c r="C967" s="43" t="inlineStr">
        <is>
          <t>Smartphones &amp; Tablets</t>
        </is>
      </c>
      <c r="D967" s="43" t="inlineStr">
        <is>
          <t>Smartphone</t>
        </is>
      </c>
      <c r="E967" s="44" t="inlineStr">
        <is>
          <t>Iapetus Arc SE Compact Smartphone</t>
        </is>
      </c>
      <c r="F967" s="45" t="n">
        <v>769.99</v>
      </c>
      <c r="G967" s="43" t="inlineStr">
        <is>
          <t>the Arc SE; Iapetus Arc SE; Ipaetus Arc SE; Arc SE smartphone</t>
        </is>
      </c>
      <c r="H967" s="43" t="inlineStr">
        <is>
          <t>1 year limited</t>
        </is>
      </c>
      <c r="I967" s="43" t="inlineStr">
        <is>
          <t>FCC, CE, IP68</t>
        </is>
      </c>
      <c r="J967" s="43" t="inlineStr">
        <is>
          <t>MediaTek Dimensity 8300</t>
        </is>
      </c>
      <c r="K967" s="43" t="inlineStr">
        <is>
          <t>Arm Mali-G615 MC6</t>
        </is>
      </c>
      <c r="L967" s="43" t="inlineStr">
        <is>
          <t>AMOLED, 120Hz</t>
        </is>
      </c>
      <c r="M967" s="43" t="inlineStr">
        <is>
          <t>1080x2340</t>
        </is>
      </c>
      <c r="N967" s="43" t="inlineStr">
        <is>
          <t>USB-C (USB 3.2), nano-SIM + eSIM</t>
        </is>
      </c>
      <c r="O967" s="43" t="inlineStr">
        <is>
          <t>Android 15</t>
        </is>
      </c>
      <c r="P967" s="43" t="n">
        <v>18</v>
      </c>
      <c r="Q967" s="46" t="n">
        <v>165</v>
      </c>
      <c r="R967" s="43" t="inlineStr">
        <is>
          <t>Lower price than Erato Titan Plus Compact Smartphone [ERA-085-06] ($769.99 vs $894.99); Lighter than Nemesis Strata Lite Compact Smartphone [NEM-051-05] (165 g vs 167 g)</t>
        </is>
      </c>
      <c r="S967" s="43" t="inlineStr">
        <is>
          <t>everyday, one-handed use</t>
        </is>
      </c>
      <c r="T967" s="0" t="inlineStr">
        <is>
          <t>in_stock</t>
        </is>
      </c>
      <c r="U967" s="0" t="n">
        <v>14</v>
      </c>
      <c r="V967" s="52" t="n">
        <v>871.99</v>
      </c>
      <c r="W967" s="0" t="inlineStr">
        <is>
          <t>2026-08-09</t>
        </is>
      </c>
      <c r="X967" s="0" t="inlineStr">
        <is>
          <t>N/A</t>
        </is>
      </c>
      <c r="Y967" s="0" t="inlineStr">
        <is>
          <t>N/A</t>
        </is>
      </c>
      <c r="Z967" s="0" t="inlineStr">
        <is>
          <t>N/A</t>
        </is>
      </c>
      <c r="AA967" s="0" t="inlineStr">
        <is>
          <t>N/A</t>
        </is>
      </c>
    </row>
    <row r="968" ht="15.75" customHeight="1" s="51">
      <c r="A968" s="43" t="inlineStr">
        <is>
          <t>IAP-096-06</t>
        </is>
      </c>
      <c r="B968" s="43" t="inlineStr">
        <is>
          <t>Iapetus</t>
        </is>
      </c>
      <c r="C968" s="43" t="inlineStr">
        <is>
          <t>Smartphones &amp; Tablets</t>
        </is>
      </c>
      <c r="D968" s="43" t="inlineStr">
        <is>
          <t>Tablet</t>
        </is>
      </c>
      <c r="E968" s="44" t="inlineStr">
        <is>
          <t>Iapetus Aria Drawing Tablet with Stylus</t>
        </is>
      </c>
      <c r="F968" s="45" t="n">
        <v>1049.99</v>
      </c>
      <c r="G968" s="43" t="inlineStr">
        <is>
          <t>the Aria; Iapetus Aria; Iapteus Aria; Aria tablet</t>
        </is>
      </c>
      <c r="H968" s="43" t="inlineStr">
        <is>
          <t>2 year limited</t>
        </is>
      </c>
      <c r="I968" s="43" t="inlineStr">
        <is>
          <t>FCC, CE, TUV Rheinland Low Blue Light, Energy Star</t>
        </is>
      </c>
      <c r="J968" s="43" t="inlineStr">
        <is>
          <t>MediaTek Dimensity 9400</t>
        </is>
      </c>
      <c r="K968" s="43" t="inlineStr">
        <is>
          <t>Arm Immortalis-G925</t>
        </is>
      </c>
      <c r="L968" s="43" t="inlineStr">
        <is>
          <t>OLED, 120Hz, pen digitizer</t>
        </is>
      </c>
      <c r="M968" s="43" t="inlineStr">
        <is>
          <t>2560x1600</t>
        </is>
      </c>
      <c r="N968" s="43" t="inlineStr">
        <is>
          <t>USB-C (USB 3.2), magnetic keyboard connector</t>
        </is>
      </c>
      <c r="O968" s="43" t="inlineStr">
        <is>
          <t>Android 15</t>
        </is>
      </c>
      <c r="P968" s="43" t="n">
        <v>8</v>
      </c>
      <c r="Q968" s="46" t="n">
        <v>605</v>
      </c>
      <c r="R968" s="43" t="inlineStr">
        <is>
          <t>Lower price than Lethe Echo X Drawing Tablet with Stylus [LET-086-09] ($1,049.99 vs $1,222.99); Lighter than Mnemosyne Vertex Lite Drawing Tablet with Stylus [MNE-061-06] (605 g vs 639 g)</t>
        </is>
      </c>
      <c r="S968" s="43" t="inlineStr">
        <is>
          <t>drawing, design, note-taking</t>
        </is>
      </c>
      <c r="T968" s="0" t="inlineStr">
        <is>
          <t>in_stock</t>
        </is>
      </c>
      <c r="U968" s="0" t="n">
        <v>14</v>
      </c>
      <c r="V968" s="52" t="n">
        <v>1097.99</v>
      </c>
      <c r="W968" s="0" t="inlineStr">
        <is>
          <t>2026-09-18</t>
        </is>
      </c>
      <c r="X968" s="0" t="inlineStr">
        <is>
          <t>N/A</t>
        </is>
      </c>
      <c r="Y968" s="0" t="inlineStr">
        <is>
          <t>N/A</t>
        </is>
      </c>
      <c r="Z968" s="0" t="inlineStr">
        <is>
          <t>N/A</t>
        </is>
      </c>
      <c r="AA968" s="0" t="inlineStr">
        <is>
          <t>N/A</t>
        </is>
      </c>
    </row>
    <row r="969" ht="15.75" customHeight="1" s="51">
      <c r="A969" s="43" t="inlineStr">
        <is>
          <t>IAP-096-07</t>
        </is>
      </c>
      <c r="B969" s="43" t="inlineStr">
        <is>
          <t>Iapetus</t>
        </is>
      </c>
      <c r="C969" s="43" t="inlineStr">
        <is>
          <t>Smartphones &amp; Tablets</t>
        </is>
      </c>
      <c r="D969" s="43" t="inlineStr">
        <is>
          <t>Smartphone</t>
        </is>
      </c>
      <c r="E969" s="44" t="inlineStr">
        <is>
          <t>Iapetus Echo Lite Flagship Smartphone</t>
        </is>
      </c>
      <c r="F969" s="45" t="n">
        <v>1290.99</v>
      </c>
      <c r="G969" s="43" t="inlineStr">
        <is>
          <t>the Echo Lite; Iapetus Echo Lite; Iapettus Echo Lite; Echo Lite smartphone</t>
        </is>
      </c>
      <c r="H969" s="43" t="inlineStr">
        <is>
          <t>2 year limited</t>
        </is>
      </c>
      <c r="I969" s="43" t="inlineStr">
        <is>
          <t>FCC, CE, IP68, Qi2</t>
        </is>
      </c>
      <c r="J969" s="43" t="inlineStr">
        <is>
          <t>MediaTek Dimensity 9400</t>
        </is>
      </c>
      <c r="K969" s="43" t="inlineStr">
        <is>
          <t>Arm Immortalis-G925</t>
        </is>
      </c>
      <c r="L969" s="43" t="inlineStr">
        <is>
          <t>LTPO AMOLED, 1-120Hz</t>
        </is>
      </c>
      <c r="M969" s="43" t="inlineStr">
        <is>
          <t>1440x3120</t>
        </is>
      </c>
      <c r="N969" s="43" t="inlineStr">
        <is>
          <t>USB-C (USB 3.2), nano-SIM + eSIM</t>
        </is>
      </c>
      <c r="O969" s="43" t="inlineStr">
        <is>
          <t>Android 15</t>
        </is>
      </c>
      <c r="P969" s="43" t="n">
        <v>28</v>
      </c>
      <c r="Q969" s="46" t="n">
        <v>176</v>
      </c>
      <c r="R969" s="43" t="inlineStr">
        <is>
          <t>Longer battery than Hypnos Spark Pro Flagship Smartphone [HYP-059-08] (28 vs 27 hrs); Lighter than Elpis Nova Max Flagship Smartphone [ELP-074-08] (176 g vs 196 g)</t>
        </is>
      </c>
      <c r="S969" s="43" t="inlineStr">
        <is>
          <t>photography, everyday, business</t>
        </is>
      </c>
      <c r="T969" s="0" t="inlineStr">
        <is>
          <t>in_stock</t>
        </is>
      </c>
      <c r="U969" s="0" t="n">
        <v>14</v>
      </c>
      <c r="V969" s="52" t="n">
        <v>1357.99</v>
      </c>
      <c r="W969" s="0" t="inlineStr">
        <is>
          <t>2026-08-20</t>
        </is>
      </c>
      <c r="X969" s="0" t="inlineStr">
        <is>
          <t>N/A</t>
        </is>
      </c>
      <c r="Y969" s="0" t="inlineStr">
        <is>
          <t>N/A</t>
        </is>
      </c>
      <c r="Z969" s="0" t="inlineStr">
        <is>
          <t>N/A</t>
        </is>
      </c>
      <c r="AA969" s="0" t="inlineStr">
        <is>
          <t>N/A</t>
        </is>
      </c>
    </row>
    <row r="970" ht="15.75" customHeight="1" s="51">
      <c r="A970" s="43" t="inlineStr">
        <is>
          <t>IAP-096-08</t>
        </is>
      </c>
      <c r="B970" s="43" t="inlineStr">
        <is>
          <t>Iapetus</t>
        </is>
      </c>
      <c r="C970" s="43" t="inlineStr">
        <is>
          <t>Smartphones &amp; Tablets</t>
        </is>
      </c>
      <c r="D970" s="43" t="inlineStr">
        <is>
          <t>Tablet</t>
        </is>
      </c>
      <c r="E970" s="44" t="inlineStr">
        <is>
          <t>Iapetus Pulse SE 13" Pro Tablet</t>
        </is>
      </c>
      <c r="F970" s="45" t="n">
        <v>1341.99</v>
      </c>
      <c r="G970" s="43" t="inlineStr">
        <is>
          <t>the Pulse SE; Iapetus Pulse SE; Iappetus Pulse SE; Pulse SE tablet</t>
        </is>
      </c>
      <c r="H970" s="43" t="inlineStr">
        <is>
          <t>1 year limited</t>
        </is>
      </c>
      <c r="I970" s="43" t="inlineStr">
        <is>
          <t>FCC, CE</t>
        </is>
      </c>
      <c r="J970" s="43" t="inlineStr">
        <is>
          <t>Qualcomm Snapdragon 8 Elite</t>
        </is>
      </c>
      <c r="K970" s="43" t="inlineStr">
        <is>
          <t>Qualcomm Adreno 830</t>
        </is>
      </c>
      <c r="L970" s="43" t="inlineStr">
        <is>
          <t>OLED, 120Hz</t>
        </is>
      </c>
      <c r="M970" s="43" t="inlineStr">
        <is>
          <t>2800x1752</t>
        </is>
      </c>
      <c r="N970" s="43" t="inlineStr">
        <is>
          <t>USB-C (USB 3.2), magnetic keyboard connector</t>
        </is>
      </c>
      <c r="O970" s="43" t="inlineStr">
        <is>
          <t>Android 15</t>
        </is>
      </c>
      <c r="P970" s="43" t="n">
        <v>9</v>
      </c>
      <c r="Q970" s="46" t="n">
        <v>586</v>
      </c>
      <c r="R970" s="43" t="inlineStr">
        <is>
          <t>Lower price than Helios Arc Max 13" Pro Tablet [HEL-073-09] ($1,341.99 vs $1,711.99); Lighter than Lethe Onyx SE 13" Pro Tablet [LET-086-08] (586 g vs 637 g)</t>
        </is>
      </c>
      <c r="S970" s="43" t="inlineStr">
        <is>
          <t>creative work, productivity, drawing</t>
        </is>
      </c>
      <c r="T970" s="0" t="inlineStr">
        <is>
          <t>in_stock</t>
        </is>
      </c>
      <c r="U970" s="0" t="n">
        <v>14</v>
      </c>
      <c r="V970" s="52" t="n">
        <v>1516.99</v>
      </c>
      <c r="W970" s="0" t="inlineStr">
        <is>
          <t>2026-08-22</t>
        </is>
      </c>
      <c r="X970" s="0" t="inlineStr">
        <is>
          <t>N/A</t>
        </is>
      </c>
      <c r="Y970" s="0" t="inlineStr">
        <is>
          <t>N/A</t>
        </is>
      </c>
      <c r="Z970" s="0" t="inlineStr">
        <is>
          <t>N/A</t>
        </is>
      </c>
      <c r="AA970" s="0" t="inlineStr">
        <is>
          <t>N/A</t>
        </is>
      </c>
    </row>
    <row r="971" ht="15.75" customHeight="1" s="51">
      <c r="A971" s="43" t="inlineStr">
        <is>
          <t>IAP-096-09</t>
        </is>
      </c>
      <c r="B971" s="43" t="inlineStr">
        <is>
          <t>Iapetus</t>
        </is>
      </c>
      <c r="C971" s="43" t="inlineStr">
        <is>
          <t>Smartphones &amp; Tablets</t>
        </is>
      </c>
      <c r="D971" s="43" t="inlineStr">
        <is>
          <t>Smartphone</t>
        </is>
      </c>
      <c r="E971" s="44" t="inlineStr">
        <is>
          <t>Iapetus Strata Air Pro Max Smartphone</t>
        </is>
      </c>
      <c r="F971" s="45" t="n">
        <v>1557.99</v>
      </c>
      <c r="G971" s="43" t="inlineStr">
        <is>
          <t>the Strata Air; Iapetus Strata Air; Iaapetus Strata Air; Strata Air smartphone</t>
        </is>
      </c>
      <c r="H971" s="43" t="inlineStr">
        <is>
          <t>2 year limited</t>
        </is>
      </c>
      <c r="I971" s="43" t="inlineStr">
        <is>
          <t>FCC, CE, IP68, Qi2</t>
        </is>
      </c>
      <c r="J971" s="43" t="inlineStr">
        <is>
          <t>Qualcomm Snapdragon 8 Elite</t>
        </is>
      </c>
      <c r="K971" s="43" t="inlineStr">
        <is>
          <t>Qualcomm Adreno 830</t>
        </is>
      </c>
      <c r="L971" s="43" t="inlineStr">
        <is>
          <t>LTPO AMOLED, 1-120Hz</t>
        </is>
      </c>
      <c r="M971" s="43" t="inlineStr">
        <is>
          <t>1440x3120</t>
        </is>
      </c>
      <c r="N971" s="43" t="inlineStr">
        <is>
          <t>USB-C (USB 3.2), nano-SIM + eSIM</t>
        </is>
      </c>
      <c r="O971" s="43" t="inlineStr">
        <is>
          <t>Android 15</t>
        </is>
      </c>
      <c r="P971" s="43" t="n">
        <v>31</v>
      </c>
      <c r="Q971" s="46" t="n">
        <v>234</v>
      </c>
      <c r="R971" s="43" t="inlineStr">
        <is>
          <t>Longer battery than Athena Apex Pro Pro Max Smartphone [ATH-064-09] (31 vs 26 hrs); Lighter than Styx Drift X Pro Max Smartphone [STY-058-09] (234 g vs 235 g)</t>
        </is>
      </c>
      <c r="S971" s="43" t="inlineStr">
        <is>
          <t>photography, video, mobile gaming</t>
        </is>
      </c>
      <c r="T971" s="0" t="inlineStr">
        <is>
          <t>low_stock</t>
        </is>
      </c>
      <c r="U971" s="0" t="n">
        <v>14</v>
      </c>
      <c r="V971" s="52" t="n">
        <v>1766.99</v>
      </c>
      <c r="W971" s="0" t="inlineStr">
        <is>
          <t>2026-08-03</t>
        </is>
      </c>
      <c r="X971" s="0" t="inlineStr">
        <is>
          <t>N/A</t>
        </is>
      </c>
      <c r="Y971" s="0" t="inlineStr">
        <is>
          <t>N/A</t>
        </is>
      </c>
      <c r="Z971" s="0" t="inlineStr">
        <is>
          <t>N/A</t>
        </is>
      </c>
      <c r="AA971" s="0" t="inlineStr">
        <is>
          <t>N/A</t>
        </is>
      </c>
    </row>
    <row r="972" ht="15.75" customHeight="1" s="51">
      <c r="A972" s="43" t="inlineStr">
        <is>
          <t>IAP-096-10</t>
        </is>
      </c>
      <c r="B972" s="43" t="inlineStr">
        <is>
          <t>Iapetus</t>
        </is>
      </c>
      <c r="C972" s="43" t="inlineStr">
        <is>
          <t>Smartphones &amp; Tablets</t>
        </is>
      </c>
      <c r="D972" s="43" t="inlineStr">
        <is>
          <t>Smartphone</t>
        </is>
      </c>
      <c r="E972" s="44" t="inlineStr">
        <is>
          <t>Iapetus Axis Plus Foldable Phone</t>
        </is>
      </c>
      <c r="F972" s="45" t="n">
        <v>1720.99</v>
      </c>
      <c r="G972" s="43" t="inlineStr">
        <is>
          <t>the Axis Plus; Iapetus Axis Plus; Iappetus Axis Plus; Axis Plus smartphone</t>
        </is>
      </c>
      <c r="H972" s="43" t="inlineStr">
        <is>
          <t>1 year limited</t>
        </is>
      </c>
      <c r="I972" s="43" t="inlineStr">
        <is>
          <t>FCC, CE, IPX8</t>
        </is>
      </c>
      <c r="J972" s="43" t="inlineStr">
        <is>
          <t>Qualcomm Snapdragon 8 Elite</t>
        </is>
      </c>
      <c r="K972" s="43" t="inlineStr">
        <is>
          <t>Qualcomm Adreno 830</t>
        </is>
      </c>
      <c r="L972" s="43" t="inlineStr">
        <is>
          <t>Foldable LTPO AMOLED inner + AMOLED cover, 120Hz</t>
        </is>
      </c>
      <c r="M972" s="43" t="inlineStr">
        <is>
          <t>2160x1856 inner / 1080x2376 cover</t>
        </is>
      </c>
      <c r="N972" s="43" t="inlineStr">
        <is>
          <t>USB-C (USB 3.2), nano-SIM + eSIM</t>
        </is>
      </c>
      <c r="O972" s="43" t="inlineStr">
        <is>
          <t>Android 15</t>
        </is>
      </c>
      <c r="P972" s="43" t="n">
        <v>22</v>
      </c>
      <c r="Q972" s="46" t="n">
        <v>260</v>
      </c>
      <c r="R972" s="43" t="inlineStr">
        <is>
          <t>Lighter than Lachesis Echo Air Foldable Phone [LAC-071-10] (260 g vs 261 g); Longer battery than Hecate Vibe Air Foldable Phone [HEC-052-09] (22 vs 19 hrs)</t>
        </is>
      </c>
      <c r="S972" s="43" t="inlineStr">
        <is>
          <t>multitasking, business, media</t>
        </is>
      </c>
      <c r="T972" s="0" t="inlineStr">
        <is>
          <t>low_stock</t>
        </is>
      </c>
      <c r="U972" s="0" t="n">
        <v>14</v>
      </c>
      <c r="V972" s="52" t="n">
        <v>1788.99</v>
      </c>
      <c r="W972" s="0" t="inlineStr">
        <is>
          <t>2026-08-21</t>
        </is>
      </c>
      <c r="X972" s="0" t="inlineStr">
        <is>
          <t>N/A</t>
        </is>
      </c>
      <c r="Y972" s="0" t="inlineStr">
        <is>
          <t>N/A</t>
        </is>
      </c>
      <c r="Z972" s="0" t="inlineStr">
        <is>
          <t>N/A</t>
        </is>
      </c>
      <c r="AA972" s="0" t="inlineStr">
        <is>
          <t>N/A</t>
        </is>
      </c>
    </row>
    <row r="973" ht="15.75" customHeight="1" s="51">
      <c r="A973" s="43" t="inlineStr">
        <is>
          <t>PAN-097-01</t>
        </is>
      </c>
      <c r="B973" s="43" t="inlineStr">
        <is>
          <t>Pan</t>
        </is>
      </c>
      <c r="C973" s="43" t="inlineStr">
        <is>
          <t>Smartphones &amp; Tablets</t>
        </is>
      </c>
      <c r="D973" s="43" t="inlineStr">
        <is>
          <t>Smartphone</t>
        </is>
      </c>
      <c r="E973" s="44" t="inlineStr">
        <is>
          <t>Pan Aeon Ultra Budget Smartphone</t>
        </is>
      </c>
      <c r="F973" s="45" t="n">
        <v>212.99</v>
      </c>
      <c r="G973" s="43" t="inlineStr">
        <is>
          <t>the Aeon Ultra; Pan Aeon Ultra; Pann Aeon Ultra; Aeon Ultra smartphone</t>
        </is>
      </c>
      <c r="H973" s="43" t="inlineStr">
        <is>
          <t>1 year limited</t>
        </is>
      </c>
      <c r="I973" s="43" t="inlineStr">
        <is>
          <t>FCC, CE, IP54</t>
        </is>
      </c>
      <c r="J973" s="43" t="inlineStr">
        <is>
          <t>MediaTek Helio G99</t>
        </is>
      </c>
      <c r="K973" s="43" t="inlineStr">
        <is>
          <t>Arm Mali-G57 MC2</t>
        </is>
      </c>
      <c r="L973" s="43" t="inlineStr">
        <is>
          <t>IPS LCD, 90Hz</t>
        </is>
      </c>
      <c r="M973" s="43" t="inlineStr">
        <is>
          <t>720x1600</t>
        </is>
      </c>
      <c r="N973" s="43" t="inlineStr">
        <is>
          <t>USB-C (USB 2.0), nano-SIM + eSIM, 3.5mm headphone jack, microSD slot</t>
        </is>
      </c>
      <c r="O973" s="43" t="inlineStr">
        <is>
          <t>Android 14</t>
        </is>
      </c>
      <c r="P973" s="43" t="n">
        <v>20</v>
      </c>
      <c r="Q973" s="46" t="n">
        <v>191</v>
      </c>
      <c r="R973" s="43" t="inlineStr">
        <is>
          <t>Lower price than Aether Titan X Budget Smartphone [AET-080-02] ($212.99 vs $393.99); Lighter than Proteus Rift Pro Budget Smartphone [PRO-070-02] (191 g vs 209 g)</t>
        </is>
      </c>
      <c r="S973" s="43" t="inlineStr">
        <is>
          <t>budget, first phone, everyday</t>
        </is>
      </c>
      <c r="T973" s="0" t="inlineStr">
        <is>
          <t>in_stock</t>
        </is>
      </c>
      <c r="U973" s="0" t="n">
        <v>14</v>
      </c>
      <c r="V973" s="52" t="n">
        <v>232.99</v>
      </c>
      <c r="W973" s="0" t="inlineStr">
        <is>
          <t>2026-09-23</t>
        </is>
      </c>
      <c r="X973" s="0" t="inlineStr">
        <is>
          <t>N/A</t>
        </is>
      </c>
      <c r="Y973" s="0" t="inlineStr">
        <is>
          <t>N/A</t>
        </is>
      </c>
      <c r="Z973" s="0" t="inlineStr">
        <is>
          <t>N/A</t>
        </is>
      </c>
      <c r="AA973" s="0" t="inlineStr">
        <is>
          <t>N/A</t>
        </is>
      </c>
    </row>
    <row r="974" ht="15.75" customHeight="1" s="51">
      <c r="A974" s="43" t="inlineStr">
        <is>
          <t>PAN-097-02</t>
        </is>
      </c>
      <c r="B974" s="43" t="inlineStr">
        <is>
          <t>Pan</t>
        </is>
      </c>
      <c r="C974" s="43" t="inlineStr">
        <is>
          <t>Smartphones &amp; Tablets</t>
        </is>
      </c>
      <c r="D974" s="43" t="inlineStr">
        <is>
          <t>Tablet</t>
        </is>
      </c>
      <c r="E974" s="44" t="inlineStr">
        <is>
          <t>Pan Onyx X E-Ink Note Tablet</t>
        </is>
      </c>
      <c r="F974" s="45" t="n">
        <v>317.99</v>
      </c>
      <c r="G974" s="43" t="inlineStr">
        <is>
          <t>the Onyx X; Pan Onyx X; Paan Onyx X; Onyx X tablet</t>
        </is>
      </c>
      <c r="H974" s="43" t="inlineStr">
        <is>
          <t>1 year limited</t>
        </is>
      </c>
      <c r="I974" s="43" t="inlineStr">
        <is>
          <t>FCC, CE, TUV Rheinland Low Blue Light</t>
        </is>
      </c>
      <c r="J974" s="43" t="inlineStr">
        <is>
          <t>Rockchip RK3566</t>
        </is>
      </c>
      <c r="K974" s="43" t="inlineStr">
        <is>
          <t>Arm Mali-G52 2EE</t>
        </is>
      </c>
      <c r="L974" s="43" t="inlineStr">
        <is>
          <t>E Ink Carta 1300, front-lit</t>
        </is>
      </c>
      <c r="M974" s="43" t="inlineStr">
        <is>
          <t>1404x1872</t>
        </is>
      </c>
      <c r="N974" s="43" t="inlineStr">
        <is>
          <t>USB-C (USB 2.0), microSD slot</t>
        </is>
      </c>
      <c r="O974" s="43" t="inlineStr">
        <is>
          <t>Android 13 (E Ink optimized)</t>
        </is>
      </c>
      <c r="P974" s="43" t="n">
        <v>186</v>
      </c>
      <c r="Q974" s="46" t="n">
        <v>404</v>
      </c>
      <c r="R974" s="43" t="inlineStr">
        <is>
          <t>Longer battery than Elpis Aria SE E-Ink Note Tablet [ELP-074-03] (186 vs 132 hrs); Lower price than Oceanus Nova Plus E-Ink Note Tablet [OCE-060-03] ($317.99 vs $613.99)</t>
        </is>
      </c>
      <c r="S974" s="43" t="inlineStr">
        <is>
          <t>reading, note-taking, school</t>
        </is>
      </c>
      <c r="T974" s="0" t="inlineStr">
        <is>
          <t>in_stock</t>
        </is>
      </c>
      <c r="U974" s="0" t="n">
        <v>14</v>
      </c>
      <c r="V974" s="52" t="n">
        <v>340.99</v>
      </c>
      <c r="W974" s="0" t="inlineStr">
        <is>
          <t>2026-08-02</t>
        </is>
      </c>
      <c r="X974" s="0" t="inlineStr">
        <is>
          <t>N/A</t>
        </is>
      </c>
      <c r="Y974" s="0" t="inlineStr">
        <is>
          <t>N/A</t>
        </is>
      </c>
      <c r="Z974" s="0" t="inlineStr">
        <is>
          <t>N/A</t>
        </is>
      </c>
      <c r="AA974" s="0" t="inlineStr">
        <is>
          <t>N/A</t>
        </is>
      </c>
    </row>
    <row r="975" ht="15.75" customHeight="1" s="51">
      <c r="A975" s="43" t="inlineStr">
        <is>
          <t>PAN-097-03</t>
        </is>
      </c>
      <c r="B975" s="43" t="inlineStr">
        <is>
          <t>Pan</t>
        </is>
      </c>
      <c r="C975" s="43" t="inlineStr">
        <is>
          <t>Smartphones &amp; Tablets</t>
        </is>
      </c>
      <c r="D975" s="43" t="inlineStr">
        <is>
          <t>Tablet</t>
        </is>
      </c>
      <c r="E975" s="44" t="inlineStr">
        <is>
          <t>Pan Prism Max 8" Mini Tablet</t>
        </is>
      </c>
      <c r="F975" s="45" t="n">
        <v>319.99</v>
      </c>
      <c r="G975" s="43" t="inlineStr">
        <is>
          <t>the Prism Max; Pan Prism Max; Paan Prism Max; Prism Max tablet</t>
        </is>
      </c>
      <c r="H975" s="43" t="inlineStr">
        <is>
          <t>1 year limited</t>
        </is>
      </c>
      <c r="I975" s="43" t="inlineStr">
        <is>
          <t>FCC, CE, TUV Rheinland Low Blue Light</t>
        </is>
      </c>
      <c r="J975" s="43" t="inlineStr">
        <is>
          <t>Qualcomm Snapdragon 6 Gen 1</t>
        </is>
      </c>
      <c r="K975" s="43" t="inlineStr">
        <is>
          <t>Qualcomm Adreno 710</t>
        </is>
      </c>
      <c r="L975" s="43" t="inlineStr">
        <is>
          <t>IPS LCD, 60Hz</t>
        </is>
      </c>
      <c r="M975" s="43" t="inlineStr">
        <is>
          <t>1200x1920</t>
        </is>
      </c>
      <c r="N975" s="43" t="inlineStr">
        <is>
          <t>USB-C (USB 2.0), microSD slot</t>
        </is>
      </c>
      <c r="O975" s="43" t="inlineStr">
        <is>
          <t>Android 15</t>
        </is>
      </c>
      <c r="P975" s="43" t="n">
        <v>9</v>
      </c>
      <c r="Q975" s="46" t="n">
        <v>318</v>
      </c>
      <c r="R975" s="43" t="inlineStr">
        <is>
          <t>Lower price than Elpis Pulse Pro 8" Mini Tablet [ELP-074-02] ($319.99 vs $359.99); Lighter than Lethe Axis Max 8" Mini Tablet [LET-086-02] (318 g vs 339 g)</t>
        </is>
      </c>
      <c r="S975" s="43" t="inlineStr">
        <is>
          <t>reading, travel, gaming</t>
        </is>
      </c>
      <c r="T975" s="0" t="inlineStr">
        <is>
          <t>in_stock</t>
        </is>
      </c>
      <c r="U975" s="0" t="n">
        <v>14</v>
      </c>
      <c r="V975" s="52" t="n">
        <v>347.99</v>
      </c>
      <c r="W975" s="0" t="inlineStr">
        <is>
          <t>2026-08-05</t>
        </is>
      </c>
      <c r="X975" s="0" t="inlineStr">
        <is>
          <t>N/A</t>
        </is>
      </c>
      <c r="Y975" s="0" t="inlineStr">
        <is>
          <t>N/A</t>
        </is>
      </c>
      <c r="Z975" s="0" t="inlineStr">
        <is>
          <t>N/A</t>
        </is>
      </c>
      <c r="AA975" s="0" t="inlineStr">
        <is>
          <t>N/A</t>
        </is>
      </c>
    </row>
    <row r="976" ht="15.75" customHeight="1" s="51">
      <c r="A976" s="43" t="inlineStr">
        <is>
          <t>PAN-097-04</t>
        </is>
      </c>
      <c r="B976" s="43" t="inlineStr">
        <is>
          <t>Pan</t>
        </is>
      </c>
      <c r="C976" s="43" t="inlineStr">
        <is>
          <t>Smartphones &amp; Tablets</t>
        </is>
      </c>
      <c r="D976" s="43" t="inlineStr">
        <is>
          <t>Smartphone</t>
        </is>
      </c>
      <c r="E976" s="44" t="inlineStr">
        <is>
          <t>Pan Nova Pro Rugged Smartphone</t>
        </is>
      </c>
      <c r="F976" s="45" t="n">
        <v>417.99</v>
      </c>
      <c r="G976" s="43" t="inlineStr">
        <is>
          <t>the Nova Pro; Pan Nova Pro; Paan Nova Pro; Nova Pro smartphone</t>
        </is>
      </c>
      <c r="H976" s="43" t="inlineStr">
        <is>
          <t>2 year limited</t>
        </is>
      </c>
      <c r="I976" s="43" t="inlineStr">
        <is>
          <t>FCC, CE, IP69K, MIL-STD-810H</t>
        </is>
      </c>
      <c r="J976" s="43" t="inlineStr">
        <is>
          <t>MediaTek Dimensity 7300</t>
        </is>
      </c>
      <c r="K976" s="43" t="inlineStr">
        <is>
          <t>Arm Mali-G615 MC2</t>
        </is>
      </c>
      <c r="L976" s="43" t="inlineStr">
        <is>
          <t>IPS LCD, Gorilla Glass Victus, 120Hz</t>
        </is>
      </c>
      <c r="M976" s="43" t="inlineStr">
        <is>
          <t>1080x2400</t>
        </is>
      </c>
      <c r="N976" s="43" t="inlineStr">
        <is>
          <t>USB-C (USB 2.0), nano-SIM + eSIM, 3.5mm headphone jack, microSD slot</t>
        </is>
      </c>
      <c r="O976" s="43" t="inlineStr">
        <is>
          <t>Android 15</t>
        </is>
      </c>
      <c r="P976" s="43" t="n">
        <v>30</v>
      </c>
      <c r="Q976" s="46" t="n">
        <v>285</v>
      </c>
      <c r="R976" s="43" t="inlineStr">
        <is>
          <t>Lighter than Lethe Lumen Max Rugged Smartphone [LET-086-03] (285 g vs 306 g); Lower price than Elpis Nova Max Rugged Smartphone [ELP-074-05] ($417.99 vs $771.99)</t>
        </is>
      </c>
      <c r="S976" s="43" t="inlineStr">
        <is>
          <t>outdoor, construction, fieldwork</t>
        </is>
      </c>
      <c r="T976" s="0" t="inlineStr">
        <is>
          <t>in_stock</t>
        </is>
      </c>
      <c r="U976" s="0" t="n">
        <v>14</v>
      </c>
      <c r="V976" s="52" t="n">
        <v>459.99</v>
      </c>
      <c r="W976" s="0" t="inlineStr">
        <is>
          <t>2026-09-24</t>
        </is>
      </c>
      <c r="X976" s="0" t="inlineStr">
        <is>
          <t>N/A</t>
        </is>
      </c>
      <c r="Y976" s="0" t="inlineStr">
        <is>
          <t>N/A</t>
        </is>
      </c>
      <c r="Z976" s="0" t="inlineStr">
        <is>
          <t>N/A</t>
        </is>
      </c>
      <c r="AA976" s="0" t="inlineStr">
        <is>
          <t>N/A</t>
        </is>
      </c>
    </row>
    <row r="977" ht="15.75" customHeight="1" s="51">
      <c r="A977" s="43" t="inlineStr">
        <is>
          <t>PAN-097-05</t>
        </is>
      </c>
      <c r="B977" s="43" t="inlineStr">
        <is>
          <t>Pan</t>
        </is>
      </c>
      <c r="C977" s="43" t="inlineStr">
        <is>
          <t>Smartphones &amp; Tablets</t>
        </is>
      </c>
      <c r="D977" s="43" t="inlineStr">
        <is>
          <t>Smartphone</t>
        </is>
      </c>
      <c r="E977" s="44" t="inlineStr">
        <is>
          <t>Pan Aeon Max Compact Smartphone</t>
        </is>
      </c>
      <c r="F977" s="45" t="n">
        <v>660.99</v>
      </c>
      <c r="G977" s="43" t="inlineStr">
        <is>
          <t>the Aeon Max; Pan Aeon Max; Pann Aeon Max; Aeon Max smartphone</t>
        </is>
      </c>
      <c r="H977" s="43" t="inlineStr">
        <is>
          <t>1 year limited</t>
        </is>
      </c>
      <c r="I977" s="43" t="inlineStr">
        <is>
          <t>FCC, CE, IP68</t>
        </is>
      </c>
      <c r="J977" s="43" t="inlineStr">
        <is>
          <t>MediaTek Dimensity 8300</t>
        </is>
      </c>
      <c r="K977" s="43" t="inlineStr">
        <is>
          <t>Arm Mali-G615 MC6</t>
        </is>
      </c>
      <c r="L977" s="43" t="inlineStr">
        <is>
          <t>AMOLED, 120Hz</t>
        </is>
      </c>
      <c r="M977" s="43" t="inlineStr">
        <is>
          <t>1080x2340</t>
        </is>
      </c>
      <c r="N977" s="43" t="inlineStr">
        <is>
          <t>USB-C (USB 2.0), nano-SIM + eSIM</t>
        </is>
      </c>
      <c r="O977" s="43" t="inlineStr">
        <is>
          <t>Android 15</t>
        </is>
      </c>
      <c r="P977" s="43" t="n">
        <v>22</v>
      </c>
      <c r="Q977" s="46" t="n">
        <v>163</v>
      </c>
      <c r="R977" s="43" t="inlineStr">
        <is>
          <t>Lower price than Anteros Vertex Plus Compact Smartphone [ANT-090-03] ($660.99 vs $677.99); Longer battery than Pontus Vibe Ultra Compact Smartphone [PON-063-06] (22 vs 18 hrs)</t>
        </is>
      </c>
      <c r="S977" s="43" t="inlineStr">
        <is>
          <t>everyday, one-handed use</t>
        </is>
      </c>
      <c r="T977" s="0" t="inlineStr">
        <is>
          <t>in_stock</t>
        </is>
      </c>
      <c r="U977" s="0" t="n">
        <v>14</v>
      </c>
      <c r="V977" s="52" t="n">
        <v>723.99</v>
      </c>
      <c r="W977" s="0" t="inlineStr">
        <is>
          <t>2026-09-24</t>
        </is>
      </c>
      <c r="X977" s="0" t="inlineStr">
        <is>
          <t>N/A</t>
        </is>
      </c>
      <c r="Y977" s="0" t="inlineStr">
        <is>
          <t>N/A</t>
        </is>
      </c>
      <c r="Z977" s="0" t="inlineStr">
        <is>
          <t>N/A</t>
        </is>
      </c>
      <c r="AA977" s="0" t="inlineStr">
        <is>
          <t>N/A</t>
        </is>
      </c>
    </row>
    <row r="978" ht="15.75" customHeight="1" s="51">
      <c r="A978" s="43" t="inlineStr">
        <is>
          <t>PAN-097-06</t>
        </is>
      </c>
      <c r="B978" s="43" t="inlineStr">
        <is>
          <t>Pan</t>
        </is>
      </c>
      <c r="C978" s="43" t="inlineStr">
        <is>
          <t>Smartphones &amp; Tablets</t>
        </is>
      </c>
      <c r="D978" s="43" t="inlineStr">
        <is>
          <t>Smartphone</t>
        </is>
      </c>
      <c r="E978" s="44" t="inlineStr">
        <is>
          <t>Pan Vibe Flagship Smartphone</t>
        </is>
      </c>
      <c r="F978" s="45" t="n">
        <v>853.99</v>
      </c>
      <c r="G978" s="43" t="inlineStr">
        <is>
          <t>the Vibe; Pan Vibe; Pann Vibe; Vibe smartphone</t>
        </is>
      </c>
      <c r="H978" s="43" t="inlineStr">
        <is>
          <t>1 year limited</t>
        </is>
      </c>
      <c r="I978" s="43" t="inlineStr">
        <is>
          <t>FCC, CE, IP68, Qi2</t>
        </is>
      </c>
      <c r="J978" s="43" t="inlineStr">
        <is>
          <t>Qualcomm Snapdragon 8 Gen 3</t>
        </is>
      </c>
      <c r="K978" s="43" t="inlineStr">
        <is>
          <t>Qualcomm Adreno 750</t>
        </is>
      </c>
      <c r="L978" s="43" t="inlineStr">
        <is>
          <t>AMOLED, 120Hz</t>
        </is>
      </c>
      <c r="M978" s="43" t="inlineStr">
        <is>
          <t>1080x2400</t>
        </is>
      </c>
      <c r="N978" s="43" t="inlineStr">
        <is>
          <t>USB-C (USB 3.2), nano-SIM + eSIM</t>
        </is>
      </c>
      <c r="O978" s="43" t="inlineStr">
        <is>
          <t>Android 15</t>
        </is>
      </c>
      <c r="P978" s="43" t="n">
        <v>23</v>
      </c>
      <c r="Q978" s="46" t="n">
        <v>191</v>
      </c>
      <c r="R978" s="43" t="inlineStr">
        <is>
          <t>Lighter than Aletheia Arc SE Flagship Smartphone [ALE-089-07] (191 g vs 199 g); Lower price than Leto Nimbus Lite Flagship Smartphone [LET-077-07] ($853.99 vs $1,148.99)</t>
        </is>
      </c>
      <c r="S978" s="43" t="inlineStr">
        <is>
          <t>photography, everyday, business</t>
        </is>
      </c>
      <c r="T978" s="0" t="inlineStr">
        <is>
          <t>in_stock</t>
        </is>
      </c>
      <c r="U978" s="0" t="n">
        <v>14</v>
      </c>
      <c r="V978" s="52" t="n">
        <v>920.99</v>
      </c>
      <c r="W978" s="0" t="inlineStr">
        <is>
          <t>2026-09-15</t>
        </is>
      </c>
      <c r="X978" s="0" t="inlineStr">
        <is>
          <t>N/A</t>
        </is>
      </c>
      <c r="Y978" s="0" t="inlineStr">
        <is>
          <t>N/A</t>
        </is>
      </c>
      <c r="Z978" s="0" t="inlineStr">
        <is>
          <t>N/A</t>
        </is>
      </c>
      <c r="AA978" s="0" t="inlineStr">
        <is>
          <t>N/A</t>
        </is>
      </c>
    </row>
    <row r="979" ht="15.75" customHeight="1" s="51">
      <c r="A979" s="43" t="inlineStr">
        <is>
          <t>PAN-097-07</t>
        </is>
      </c>
      <c r="B979" s="43" t="inlineStr">
        <is>
          <t>Pan</t>
        </is>
      </c>
      <c r="C979" s="43" t="inlineStr">
        <is>
          <t>Smartphones &amp; Tablets</t>
        </is>
      </c>
      <c r="D979" s="43" t="inlineStr">
        <is>
          <t>Tablet</t>
        </is>
      </c>
      <c r="E979" s="44" t="inlineStr">
        <is>
          <t>Pan Volt Pro Drawing Tablet with Stylus</t>
        </is>
      </c>
      <c r="F979" s="45" t="n">
        <v>946.99</v>
      </c>
      <c r="G979" s="43" t="inlineStr">
        <is>
          <t>the Volt Pro; Pan Volt Pro; Paan Volt Pro; Volt Pro tablet</t>
        </is>
      </c>
      <c r="H979" s="43" t="inlineStr">
        <is>
          <t>1 year limited</t>
        </is>
      </c>
      <c r="I979" s="43" t="inlineStr">
        <is>
          <t>FCC, CE, TUV Rheinland Low Blue Light, Energy Star</t>
        </is>
      </c>
      <c r="J979" s="43" t="inlineStr">
        <is>
          <t>Qualcomm Snapdragon 8 Gen 3</t>
        </is>
      </c>
      <c r="K979" s="43" t="inlineStr">
        <is>
          <t>Qualcomm Adreno 750</t>
        </is>
      </c>
      <c r="L979" s="43" t="inlineStr">
        <is>
          <t>OLED, 120Hz, pen digitizer</t>
        </is>
      </c>
      <c r="M979" s="43" t="inlineStr">
        <is>
          <t>2560x1600</t>
        </is>
      </c>
      <c r="N979" s="43" t="inlineStr">
        <is>
          <t>USB-C (USB 3.2), magnetic keyboard connector</t>
        </is>
      </c>
      <c r="O979" s="43" t="inlineStr">
        <is>
          <t>Android 15</t>
        </is>
      </c>
      <c r="P979" s="43" t="n">
        <v>11</v>
      </c>
      <c r="Q979" s="46" t="n">
        <v>590</v>
      </c>
      <c r="R979" s="43" t="inlineStr">
        <is>
          <t>Lower price than Plutus Pulse SE Drawing Tablet with Stylus [PLU-100-09] ($946.99 vs $1,211.99); Lighter than Lethe Echo X Drawing Tablet with Stylus [LET-086-09] (590 g vs 637 g)</t>
        </is>
      </c>
      <c r="S979" s="43" t="inlineStr">
        <is>
          <t>drawing, design, note-taking</t>
        </is>
      </c>
      <c r="T979" s="0" t="inlineStr">
        <is>
          <t>in_stock</t>
        </is>
      </c>
      <c r="U979" s="0" t="n">
        <v>14</v>
      </c>
      <c r="V979" s="52" t="n">
        <v>1034.99</v>
      </c>
      <c r="W979" s="0" t="inlineStr">
        <is>
          <t>2026-08-09</t>
        </is>
      </c>
      <c r="X979" s="0" t="inlineStr">
        <is>
          <t>N/A</t>
        </is>
      </c>
      <c r="Y979" s="0" t="inlineStr">
        <is>
          <t>N/A</t>
        </is>
      </c>
      <c r="Z979" s="0" t="inlineStr">
        <is>
          <t>N/A</t>
        </is>
      </c>
      <c r="AA979" s="0" t="inlineStr">
        <is>
          <t>N/A</t>
        </is>
      </c>
    </row>
    <row r="980" ht="15.75" customHeight="1" s="51">
      <c r="A980" s="43" t="inlineStr">
        <is>
          <t>PAN-097-08</t>
        </is>
      </c>
      <c r="B980" s="43" t="inlineStr">
        <is>
          <t>Pan</t>
        </is>
      </c>
      <c r="C980" s="43" t="inlineStr">
        <is>
          <t>Smartphones &amp; Tablets</t>
        </is>
      </c>
      <c r="D980" s="43" t="inlineStr">
        <is>
          <t>Smartphone</t>
        </is>
      </c>
      <c r="E980" s="44" t="inlineStr">
        <is>
          <t>Pan Vertex Flip Foldable Phone</t>
        </is>
      </c>
      <c r="F980" s="45" t="n">
        <v>958.99</v>
      </c>
      <c r="G980" s="43" t="inlineStr">
        <is>
          <t>the Vertex; Pan Vertex; Pann Vertex; Vertex smartphone</t>
        </is>
      </c>
      <c r="H980" s="43" t="inlineStr">
        <is>
          <t>1 year limited</t>
        </is>
      </c>
      <c r="I980" s="43" t="inlineStr">
        <is>
          <t>FCC, CE, IPX8</t>
        </is>
      </c>
      <c r="J980" s="43" t="inlineStr">
        <is>
          <t>Qualcomm Snapdragon 8 Gen 3</t>
        </is>
      </c>
      <c r="K980" s="43" t="inlineStr">
        <is>
          <t>Qualcomm Adreno 750</t>
        </is>
      </c>
      <c r="L980" s="43" t="inlineStr">
        <is>
          <t>Foldable AMOLED inner + AMOLED cover screen</t>
        </is>
      </c>
      <c r="M980" s="43" t="inlineStr">
        <is>
          <t>1080x2640 inner / 720x748 cover</t>
        </is>
      </c>
      <c r="N980" s="43" t="inlineStr">
        <is>
          <t>USB-C (USB 3.2), nano-SIM + eSIM</t>
        </is>
      </c>
      <c r="O980" s="43" t="inlineStr">
        <is>
          <t>Android 15</t>
        </is>
      </c>
      <c r="P980" s="43" t="n">
        <v>16</v>
      </c>
      <c r="Q980" s="46" t="n">
        <v>186</v>
      </c>
      <c r="R980" s="43" t="inlineStr">
        <is>
          <t>Lower price than Phorcys Rift Plus Flip Foldable Phone [PHO-087-08] ($958.99 vs $1,153.99); Lighter than Paean Strata SE Flip Foldable Phone [PAE-066-06] (186 g vs 196 g)</t>
        </is>
      </c>
      <c r="S980" s="43" t="inlineStr">
        <is>
          <t>style, everyday, compact</t>
        </is>
      </c>
      <c r="T980" s="0" t="inlineStr">
        <is>
          <t>in_stock</t>
        </is>
      </c>
      <c r="U980" s="0" t="n">
        <v>14</v>
      </c>
      <c r="V980" s="52" t="n">
        <v>1053.99</v>
      </c>
      <c r="W980" s="0" t="inlineStr">
        <is>
          <t>2026-09-15</t>
        </is>
      </c>
      <c r="X980" s="0" t="inlineStr">
        <is>
          <t>N/A</t>
        </is>
      </c>
      <c r="Y980" s="0" t="inlineStr">
        <is>
          <t>N/A</t>
        </is>
      </c>
      <c r="Z980" s="0" t="inlineStr">
        <is>
          <t>N/A</t>
        </is>
      </c>
      <c r="AA980" s="0" t="inlineStr">
        <is>
          <t>N/A</t>
        </is>
      </c>
    </row>
    <row r="981" ht="15.75" customHeight="1" s="51">
      <c r="A981" s="43" t="inlineStr">
        <is>
          <t>PAN-097-09</t>
        </is>
      </c>
      <c r="B981" s="43" t="inlineStr">
        <is>
          <t>Pan</t>
        </is>
      </c>
      <c r="C981" s="43" t="inlineStr">
        <is>
          <t>Smartphones &amp; Tablets</t>
        </is>
      </c>
      <c r="D981" s="43" t="inlineStr">
        <is>
          <t>Smartphone</t>
        </is>
      </c>
      <c r="E981" s="44" t="inlineStr">
        <is>
          <t>Pan Zen SE Pro Max Smartphone</t>
        </is>
      </c>
      <c r="F981" s="45" t="n">
        <v>1533.99</v>
      </c>
      <c r="G981" s="43" t="inlineStr">
        <is>
          <t>the Zen SE; Pan Zen SE; Paan Zen SE; Zen SE smartphone</t>
        </is>
      </c>
      <c r="H981" s="43" t="inlineStr">
        <is>
          <t>2 year limited</t>
        </is>
      </c>
      <c r="I981" s="43" t="inlineStr">
        <is>
          <t>FCC, CE, IP68, Qi2</t>
        </is>
      </c>
      <c r="J981" s="43" t="inlineStr">
        <is>
          <t>Qualcomm Snapdragon 8 Elite</t>
        </is>
      </c>
      <c r="K981" s="43" t="inlineStr">
        <is>
          <t>Qualcomm Adreno 830</t>
        </is>
      </c>
      <c r="L981" s="43" t="inlineStr">
        <is>
          <t>LTPO AMOLED, 1-120Hz</t>
        </is>
      </c>
      <c r="M981" s="43" t="inlineStr">
        <is>
          <t>1440x3120</t>
        </is>
      </c>
      <c r="N981" s="43" t="inlineStr">
        <is>
          <t>USB-C (USB 3.2), nano-SIM + eSIM</t>
        </is>
      </c>
      <c r="O981" s="43" t="inlineStr">
        <is>
          <t>Android 15</t>
        </is>
      </c>
      <c r="P981" s="43" t="n">
        <v>33</v>
      </c>
      <c r="Q981" s="46" t="n">
        <v>222</v>
      </c>
      <c r="R981" s="43" t="inlineStr">
        <is>
          <t>Lighter than Circe Vertex SE Pro Max Smartphone [CIR-068-10] (222 g vs 227 g); Longer battery than Tyche Wave Ultra Pro Max Smartphone [TYC-055-09] (33 vs 31 hrs)</t>
        </is>
      </c>
      <c r="S981" s="43" t="inlineStr">
        <is>
          <t>photography, video, mobile gaming</t>
        </is>
      </c>
      <c r="T981" s="0" t="inlineStr">
        <is>
          <t>in_stock</t>
        </is>
      </c>
      <c r="U981" s="0" t="n">
        <v>14</v>
      </c>
      <c r="V981" s="52" t="n">
        <v>1587.99</v>
      </c>
      <c r="W981" s="0" t="inlineStr">
        <is>
          <t>2026-08-15</t>
        </is>
      </c>
      <c r="X981" s="0" t="inlineStr">
        <is>
          <t>N/A</t>
        </is>
      </c>
      <c r="Y981" s="0" t="inlineStr">
        <is>
          <t>N/A</t>
        </is>
      </c>
      <c r="Z981" s="0" t="inlineStr">
        <is>
          <t>N/A</t>
        </is>
      </c>
      <c r="AA981" s="0" t="inlineStr">
        <is>
          <t>N/A</t>
        </is>
      </c>
    </row>
    <row r="982" ht="15.75" customHeight="1" s="51">
      <c r="A982" s="43" t="inlineStr">
        <is>
          <t>PAN-097-10</t>
        </is>
      </c>
      <c r="B982" s="43" t="inlineStr">
        <is>
          <t>Pan</t>
        </is>
      </c>
      <c r="C982" s="43" t="inlineStr">
        <is>
          <t>Smartphones &amp; Tablets</t>
        </is>
      </c>
      <c r="D982" s="43" t="inlineStr">
        <is>
          <t>Tablet</t>
        </is>
      </c>
      <c r="E982" s="44" t="inlineStr">
        <is>
          <t>Pan Aria Plus 13" Pro Tablet</t>
        </is>
      </c>
      <c r="F982" s="45" t="n">
        <v>1715.99</v>
      </c>
      <c r="G982" s="43" t="inlineStr">
        <is>
          <t>the Aria Plus; Pan Aria Plus; Paan Aria Plus; Aria Plus tablet</t>
        </is>
      </c>
      <c r="H982" s="43" t="inlineStr">
        <is>
          <t>2 year limited</t>
        </is>
      </c>
      <c r="I982" s="43" t="inlineStr">
        <is>
          <t>FCC, CE, Energy Star</t>
        </is>
      </c>
      <c r="J982" s="43" t="inlineStr">
        <is>
          <t>Qualcomm Snapdragon 8 Elite</t>
        </is>
      </c>
      <c r="K982" s="43" t="inlineStr">
        <is>
          <t>Qualcomm Adreno 830</t>
        </is>
      </c>
      <c r="L982" s="43" t="inlineStr">
        <is>
          <t>Mini-LED, 144Hz</t>
        </is>
      </c>
      <c r="M982" s="43" t="inlineStr">
        <is>
          <t>2960x1848</t>
        </is>
      </c>
      <c r="N982" s="43" t="inlineStr">
        <is>
          <t>USB-C (USB 3.2), magnetic keyboard connector</t>
        </is>
      </c>
      <c r="O982" s="43" t="inlineStr">
        <is>
          <t>Android 15</t>
        </is>
      </c>
      <c r="P982" s="43" t="n">
        <v>13</v>
      </c>
      <c r="Q982" s="46" t="n">
        <v>603</v>
      </c>
      <c r="R982" s="43" t="inlineStr">
        <is>
          <t>Longer battery than Circe Prism Max 13" Pro Tablet [CIR-068-09] (13 vs 11 hrs); Lower price than Triton Vibe Air 13" Pro Tablet [TRI-092-09] ($1,715.99 vs $1,825.99)</t>
        </is>
      </c>
      <c r="S982" s="43" t="inlineStr">
        <is>
          <t>creative work, productivity, drawing</t>
        </is>
      </c>
      <c r="T982" s="0" t="inlineStr">
        <is>
          <t>in_stock</t>
        </is>
      </c>
      <c r="U982" s="0" t="n">
        <v>14</v>
      </c>
      <c r="V982" s="52" t="n">
        <v>1907.99</v>
      </c>
      <c r="W982" s="0" t="inlineStr">
        <is>
          <t>2026-09-18</t>
        </is>
      </c>
      <c r="X982" s="0" t="inlineStr">
        <is>
          <t>N/A</t>
        </is>
      </c>
      <c r="Y982" s="0" t="inlineStr">
        <is>
          <t>N/A</t>
        </is>
      </c>
      <c r="Z982" s="0" t="inlineStr">
        <is>
          <t>N/A</t>
        </is>
      </c>
      <c r="AA982" s="0" t="inlineStr">
        <is>
          <t>N/A</t>
        </is>
      </c>
    </row>
    <row r="983" ht="15.75" customHeight="1" s="51">
      <c r="A983" s="43" t="inlineStr">
        <is>
          <t>ERE-098-01</t>
        </is>
      </c>
      <c r="B983" s="43" t="inlineStr">
        <is>
          <t>Erebus</t>
        </is>
      </c>
      <c r="C983" s="43" t="inlineStr">
        <is>
          <t>Smartphones &amp; Tablets</t>
        </is>
      </c>
      <c r="D983" s="43" t="inlineStr">
        <is>
          <t>Tablet</t>
        </is>
      </c>
      <c r="E983" s="44" t="inlineStr">
        <is>
          <t>Erebus Aria Lite 8" Mini Tablet</t>
        </is>
      </c>
      <c r="F983" s="45" t="n">
        <v>331.99</v>
      </c>
      <c r="G983" s="43" t="inlineStr">
        <is>
          <t>the Aria Lite; Erebus Aria Lite; Erebbus Aria Lite; Aria Lite tablet</t>
        </is>
      </c>
      <c r="H983" s="43" t="inlineStr">
        <is>
          <t>1 year limited</t>
        </is>
      </c>
      <c r="I983" s="43" t="inlineStr">
        <is>
          <t>FCC, CE, TUV Rheinland Low Blue Light</t>
        </is>
      </c>
      <c r="J983" s="43" t="inlineStr">
        <is>
          <t>Qualcomm Snapdragon 6 Gen 1</t>
        </is>
      </c>
      <c r="K983" s="43" t="inlineStr">
        <is>
          <t>Qualcomm Adreno 710</t>
        </is>
      </c>
      <c r="L983" s="43" t="inlineStr">
        <is>
          <t>IPS LCD, 60Hz</t>
        </is>
      </c>
      <c r="M983" s="43" t="inlineStr">
        <is>
          <t>1200x1920</t>
        </is>
      </c>
      <c r="N983" s="43" t="inlineStr">
        <is>
          <t>USB-C (USB 2.0), microSD slot</t>
        </is>
      </c>
      <c r="O983" s="43" t="inlineStr">
        <is>
          <t>Android 15</t>
        </is>
      </c>
      <c r="P983" s="43" t="n">
        <v>10</v>
      </c>
      <c r="Q983" s="46" t="n">
        <v>304</v>
      </c>
      <c r="R983" s="43" t="inlineStr">
        <is>
          <t>Lower price than Aletheia Vibe SE 8" Mini Tablet [ALE-089-03] ($331.99 vs $351.99); Lighter than Aether Drift SE 8" Mini Tablet [AET-080-03] (304 g vs 310 g)</t>
        </is>
      </c>
      <c r="S983" s="43" t="inlineStr">
        <is>
          <t>reading, travel, gaming</t>
        </is>
      </c>
      <c r="T983" s="0" t="inlineStr">
        <is>
          <t>in_stock</t>
        </is>
      </c>
      <c r="U983" s="0" t="n">
        <v>14</v>
      </c>
      <c r="V983" s="52" t="n">
        <v>355.99</v>
      </c>
      <c r="W983" s="0" t="inlineStr">
        <is>
          <t>2026-09-24</t>
        </is>
      </c>
      <c r="X983" s="0" t="inlineStr">
        <is>
          <t>N/A</t>
        </is>
      </c>
      <c r="Y983" s="0" t="inlineStr">
        <is>
          <t>N/A</t>
        </is>
      </c>
      <c r="Z983" s="0" t="inlineStr">
        <is>
          <t>N/A</t>
        </is>
      </c>
      <c r="AA983" s="0" t="inlineStr">
        <is>
          <t>N/A</t>
        </is>
      </c>
    </row>
    <row r="984" ht="15.75" customHeight="1" s="51">
      <c r="A984" s="43" t="inlineStr">
        <is>
          <t>ERE-098-02</t>
        </is>
      </c>
      <c r="B984" s="43" t="inlineStr">
        <is>
          <t>Erebus</t>
        </is>
      </c>
      <c r="C984" s="43" t="inlineStr">
        <is>
          <t>Smartphones &amp; Tablets</t>
        </is>
      </c>
      <c r="D984" s="43" t="inlineStr">
        <is>
          <t>Tablet</t>
        </is>
      </c>
      <c r="E984" s="44" t="inlineStr">
        <is>
          <t>Erebus Nimbus Air E-Ink Note Tablet</t>
        </is>
      </c>
      <c r="F984" s="45" t="n">
        <v>430.99</v>
      </c>
      <c r="G984" s="43" t="inlineStr">
        <is>
          <t>the Nimbus Air; Erebus Nimbus Air; Erbeus Nimbus Air; Nimbus Air tablet</t>
        </is>
      </c>
      <c r="H984" s="43" t="inlineStr">
        <is>
          <t>1 year limited</t>
        </is>
      </c>
      <c r="I984" s="43" t="inlineStr">
        <is>
          <t>FCC, CE, TUV Rheinland Low Blue Light</t>
        </is>
      </c>
      <c r="J984" s="43" t="inlineStr">
        <is>
          <t>Rockchip RK3566</t>
        </is>
      </c>
      <c r="K984" s="43" t="inlineStr">
        <is>
          <t>Arm Mali-G52 2EE</t>
        </is>
      </c>
      <c r="L984" s="43" t="inlineStr">
        <is>
          <t>E Ink Carta 1300, front-lit</t>
        </is>
      </c>
      <c r="M984" s="43" t="inlineStr">
        <is>
          <t>1404x1872</t>
        </is>
      </c>
      <c r="N984" s="43" t="inlineStr">
        <is>
          <t>USB-C (USB 2.0), microSD slot</t>
        </is>
      </c>
      <c r="O984" s="43" t="inlineStr">
        <is>
          <t>Android 13 (E Ink optimized)</t>
        </is>
      </c>
      <c r="P984" s="43" t="n">
        <v>153</v>
      </c>
      <c r="Q984" s="46" t="n">
        <v>415</v>
      </c>
      <c r="R984" s="43" t="inlineStr">
        <is>
          <t>Lighter than Anteros Drift E-Ink Note Tablet [ANT-090-02] (415 g vs 437 g); Longer battery than Hypnos Axis Ultra E-Ink Note Tablet [HYP-059-05] (153 vs 127 hrs)</t>
        </is>
      </c>
      <c r="S984" s="43" t="inlineStr">
        <is>
          <t>reading, note-taking, school</t>
        </is>
      </c>
      <c r="T984" s="0" t="inlineStr">
        <is>
          <t>in_stock</t>
        </is>
      </c>
      <c r="U984" s="0" t="n">
        <v>14</v>
      </c>
      <c r="V984" s="52" t="n">
        <v>475.99</v>
      </c>
      <c r="W984" s="0" t="inlineStr">
        <is>
          <t>2026-08-16</t>
        </is>
      </c>
      <c r="X984" s="0" t="inlineStr">
        <is>
          <t>N/A</t>
        </is>
      </c>
      <c r="Y984" s="0" t="inlineStr">
        <is>
          <t>N/A</t>
        </is>
      </c>
      <c r="Z984" s="0" t="inlineStr">
        <is>
          <t>N/A</t>
        </is>
      </c>
      <c r="AA984" s="0" t="inlineStr">
        <is>
          <t>N/A</t>
        </is>
      </c>
    </row>
    <row r="985" ht="15.75" customHeight="1" s="51">
      <c r="A985" s="43" t="inlineStr">
        <is>
          <t>ERE-098-03</t>
        </is>
      </c>
      <c r="B985" s="43" t="inlineStr">
        <is>
          <t>Erebus</t>
        </is>
      </c>
      <c r="C985" s="43" t="inlineStr">
        <is>
          <t>Smartphones &amp; Tablets</t>
        </is>
      </c>
      <c r="D985" s="43" t="inlineStr">
        <is>
          <t>Tablet</t>
        </is>
      </c>
      <c r="E985" s="44" t="inlineStr">
        <is>
          <t>Erebus Sable Lite Drawing Tablet with Stylus</t>
        </is>
      </c>
      <c r="F985" s="45" t="n">
        <v>502.99</v>
      </c>
      <c r="G985" s="43" t="inlineStr">
        <is>
          <t>the Sable Lite; Erebus Sable Lite; Erebuus Sable Lite; Sable Lite tablet</t>
        </is>
      </c>
      <c r="H985" s="43" t="inlineStr">
        <is>
          <t>1 year limited</t>
        </is>
      </c>
      <c r="I985" s="43" t="inlineStr">
        <is>
          <t>FCC, CE, TUV Rheinland Low Blue Light</t>
        </is>
      </c>
      <c r="J985" s="43" t="inlineStr">
        <is>
          <t>Qualcomm Snapdragon 7+ Gen 3</t>
        </is>
      </c>
      <c r="K985" s="43" t="inlineStr">
        <is>
          <t>Qualcomm Adreno 732</t>
        </is>
      </c>
      <c r="L985" s="43" t="inlineStr">
        <is>
          <t>IPS LCD anti-glare, pen digitizer</t>
        </is>
      </c>
      <c r="M985" s="43" t="inlineStr">
        <is>
          <t>2000x1200</t>
        </is>
      </c>
      <c r="N985" s="43" t="inlineStr">
        <is>
          <t>USB-C (USB 2.0), microSD slot</t>
        </is>
      </c>
      <c r="O985" s="43" t="inlineStr">
        <is>
          <t>Android 15</t>
        </is>
      </c>
      <c r="P985" s="43" t="n">
        <v>9</v>
      </c>
      <c r="Q985" s="46" t="n">
        <v>613</v>
      </c>
      <c r="R985" s="43" t="inlineStr">
        <is>
          <t>Lower price than Hephaestus Flux Drawing Tablet with Stylus [HEP-076-07] ($502.99 vs $767.99); Lighter than Thetis Volt Lite Drawing Tablet with Stylus [THE-093-04] (613 g vs 619 g)</t>
        </is>
      </c>
      <c r="S985" s="43" t="inlineStr">
        <is>
          <t>drawing, design, note-taking</t>
        </is>
      </c>
      <c r="T985" s="0" t="inlineStr">
        <is>
          <t>in_stock</t>
        </is>
      </c>
      <c r="U985" s="0" t="n">
        <v>14</v>
      </c>
      <c r="V985" s="52" t="n">
        <v>524.99</v>
      </c>
      <c r="W985" s="0" t="inlineStr">
        <is>
          <t>2026-08-17</t>
        </is>
      </c>
      <c r="X985" s="0" t="inlineStr">
        <is>
          <t>N/A</t>
        </is>
      </c>
      <c r="Y985" s="0" t="inlineStr">
        <is>
          <t>N/A</t>
        </is>
      </c>
      <c r="Z985" s="0" t="inlineStr">
        <is>
          <t>N/A</t>
        </is>
      </c>
      <c r="AA985" s="0" t="inlineStr">
        <is>
          <t>N/A</t>
        </is>
      </c>
    </row>
    <row r="986" ht="15.75" customHeight="1" s="51">
      <c r="A986" s="43" t="inlineStr">
        <is>
          <t>ERE-098-04</t>
        </is>
      </c>
      <c r="B986" s="43" t="inlineStr">
        <is>
          <t>Erebus</t>
        </is>
      </c>
      <c r="C986" s="43" t="inlineStr">
        <is>
          <t>Smartphones &amp; Tablets</t>
        </is>
      </c>
      <c r="D986" s="43" t="inlineStr">
        <is>
          <t>Smartphone</t>
        </is>
      </c>
      <c r="E986" s="44" t="inlineStr">
        <is>
          <t>Erebus Nimbus Ultra Compact Smartphone</t>
        </is>
      </c>
      <c r="F986" s="45" t="n">
        <v>513.99</v>
      </c>
      <c r="G986" s="43" t="inlineStr">
        <is>
          <t>the Nimbus Ultra; Erebus Nimbus Ultra; Erebbus Nimbus Ultra; Nimbus Ultra smartphone</t>
        </is>
      </c>
      <c r="H986" s="43" t="inlineStr">
        <is>
          <t>1 year limited</t>
        </is>
      </c>
      <c r="I986" s="43" t="inlineStr">
        <is>
          <t>FCC, CE, IP68</t>
        </is>
      </c>
      <c r="J986" s="43" t="inlineStr">
        <is>
          <t>Qualcomm Snapdragon 7+ Gen 3</t>
        </is>
      </c>
      <c r="K986" s="43" t="inlineStr">
        <is>
          <t>Qualcomm Adreno 732</t>
        </is>
      </c>
      <c r="L986" s="43" t="inlineStr">
        <is>
          <t>AMOLED, 120Hz</t>
        </is>
      </c>
      <c r="M986" s="43" t="inlineStr">
        <is>
          <t>1080x2340</t>
        </is>
      </c>
      <c r="N986" s="43" t="inlineStr">
        <is>
          <t>USB-C (USB 2.0), nano-SIM + eSIM</t>
        </is>
      </c>
      <c r="O986" s="43" t="inlineStr">
        <is>
          <t>Android 15</t>
        </is>
      </c>
      <c r="P986" s="43" t="n">
        <v>22</v>
      </c>
      <c r="Q986" s="46" t="n">
        <v>159</v>
      </c>
      <c r="R986" s="43" t="inlineStr">
        <is>
          <t>Longer battery than Helios Sable SE Compact Smartphone [HEL-073-04] (22 vs 18 hrs); Lighter than Pan Aeon Max Compact Smartphone [PAN-097-05] (159 g vs 163 g)</t>
        </is>
      </c>
      <c r="S986" s="43" t="inlineStr">
        <is>
          <t>everyday, one-handed use</t>
        </is>
      </c>
      <c r="T986" s="0" t="inlineStr">
        <is>
          <t>low_stock</t>
        </is>
      </c>
      <c r="U986" s="0" t="n">
        <v>14</v>
      </c>
      <c r="V986" s="52" t="n">
        <v>584.99</v>
      </c>
      <c r="W986" s="0" t="inlineStr">
        <is>
          <t>2026-08-03</t>
        </is>
      </c>
      <c r="X986" s="0" t="inlineStr">
        <is>
          <t>N/A</t>
        </is>
      </c>
      <c r="Y986" s="0" t="inlineStr">
        <is>
          <t>N/A</t>
        </is>
      </c>
      <c r="Z986" s="0" t="inlineStr">
        <is>
          <t>N/A</t>
        </is>
      </c>
      <c r="AA986" s="0" t="inlineStr">
        <is>
          <t>N/A</t>
        </is>
      </c>
    </row>
    <row r="987" ht="15.75" customHeight="1" s="51">
      <c r="A987" s="43" t="inlineStr">
        <is>
          <t>ERE-098-05</t>
        </is>
      </c>
      <c r="B987" s="43" t="inlineStr">
        <is>
          <t>Erebus</t>
        </is>
      </c>
      <c r="C987" s="43" t="inlineStr">
        <is>
          <t>Smartphones &amp; Tablets</t>
        </is>
      </c>
      <c r="D987" s="43" t="inlineStr">
        <is>
          <t>Smartphone</t>
        </is>
      </c>
      <c r="E987" s="44" t="inlineStr">
        <is>
          <t>Erebus Blaze Air Rugged Smartphone</t>
        </is>
      </c>
      <c r="F987" s="45" t="n">
        <v>582.99</v>
      </c>
      <c r="G987" s="43" t="inlineStr">
        <is>
          <t>the Blaze Air; Erebus Blaze Air; Erebbus Blaze Air; Blaze Air smartphone</t>
        </is>
      </c>
      <c r="H987" s="43" t="inlineStr">
        <is>
          <t>2 year limited</t>
        </is>
      </c>
      <c r="I987" s="43" t="inlineStr">
        <is>
          <t>FCC, CE, IP69K, MIL-STD-810H</t>
        </is>
      </c>
      <c r="J987" s="43" t="inlineStr">
        <is>
          <t>Qualcomm Snapdragon 7+ Gen 3</t>
        </is>
      </c>
      <c r="K987" s="43" t="inlineStr">
        <is>
          <t>Qualcomm Adreno 732</t>
        </is>
      </c>
      <c r="L987" s="43" t="inlineStr">
        <is>
          <t>IPS LCD, Gorilla Glass Victus, 120Hz</t>
        </is>
      </c>
      <c r="M987" s="43" t="inlineStr">
        <is>
          <t>1080x2400</t>
        </is>
      </c>
      <c r="N987" s="43" t="inlineStr">
        <is>
          <t>USB-C (USB 2.0), nano-SIM + eSIM, 3.5mm headphone jack, microSD slot</t>
        </is>
      </c>
      <c r="O987" s="43" t="inlineStr">
        <is>
          <t>Android 15</t>
        </is>
      </c>
      <c r="P987" s="43" t="n">
        <v>30</v>
      </c>
      <c r="Q987" s="46" t="n">
        <v>336</v>
      </c>
      <c r="R987" s="43" t="inlineStr">
        <is>
          <t>Lower price than Elpis Nova Max Rugged Smartphone [ELP-074-05] ($582.99 vs $771.99); Longer battery than Circe Titan Ultra Rugged Smartphone [CIR-068-04] (30 vs 29 hrs)</t>
        </is>
      </c>
      <c r="S987" s="43" t="inlineStr">
        <is>
          <t>outdoor, construction, fieldwork</t>
        </is>
      </c>
      <c r="T987" s="0" t="inlineStr">
        <is>
          <t>low_stock</t>
        </is>
      </c>
      <c r="U987" s="0" t="n">
        <v>14</v>
      </c>
      <c r="V987" s="52" t="n">
        <v>650.99</v>
      </c>
      <c r="W987" s="0" t="inlineStr">
        <is>
          <t>2026-08-13</t>
        </is>
      </c>
      <c r="X987" s="0" t="inlineStr">
        <is>
          <t>N/A</t>
        </is>
      </c>
      <c r="Y987" s="0" t="inlineStr">
        <is>
          <t>N/A</t>
        </is>
      </c>
      <c r="Z987" s="0" t="inlineStr">
        <is>
          <t>N/A</t>
        </is>
      </c>
      <c r="AA987" s="0" t="inlineStr">
        <is>
          <t>N/A</t>
        </is>
      </c>
    </row>
    <row r="988" ht="15.75" customHeight="1" s="51">
      <c r="A988" s="43" t="inlineStr">
        <is>
          <t>ERE-098-06</t>
        </is>
      </c>
      <c r="B988" s="43" t="inlineStr">
        <is>
          <t>Erebus</t>
        </is>
      </c>
      <c r="C988" s="43" t="inlineStr">
        <is>
          <t>Smartphones &amp; Tablets</t>
        </is>
      </c>
      <c r="D988" s="43" t="inlineStr">
        <is>
          <t>Tablet</t>
        </is>
      </c>
      <c r="E988" s="44" t="inlineStr">
        <is>
          <t>Erebus Nova Pro 5G Tablet</t>
        </is>
      </c>
      <c r="F988" s="45" t="n">
        <v>649.99</v>
      </c>
      <c r="G988" s="43" t="inlineStr">
        <is>
          <t>the Nova Pro; Erebus Nova Pro; Erbeus Nova Pro; Nova Pro tablet</t>
        </is>
      </c>
      <c r="H988" s="43" t="inlineStr">
        <is>
          <t>1 year limited</t>
        </is>
      </c>
      <c r="I988" s="43" t="inlineStr">
        <is>
          <t>FCC, CE</t>
        </is>
      </c>
      <c r="J988" s="43" t="inlineStr">
        <is>
          <t>Qualcomm Snapdragon 7+ Gen 3</t>
        </is>
      </c>
      <c r="K988" s="43" t="inlineStr">
        <is>
          <t>Qualcomm Adreno 732</t>
        </is>
      </c>
      <c r="L988" s="43" t="inlineStr">
        <is>
          <t>IPS LCD, 90Hz</t>
        </is>
      </c>
      <c r="M988" s="43" t="inlineStr">
        <is>
          <t>1600x2560</t>
        </is>
      </c>
      <c r="N988" s="43" t="inlineStr">
        <is>
          <t>USB-C (USB 2.0), microSD slot, nano-SIM + eSIM</t>
        </is>
      </c>
      <c r="O988" s="43" t="inlineStr">
        <is>
          <t>Android 15</t>
        </is>
      </c>
      <c r="P988" s="43" t="n">
        <v>12</v>
      </c>
      <c r="Q988" s="46" t="n">
        <v>504</v>
      </c>
      <c r="R988" s="43" t="inlineStr">
        <is>
          <t>Lower price than Plutus Rift X 5G Tablet [PLU-100-06] ($649.99 vs $850.99); Longer battery than Peitho Vertex Lite 5G Tablet [PEI-083-07] (12 vs 11 hrs)</t>
        </is>
      </c>
      <c r="S988" s="43" t="inlineStr">
        <is>
          <t>travel, streaming, work on the go</t>
        </is>
      </c>
      <c r="T988" s="0" t="inlineStr">
        <is>
          <t>out_of_stock</t>
        </is>
      </c>
      <c r="U988" s="0" t="n">
        <v>14</v>
      </c>
      <c r="V988" s="52" t="n">
        <v>732.99</v>
      </c>
      <c r="W988" s="0" t="inlineStr">
        <is>
          <t>2026-08-09</t>
        </is>
      </c>
      <c r="X988" s="0" t="inlineStr">
        <is>
          <t>N/A</t>
        </is>
      </c>
      <c r="Y988" s="0" t="inlineStr">
        <is>
          <t>N/A</t>
        </is>
      </c>
      <c r="Z988" s="0" t="inlineStr">
        <is>
          <t>N/A</t>
        </is>
      </c>
      <c r="AA988" s="0" t="inlineStr">
        <is>
          <t>N/A</t>
        </is>
      </c>
    </row>
    <row r="989" ht="15.75" customHeight="1" s="51">
      <c r="A989" s="43" t="inlineStr">
        <is>
          <t>ERE-098-07</t>
        </is>
      </c>
      <c r="B989" s="43" t="inlineStr">
        <is>
          <t>Erebus</t>
        </is>
      </c>
      <c r="C989" s="43" t="inlineStr">
        <is>
          <t>Smartphones &amp; Tablets</t>
        </is>
      </c>
      <c r="D989" s="43" t="inlineStr">
        <is>
          <t>Tablet</t>
        </is>
      </c>
      <c r="E989" s="44" t="inlineStr">
        <is>
          <t>Erebus Axis X 11" Tablet</t>
        </is>
      </c>
      <c r="F989" s="45" t="n">
        <v>751.99</v>
      </c>
      <c r="G989" s="43" t="inlineStr">
        <is>
          <t>the Axis X; Erebus Axis X; Erebu Axis X; Axis X tablet</t>
        </is>
      </c>
      <c r="H989" s="43" t="inlineStr">
        <is>
          <t>2 year limited</t>
        </is>
      </c>
      <c r="I989" s="43" t="inlineStr">
        <is>
          <t>FCC, CE, Energy Star</t>
        </is>
      </c>
      <c r="J989" s="43" t="inlineStr">
        <is>
          <t>MediaTek Dimensity 8300</t>
        </is>
      </c>
      <c r="K989" s="43" t="inlineStr">
        <is>
          <t>Arm Mali-G615 MC6</t>
        </is>
      </c>
      <c r="L989" s="43" t="inlineStr">
        <is>
          <t>OLED, 120Hz</t>
        </is>
      </c>
      <c r="M989" s="43" t="inlineStr">
        <is>
          <t>1752x2800</t>
        </is>
      </c>
      <c r="N989" s="43" t="inlineStr">
        <is>
          <t>USB-C (USB 3.2), microSD slot</t>
        </is>
      </c>
      <c r="O989" s="43" t="inlineStr">
        <is>
          <t>Android 15</t>
        </is>
      </c>
      <c r="P989" s="43" t="n">
        <v>14</v>
      </c>
      <c r="Q989" s="46" t="n">
        <v>465</v>
      </c>
      <c r="R989" s="43" t="inlineStr">
        <is>
          <t>Lighter than Pallas Spark 11" Tablet [PAL-057-03] (465 g vs 478 g); Longer battery than Amphitrite Sable Max 11" Tablet [AMP-065-03] (14 vs 13 hrs)</t>
        </is>
      </c>
      <c r="S989" s="43" t="inlineStr">
        <is>
          <t>school, streaming, reading</t>
        </is>
      </c>
      <c r="T989" s="0" t="inlineStr">
        <is>
          <t>in_stock</t>
        </is>
      </c>
      <c r="U989" s="0" t="n">
        <v>14</v>
      </c>
      <c r="V989" s="52" t="n">
        <v>806.99</v>
      </c>
      <c r="W989" s="0" t="inlineStr">
        <is>
          <t>2026-08-12</t>
        </is>
      </c>
      <c r="X989" s="0" t="inlineStr">
        <is>
          <t>N/A</t>
        </is>
      </c>
      <c r="Y989" s="0" t="inlineStr">
        <is>
          <t>N/A</t>
        </is>
      </c>
      <c r="Z989" s="0" t="inlineStr">
        <is>
          <t>N/A</t>
        </is>
      </c>
      <c r="AA989" s="0" t="inlineStr">
        <is>
          <t>N/A</t>
        </is>
      </c>
    </row>
    <row r="990" ht="15.75" customHeight="1" s="51">
      <c r="A990" s="43" t="inlineStr">
        <is>
          <t>ERE-098-08</t>
        </is>
      </c>
      <c r="B990" s="43" t="inlineStr">
        <is>
          <t>Erebus</t>
        </is>
      </c>
      <c r="C990" s="43" t="inlineStr">
        <is>
          <t>Smartphones &amp; Tablets</t>
        </is>
      </c>
      <c r="D990" s="43" t="inlineStr">
        <is>
          <t>Smartphone</t>
        </is>
      </c>
      <c r="E990" s="44" t="inlineStr">
        <is>
          <t>Erebus Flux Ultra Flip Foldable Phone</t>
        </is>
      </c>
      <c r="F990" s="45" t="n">
        <v>925.99</v>
      </c>
      <c r="G990" s="43" t="inlineStr">
        <is>
          <t>the Flux Ultra; Erebus Flux Ultra; Erebos Flux Ultra; Flux Ultra smartphone</t>
        </is>
      </c>
      <c r="H990" s="43" t="inlineStr">
        <is>
          <t>1 year limited</t>
        </is>
      </c>
      <c r="I990" s="43" t="inlineStr">
        <is>
          <t>FCC, CE, IPX8</t>
        </is>
      </c>
      <c r="J990" s="43" t="inlineStr">
        <is>
          <t>Qualcomm Snapdragon 8 Gen 3</t>
        </is>
      </c>
      <c r="K990" s="43" t="inlineStr">
        <is>
          <t>Qualcomm Adreno 750</t>
        </is>
      </c>
      <c r="L990" s="43" t="inlineStr">
        <is>
          <t>Foldable AMOLED inner + AMOLED cover screen</t>
        </is>
      </c>
      <c r="M990" s="43" t="inlineStr">
        <is>
          <t>1080x2640 inner / 720x748 cover</t>
        </is>
      </c>
      <c r="N990" s="43" t="inlineStr">
        <is>
          <t>USB-C (USB 3.2), nano-SIM + eSIM</t>
        </is>
      </c>
      <c r="O990" s="43" t="inlineStr">
        <is>
          <t>Android 15</t>
        </is>
      </c>
      <c r="P990" s="43" t="n">
        <v>21</v>
      </c>
      <c r="Q990" s="46" t="n">
        <v>189</v>
      </c>
      <c r="R990" s="43" t="inlineStr">
        <is>
          <t>Longer battery than Anteros Titan X Flip Foldable Phone [ANT-090-06] (21 vs 19 hrs); Lower price than Circe Drift SE Flip Foldable Phone [CIR-068-07] ($925.99 vs $974.99)</t>
        </is>
      </c>
      <c r="S990" s="43" t="inlineStr">
        <is>
          <t>style, everyday, compact</t>
        </is>
      </c>
      <c r="T990" s="0" t="inlineStr">
        <is>
          <t>in_stock</t>
        </is>
      </c>
      <c r="U990" s="0" t="n">
        <v>14</v>
      </c>
      <c r="V990" s="52" t="n">
        <v>1028.99</v>
      </c>
      <c r="W990" s="0" t="inlineStr">
        <is>
          <t>2026-09-08</t>
        </is>
      </c>
      <c r="X990" s="0" t="inlineStr">
        <is>
          <t>N/A</t>
        </is>
      </c>
      <c r="Y990" s="0" t="inlineStr">
        <is>
          <t>N/A</t>
        </is>
      </c>
      <c r="Z990" s="0" t="inlineStr">
        <is>
          <t>N/A</t>
        </is>
      </c>
      <c r="AA990" s="0" t="inlineStr">
        <is>
          <t>N/A</t>
        </is>
      </c>
    </row>
    <row r="991" ht="15.75" customHeight="1" s="51">
      <c r="A991" s="43" t="inlineStr">
        <is>
          <t>ERE-098-09</t>
        </is>
      </c>
      <c r="B991" s="43" t="inlineStr">
        <is>
          <t>Erebus</t>
        </is>
      </c>
      <c r="C991" s="43" t="inlineStr">
        <is>
          <t>Smartphones &amp; Tablets</t>
        </is>
      </c>
      <c r="D991" s="43" t="inlineStr">
        <is>
          <t>Smartphone</t>
        </is>
      </c>
      <c r="E991" s="44" t="inlineStr">
        <is>
          <t>Erebus Apex Max Pro Max Smartphone</t>
        </is>
      </c>
      <c r="F991" s="45" t="n">
        <v>1123.99</v>
      </c>
      <c r="G991" s="43" t="inlineStr">
        <is>
          <t>the Apex Max; Erebus Apex Max; Erebuus Apex Max; Apex Max smartphone</t>
        </is>
      </c>
      <c r="H991" s="43" t="inlineStr">
        <is>
          <t>1 year limited</t>
        </is>
      </c>
      <c r="I991" s="43" t="inlineStr">
        <is>
          <t>FCC, CE, IP68, Qi2</t>
        </is>
      </c>
      <c r="J991" s="43" t="inlineStr">
        <is>
          <t>MediaTek Dimensity 9400</t>
        </is>
      </c>
      <c r="K991" s="43" t="inlineStr">
        <is>
          <t>Arm Immortalis-G925</t>
        </is>
      </c>
      <c r="L991" s="43" t="inlineStr">
        <is>
          <t>LTPO AMOLED, 1-120Hz</t>
        </is>
      </c>
      <c r="M991" s="43" t="inlineStr">
        <is>
          <t>1440x3120</t>
        </is>
      </c>
      <c r="N991" s="43" t="inlineStr">
        <is>
          <t>USB-C (USB 3.2), nano-SIM + eSIM</t>
        </is>
      </c>
      <c r="O991" s="43" t="inlineStr">
        <is>
          <t>Android 15</t>
        </is>
      </c>
      <c r="P991" s="43" t="n">
        <v>35</v>
      </c>
      <c r="Q991" s="46" t="n">
        <v>210</v>
      </c>
      <c r="R991" s="43" t="inlineStr">
        <is>
          <t>Longer battery than Aletheia Flux SE Pro Max Smartphone [ALE-089-09] (35 vs 34 hrs); Lower price than Leucothea Nova Air Pro Max Smartphone [LEU-095-09] ($1,123.99 vs $1,265.99)</t>
        </is>
      </c>
      <c r="S991" s="43" t="inlineStr">
        <is>
          <t>photography, video, mobile gaming</t>
        </is>
      </c>
      <c r="T991" s="0" t="inlineStr">
        <is>
          <t>in_stock</t>
        </is>
      </c>
      <c r="U991" s="0" t="n">
        <v>14</v>
      </c>
      <c r="V991" s="52" t="n">
        <v>1230.99</v>
      </c>
      <c r="W991" s="0" t="inlineStr">
        <is>
          <t>2026-09-07</t>
        </is>
      </c>
      <c r="X991" s="0" t="inlineStr">
        <is>
          <t>N/A</t>
        </is>
      </c>
      <c r="Y991" s="0" t="inlineStr">
        <is>
          <t>N/A</t>
        </is>
      </c>
      <c r="Z991" s="0" t="inlineStr">
        <is>
          <t>N/A</t>
        </is>
      </c>
      <c r="AA991" s="0" t="inlineStr">
        <is>
          <t>N/A</t>
        </is>
      </c>
    </row>
    <row r="992" ht="15.75" customHeight="1" s="51">
      <c r="A992" s="43" t="inlineStr">
        <is>
          <t>ERE-098-10</t>
        </is>
      </c>
      <c r="B992" s="43" t="inlineStr">
        <is>
          <t>Erebus</t>
        </is>
      </c>
      <c r="C992" s="43" t="inlineStr">
        <is>
          <t>Smartphones &amp; Tablets</t>
        </is>
      </c>
      <c r="D992" s="43" t="inlineStr">
        <is>
          <t>Smartphone</t>
        </is>
      </c>
      <c r="E992" s="44" t="inlineStr">
        <is>
          <t>Erebus Halo Plus Foldable Phone</t>
        </is>
      </c>
      <c r="F992" s="45" t="n">
        <v>1339.99</v>
      </c>
      <c r="G992" s="43" t="inlineStr">
        <is>
          <t>the Halo Plus; Erebus Halo Plus; Errebus Halo Plus; Halo Plus smartphone</t>
        </is>
      </c>
      <c r="H992" s="43" t="inlineStr">
        <is>
          <t>1 year limited</t>
        </is>
      </c>
      <c r="I992" s="43" t="inlineStr">
        <is>
          <t>FCC, CE, IPX8</t>
        </is>
      </c>
      <c r="J992" s="43" t="inlineStr">
        <is>
          <t>Qualcomm Snapdragon 8 Elite</t>
        </is>
      </c>
      <c r="K992" s="43" t="inlineStr">
        <is>
          <t>Qualcomm Adreno 830</t>
        </is>
      </c>
      <c r="L992" s="43" t="inlineStr">
        <is>
          <t>Foldable LTPO AMOLED inner + AMOLED cover, 120Hz</t>
        </is>
      </c>
      <c r="M992" s="43" t="inlineStr">
        <is>
          <t>2160x1856 inner / 1080x2376 cover</t>
        </is>
      </c>
      <c r="N992" s="43" t="inlineStr">
        <is>
          <t>USB-C (USB 3.2), nano-SIM + eSIM</t>
        </is>
      </c>
      <c r="O992" s="43" t="inlineStr">
        <is>
          <t>Android 15</t>
        </is>
      </c>
      <c r="P992" s="43" t="n">
        <v>22</v>
      </c>
      <c r="Q992" s="46" t="n">
        <v>230</v>
      </c>
      <c r="R992" s="43" t="inlineStr">
        <is>
          <t>Lower price than Panacea Nova Ultra Foldable Phone [PAN-069-10] ($1,339.99 vs $1,960.99); Lighter than Oceanus Spark Pro Foldable Phone [OCE-060-10] (230 g vs 254 g)</t>
        </is>
      </c>
      <c r="S992" s="43" t="inlineStr">
        <is>
          <t>multitasking, business, media</t>
        </is>
      </c>
      <c r="T992" s="0" t="inlineStr">
        <is>
          <t>low_stock</t>
        </is>
      </c>
      <c r="U992" s="0" t="n">
        <v>14</v>
      </c>
      <c r="V992" s="52" t="n">
        <v>1460.99</v>
      </c>
      <c r="W992" s="0" t="inlineStr">
        <is>
          <t>2026-08-17</t>
        </is>
      </c>
      <c r="X992" s="0" t="inlineStr">
        <is>
          <t>N/A</t>
        </is>
      </c>
      <c r="Y992" s="0" t="inlineStr">
        <is>
          <t>N/A</t>
        </is>
      </c>
      <c r="Z992" s="0" t="inlineStr">
        <is>
          <t>N/A</t>
        </is>
      </c>
      <c r="AA992" s="0" t="inlineStr">
        <is>
          <t>N/A</t>
        </is>
      </c>
    </row>
    <row r="993" ht="15.75" customHeight="1" s="51">
      <c r="A993" s="43" t="inlineStr">
        <is>
          <t>DIK-099-01</t>
        </is>
      </c>
      <c r="B993" s="43" t="inlineStr">
        <is>
          <t>Dike</t>
        </is>
      </c>
      <c r="C993" s="43" t="inlineStr">
        <is>
          <t>Smartphones &amp; Tablets</t>
        </is>
      </c>
      <c r="D993" s="43" t="inlineStr">
        <is>
          <t>Tablet</t>
        </is>
      </c>
      <c r="E993" s="44" t="inlineStr">
        <is>
          <t>Dike Echo Ultra Kids Tablet</t>
        </is>
      </c>
      <c r="F993" s="45" t="n">
        <v>93.98999999999999</v>
      </c>
      <c r="G993" s="43" t="inlineStr">
        <is>
          <t>the Echo Ultra; Dike Echo Ultra; Diike Echo Ultra; Echo Ultra tablet</t>
        </is>
      </c>
      <c r="H993" s="43" t="inlineStr">
        <is>
          <t>1 year limited</t>
        </is>
      </c>
      <c r="I993" s="43" t="inlineStr">
        <is>
          <t>FCC, CE, TUV Rheinland Low Blue Light, EN 71 Toy Safety</t>
        </is>
      </c>
      <c r="J993" s="43" t="inlineStr">
        <is>
          <t>MediaTek Helio G88</t>
        </is>
      </c>
      <c r="K993" s="43" t="inlineStr">
        <is>
          <t>Arm Mali-G52 MC2</t>
        </is>
      </c>
      <c r="L993" s="43" t="inlineStr">
        <is>
          <t>IPS LCD, 60Hz</t>
        </is>
      </c>
      <c r="M993" s="43" t="inlineStr">
        <is>
          <t>800x1280</t>
        </is>
      </c>
      <c r="N993" s="43" t="inlineStr">
        <is>
          <t>USB-C (USB 2.0), microSD slot</t>
        </is>
      </c>
      <c r="O993" s="43" t="inlineStr">
        <is>
          <t>Android 14 with parental controls</t>
        </is>
      </c>
      <c r="P993" s="43" t="n">
        <v>11</v>
      </c>
      <c r="Q993" s="46" t="n">
        <v>446</v>
      </c>
      <c r="R993" s="43" t="inlineStr">
        <is>
          <t>Lower price than Leucothea Prism X Kids Tablet [LEU-095-01] ($93.99 vs $178.99); Longer battery than Oceanus Aria Air Kids Tablet [OCE-060-01] (11 vs 10 hrs)</t>
        </is>
      </c>
      <c r="S993" s="43" t="inlineStr">
        <is>
          <t>kids, learning, games</t>
        </is>
      </c>
      <c r="T993" s="0" t="inlineStr">
        <is>
          <t>in_stock</t>
        </is>
      </c>
      <c r="U993" s="0" t="n">
        <v>30</v>
      </c>
      <c r="V993" s="52" t="n">
        <v>105.99</v>
      </c>
      <c r="W993" s="0" t="inlineStr">
        <is>
          <t>2026-09-21</t>
        </is>
      </c>
      <c r="X993" s="0" t="inlineStr">
        <is>
          <t>N/A</t>
        </is>
      </c>
      <c r="Y993" s="0" t="inlineStr">
        <is>
          <t>N/A</t>
        </is>
      </c>
      <c r="Z993" s="0" t="inlineStr">
        <is>
          <t>N/A</t>
        </is>
      </c>
      <c r="AA993" s="0" t="inlineStr">
        <is>
          <t>N/A</t>
        </is>
      </c>
    </row>
    <row r="994" ht="15.75" customHeight="1" s="51">
      <c r="A994" s="43" t="inlineStr">
        <is>
          <t>DIK-099-02</t>
        </is>
      </c>
      <c r="B994" s="43" t="inlineStr">
        <is>
          <t>Dike</t>
        </is>
      </c>
      <c r="C994" s="43" t="inlineStr">
        <is>
          <t>Smartphones &amp; Tablets</t>
        </is>
      </c>
      <c r="D994" s="43" t="inlineStr">
        <is>
          <t>Tablet</t>
        </is>
      </c>
      <c r="E994" s="44" t="inlineStr">
        <is>
          <t>Dike Nova Pro E-Ink Note Tablet</t>
        </is>
      </c>
      <c r="F994" s="45" t="n">
        <v>259.99</v>
      </c>
      <c r="G994" s="43" t="inlineStr">
        <is>
          <t>the Nova Pro; Dike Nova Pro; Dkie Nova Pro; Nova Pro tablet</t>
        </is>
      </c>
      <c r="H994" s="43" t="inlineStr">
        <is>
          <t>1 year limited</t>
        </is>
      </c>
      <c r="I994" s="43" t="inlineStr">
        <is>
          <t>FCC, CE, TUV Rheinland Low Blue Light</t>
        </is>
      </c>
      <c r="J994" s="43" t="inlineStr">
        <is>
          <t>Rockchip RK3566</t>
        </is>
      </c>
      <c r="K994" s="43" t="inlineStr">
        <is>
          <t>Arm Mali-G52 2EE</t>
        </is>
      </c>
      <c r="L994" s="43" t="inlineStr">
        <is>
          <t>E Ink Carta 1300, front-lit</t>
        </is>
      </c>
      <c r="M994" s="43" t="inlineStr">
        <is>
          <t>1404x1872</t>
        </is>
      </c>
      <c r="N994" s="43" t="inlineStr">
        <is>
          <t>USB-C (USB 2.0), microSD slot</t>
        </is>
      </c>
      <c r="O994" s="43" t="inlineStr">
        <is>
          <t>Android 13 (E Ink optimized)</t>
        </is>
      </c>
      <c r="P994" s="43" t="n">
        <v>153</v>
      </c>
      <c r="Q994" s="46" t="n">
        <v>429</v>
      </c>
      <c r="R994" s="43" t="inlineStr">
        <is>
          <t>Lower price than Phorcys Halo Ultra E-Ink Note Tablet [PHO-087-04] ($259.99 vs $670.99); Lighter than Anteros Drift E-Ink Note Tablet [ANT-090-02] (429 g vs 437 g)</t>
        </is>
      </c>
      <c r="S994" s="43" t="inlineStr">
        <is>
          <t>reading, note-taking, school</t>
        </is>
      </c>
      <c r="T994" s="0" t="inlineStr">
        <is>
          <t>in_stock</t>
        </is>
      </c>
      <c r="U994" s="0" t="n">
        <v>30</v>
      </c>
      <c r="V994" s="52" t="n">
        <v>297.99</v>
      </c>
      <c r="W994" s="0" t="inlineStr">
        <is>
          <t>2026-09-25</t>
        </is>
      </c>
      <c r="X994" s="0" t="inlineStr">
        <is>
          <t>N/A</t>
        </is>
      </c>
      <c r="Y994" s="0" t="inlineStr">
        <is>
          <t>N/A</t>
        </is>
      </c>
      <c r="Z994" s="0" t="inlineStr">
        <is>
          <t>N/A</t>
        </is>
      </c>
      <c r="AA994" s="0" t="inlineStr">
        <is>
          <t>N/A</t>
        </is>
      </c>
    </row>
    <row r="995" ht="15.75" customHeight="1" s="51">
      <c r="A995" s="43" t="inlineStr">
        <is>
          <t>DIK-099-03</t>
        </is>
      </c>
      <c r="B995" s="43" t="inlineStr">
        <is>
          <t>Dike</t>
        </is>
      </c>
      <c r="C995" s="43" t="inlineStr">
        <is>
          <t>Smartphones &amp; Tablets</t>
        </is>
      </c>
      <c r="D995" s="43" t="inlineStr">
        <is>
          <t>Smartphone</t>
        </is>
      </c>
      <c r="E995" s="44" t="inlineStr">
        <is>
          <t>Dike Wave X Rugged Smartphone</t>
        </is>
      </c>
      <c r="F995" s="45" t="n">
        <v>323.99</v>
      </c>
      <c r="G995" s="43" t="inlineStr">
        <is>
          <t>the Wave X; Dike Wave X; Dkie Wave X; Wave X smartphone</t>
        </is>
      </c>
      <c r="H995" s="43" t="inlineStr">
        <is>
          <t>2 year limited</t>
        </is>
      </c>
      <c r="I995" s="43" t="inlineStr">
        <is>
          <t>FCC, CE, IP69K, MIL-STD-810H</t>
        </is>
      </c>
      <c r="J995" s="43" t="inlineStr">
        <is>
          <t>Qualcomm Snapdragon 6 Gen 1</t>
        </is>
      </c>
      <c r="K995" s="43" t="inlineStr">
        <is>
          <t>Qualcomm Adreno 710</t>
        </is>
      </c>
      <c r="L995" s="43" t="inlineStr">
        <is>
          <t>IPS LCD, Gorilla Glass Victus, 120Hz</t>
        </is>
      </c>
      <c r="M995" s="43" t="inlineStr">
        <is>
          <t>1080x2400</t>
        </is>
      </c>
      <c r="N995" s="43" t="inlineStr">
        <is>
          <t>USB-C (USB 2.0), nano-SIM + eSIM, 3.5mm headphone jack, microSD slot</t>
        </is>
      </c>
      <c r="O995" s="43" t="inlineStr">
        <is>
          <t>Android 14</t>
        </is>
      </c>
      <c r="P995" s="43" t="n">
        <v>30</v>
      </c>
      <c r="Q995" s="46" t="n">
        <v>306</v>
      </c>
      <c r="R995" s="43" t="inlineStr">
        <is>
          <t>Lower price than Panacea Crest X Rugged Smartphone [PAN-069-04] ($323.99 vs $642.99); Lighter than Lachesis Titan Plus Rugged Smartphone [LAC-071-04] (306 g vs 340 g)</t>
        </is>
      </c>
      <c r="S995" s="43" t="inlineStr">
        <is>
          <t>outdoor, construction, fieldwork</t>
        </is>
      </c>
      <c r="T995" s="0" t="inlineStr">
        <is>
          <t>low_stock</t>
        </is>
      </c>
      <c r="U995" s="0" t="n">
        <v>30</v>
      </c>
      <c r="V995" s="52" t="n">
        <v>372.99</v>
      </c>
      <c r="W995" s="0" t="inlineStr">
        <is>
          <t>2026-08-17</t>
        </is>
      </c>
      <c r="X995" s="0" t="inlineStr">
        <is>
          <t>N/A</t>
        </is>
      </c>
      <c r="Y995" s="0" t="inlineStr">
        <is>
          <t>N/A</t>
        </is>
      </c>
      <c r="Z995" s="0" t="inlineStr">
        <is>
          <t>N/A</t>
        </is>
      </c>
      <c r="AA995" s="0" t="inlineStr">
        <is>
          <t>N/A</t>
        </is>
      </c>
    </row>
    <row r="996" ht="15.75" customHeight="1" s="51">
      <c r="A996" s="43" t="inlineStr">
        <is>
          <t>DIK-099-04</t>
        </is>
      </c>
      <c r="B996" s="43" t="inlineStr">
        <is>
          <t>Dike</t>
        </is>
      </c>
      <c r="C996" s="43" t="inlineStr">
        <is>
          <t>Smartphones &amp; Tablets</t>
        </is>
      </c>
      <c r="D996" s="43" t="inlineStr">
        <is>
          <t>Smartphone</t>
        </is>
      </c>
      <c r="E996" s="44" t="inlineStr">
        <is>
          <t>Dike Sable Lite Budget Smartphone</t>
        </is>
      </c>
      <c r="F996" s="45" t="n">
        <v>355.99</v>
      </c>
      <c r="G996" s="43" t="inlineStr">
        <is>
          <t>the Sable Lite; Dike Sable Lite; Diike Sable Lite; Sable Lite smartphone</t>
        </is>
      </c>
      <c r="H996" s="43" t="inlineStr">
        <is>
          <t>2 year limited</t>
        </is>
      </c>
      <c r="I996" s="43" t="inlineStr">
        <is>
          <t>FCC, CE, IP54</t>
        </is>
      </c>
      <c r="J996" s="43" t="inlineStr">
        <is>
          <t>MediaTek Dimensity 7300</t>
        </is>
      </c>
      <c r="K996" s="43" t="inlineStr">
        <is>
          <t>Arm Mali-G615 MC2</t>
        </is>
      </c>
      <c r="L996" s="43" t="inlineStr">
        <is>
          <t>AMOLED, 120Hz</t>
        </is>
      </c>
      <c r="M996" s="43" t="inlineStr">
        <is>
          <t>1080x2400</t>
        </is>
      </c>
      <c r="N996" s="43" t="inlineStr">
        <is>
          <t>USB-C (USB 2.0), nano-SIM + eSIM, 3.5mm headphone jack, microSD slot</t>
        </is>
      </c>
      <c r="O996" s="43" t="inlineStr">
        <is>
          <t>Android 15</t>
        </is>
      </c>
      <c r="P996" s="43" t="n">
        <v>24</v>
      </c>
      <c r="Q996" s="46" t="n">
        <v>210</v>
      </c>
      <c r="R996" s="43" t="inlineStr">
        <is>
          <t>Longer battery than Pan Aeon Ultra Budget Smartphone [PAN-097-01] (24 vs 20 hrs); Lower price than Plutus Vertex Air Budget Smartphone [PLU-100-02] ($355.99 vs $383.99)</t>
        </is>
      </c>
      <c r="S996" s="43" t="inlineStr">
        <is>
          <t>budget, first phone, everyday</t>
        </is>
      </c>
      <c r="T996" s="0" t="inlineStr">
        <is>
          <t>in_stock</t>
        </is>
      </c>
      <c r="U996" s="0" t="n">
        <v>30</v>
      </c>
      <c r="V996" s="52" t="n">
        <v>383.99</v>
      </c>
      <c r="W996" s="0" t="inlineStr">
        <is>
          <t>2026-09-12</t>
        </is>
      </c>
      <c r="X996" s="0" t="inlineStr">
        <is>
          <t>N/A</t>
        </is>
      </c>
      <c r="Y996" s="0" t="inlineStr">
        <is>
          <t>N/A</t>
        </is>
      </c>
      <c r="Z996" s="0" t="inlineStr">
        <is>
          <t>N/A</t>
        </is>
      </c>
      <c r="AA996" s="0" t="inlineStr">
        <is>
          <t>N/A</t>
        </is>
      </c>
    </row>
    <row r="997" ht="15.75" customHeight="1" s="51">
      <c r="A997" s="43" t="inlineStr">
        <is>
          <t>DIK-099-05</t>
        </is>
      </c>
      <c r="B997" s="43" t="inlineStr">
        <is>
          <t>Dike</t>
        </is>
      </c>
      <c r="C997" s="43" t="inlineStr">
        <is>
          <t>Smartphones &amp; Tablets</t>
        </is>
      </c>
      <c r="D997" s="43" t="inlineStr">
        <is>
          <t>Tablet</t>
        </is>
      </c>
      <c r="E997" s="44" t="inlineStr">
        <is>
          <t>Dike Aria SE 8" Mini Tablet</t>
        </is>
      </c>
      <c r="F997" s="45" t="n">
        <v>419.99</v>
      </c>
      <c r="G997" s="43" t="inlineStr">
        <is>
          <t>the Aria SE; Dike Aria SE; Dikke Aria SE; Aria SE tablet</t>
        </is>
      </c>
      <c r="H997" s="43" t="inlineStr">
        <is>
          <t>1 year limited</t>
        </is>
      </c>
      <c r="I997" s="43" t="inlineStr">
        <is>
          <t>FCC, CE, TUV Rheinland Low Blue Light, Energy Star</t>
        </is>
      </c>
      <c r="J997" s="43" t="inlineStr">
        <is>
          <t>MediaTek Dimensity 7300</t>
        </is>
      </c>
      <c r="K997" s="43" t="inlineStr">
        <is>
          <t>Arm Mali-G615 MC2</t>
        </is>
      </c>
      <c r="L997" s="43" t="inlineStr">
        <is>
          <t>OLED, 120Hz</t>
        </is>
      </c>
      <c r="M997" s="43" t="inlineStr">
        <is>
          <t>1600x2560</t>
        </is>
      </c>
      <c r="N997" s="43" t="inlineStr">
        <is>
          <t>USB-C (USB 2.0), microSD slot</t>
        </is>
      </c>
      <c r="O997" s="43" t="inlineStr">
        <is>
          <t>Android 15</t>
        </is>
      </c>
      <c r="P997" s="43" t="n">
        <v>11</v>
      </c>
      <c r="Q997" s="46" t="n">
        <v>290</v>
      </c>
      <c r="R997" s="43" t="inlineStr">
        <is>
          <t>Lighter than Arete Aeon 8" Mini Tablet [ARE-054-03] (290 g vs 301 g); Longer battery than Alpheus Volt Plus 8" Mini Tablet [ALP-082-02] (11 vs 9 hrs)</t>
        </is>
      </c>
      <c r="S997" s="43" t="inlineStr">
        <is>
          <t>reading, travel, gaming</t>
        </is>
      </c>
      <c r="T997" s="0" t="inlineStr">
        <is>
          <t>in_stock</t>
        </is>
      </c>
      <c r="U997" s="0" t="n">
        <v>30</v>
      </c>
      <c r="V997" s="52" t="n">
        <v>481.99</v>
      </c>
      <c r="W997" s="0" t="inlineStr">
        <is>
          <t>2026-09-24</t>
        </is>
      </c>
      <c r="X997" s="0" t="inlineStr">
        <is>
          <t>N/A</t>
        </is>
      </c>
      <c r="Y997" s="0" t="inlineStr">
        <is>
          <t>N/A</t>
        </is>
      </c>
      <c r="Z997" s="0" t="inlineStr">
        <is>
          <t>N/A</t>
        </is>
      </c>
      <c r="AA997" s="0" t="inlineStr">
        <is>
          <t>N/A</t>
        </is>
      </c>
    </row>
    <row r="998" ht="15.75" customHeight="1" s="51">
      <c r="A998" s="43" t="inlineStr">
        <is>
          <t>DIK-099-06</t>
        </is>
      </c>
      <c r="B998" s="43" t="inlineStr">
        <is>
          <t>Dike</t>
        </is>
      </c>
      <c r="C998" s="43" t="inlineStr">
        <is>
          <t>Smartphones &amp; Tablets</t>
        </is>
      </c>
      <c r="D998" s="43" t="inlineStr">
        <is>
          <t>Smartphone</t>
        </is>
      </c>
      <c r="E998" s="44" t="inlineStr">
        <is>
          <t>Dike Quanta Plus Compact Smartphone</t>
        </is>
      </c>
      <c r="F998" s="45" t="n">
        <v>545.99</v>
      </c>
      <c r="G998" s="43" t="inlineStr">
        <is>
          <t>the Quanta Plus; Dike Quanta Plus; Diike Quanta Plus; Quanta Plus smartphone</t>
        </is>
      </c>
      <c r="H998" s="43" t="inlineStr">
        <is>
          <t>1 year limited</t>
        </is>
      </c>
      <c r="I998" s="43" t="inlineStr">
        <is>
          <t>FCC, CE, IP68</t>
        </is>
      </c>
      <c r="J998" s="43" t="inlineStr">
        <is>
          <t>Qualcomm Snapdragon 7+ Gen 3</t>
        </is>
      </c>
      <c r="K998" s="43" t="inlineStr">
        <is>
          <t>Qualcomm Adreno 732</t>
        </is>
      </c>
      <c r="L998" s="43" t="inlineStr">
        <is>
          <t>AMOLED, 120Hz</t>
        </is>
      </c>
      <c r="M998" s="43" t="inlineStr">
        <is>
          <t>1080x2340</t>
        </is>
      </c>
      <c r="N998" s="43" t="inlineStr">
        <is>
          <t>USB-C (USB 2.0), nano-SIM + eSIM</t>
        </is>
      </c>
      <c r="O998" s="43" t="inlineStr">
        <is>
          <t>Android 15</t>
        </is>
      </c>
      <c r="P998" s="43" t="n">
        <v>21</v>
      </c>
      <c r="Q998" s="46" t="n">
        <v>163</v>
      </c>
      <c r="R998" s="43" t="inlineStr">
        <is>
          <t>Longer battery than Alpheus Flux Air Compact Smartphone [ALP-082-08] (21 vs 19 hrs); Lower price than Aglaea Spark Lite Compact Smartphone [AGL-079-07] ($545.99 vs $842.99)</t>
        </is>
      </c>
      <c r="S998" s="43" t="inlineStr">
        <is>
          <t>everyday, one-handed use</t>
        </is>
      </c>
      <c r="T998" s="0" t="inlineStr">
        <is>
          <t>in_stock</t>
        </is>
      </c>
      <c r="U998" s="0" t="n">
        <v>30</v>
      </c>
      <c r="V998" s="52" t="n">
        <v>605.99</v>
      </c>
      <c r="W998" s="0" t="inlineStr">
        <is>
          <t>2026-09-02</t>
        </is>
      </c>
      <c r="X998" s="0" t="inlineStr">
        <is>
          <t>N/A</t>
        </is>
      </c>
      <c r="Y998" s="0" t="inlineStr">
        <is>
          <t>N/A</t>
        </is>
      </c>
      <c r="Z998" s="0" t="inlineStr">
        <is>
          <t>N/A</t>
        </is>
      </c>
      <c r="AA998" s="0" t="inlineStr">
        <is>
          <t>N/A</t>
        </is>
      </c>
    </row>
    <row r="999" ht="15.75" customHeight="1" s="51">
      <c r="A999" s="43" t="inlineStr">
        <is>
          <t>DIK-099-07</t>
        </is>
      </c>
      <c r="B999" s="43" t="inlineStr">
        <is>
          <t>Dike</t>
        </is>
      </c>
      <c r="C999" s="43" t="inlineStr">
        <is>
          <t>Smartphones &amp; Tablets</t>
        </is>
      </c>
      <c r="D999" s="43" t="inlineStr">
        <is>
          <t>Smartphone</t>
        </is>
      </c>
      <c r="E999" s="44" t="inlineStr">
        <is>
          <t>Dike Pulse SE Flip Foldable Phone</t>
        </is>
      </c>
      <c r="F999" s="45" t="n">
        <v>1052.99</v>
      </c>
      <c r="G999" s="43" t="inlineStr">
        <is>
          <t>the Pulse SE; Dike Pulse SE; Dkie Pulse SE; Pulse SE smartphone</t>
        </is>
      </c>
      <c r="H999" s="43" t="inlineStr">
        <is>
          <t>1 year limited</t>
        </is>
      </c>
      <c r="I999" s="43" t="inlineStr">
        <is>
          <t>FCC, CE, IPX8</t>
        </is>
      </c>
      <c r="J999" s="43" t="inlineStr">
        <is>
          <t>MediaTek Dimensity 9400</t>
        </is>
      </c>
      <c r="K999" s="43" t="inlineStr">
        <is>
          <t>Arm Immortalis-G925</t>
        </is>
      </c>
      <c r="L999" s="43" t="inlineStr">
        <is>
          <t>Foldable AMOLED inner + AMOLED cover screen</t>
        </is>
      </c>
      <c r="M999" s="43" t="inlineStr">
        <is>
          <t>1080x2640 inner / 720x748 cover</t>
        </is>
      </c>
      <c r="N999" s="43" t="inlineStr">
        <is>
          <t>USB-C (USB 3.2), nano-SIM + eSIM</t>
        </is>
      </c>
      <c r="O999" s="43" t="inlineStr">
        <is>
          <t>Android 15</t>
        </is>
      </c>
      <c r="P999" s="43" t="n">
        <v>22</v>
      </c>
      <c r="Q999" s="46" t="n">
        <v>183</v>
      </c>
      <c r="R999" s="43" t="inlineStr">
        <is>
          <t>Longer battery than Elpis Echo Lite Flip Foldable Phone [ELP-074-06] (22 vs 18 hrs); Lighter than Eurus Flux Lite Flip Foldable Phone [EUR-088-06] (183 g vs 197 g)</t>
        </is>
      </c>
      <c r="S999" s="43" t="inlineStr">
        <is>
          <t>style, everyday, compact</t>
        </is>
      </c>
      <c r="T999" s="0" t="inlineStr">
        <is>
          <t>in_stock</t>
        </is>
      </c>
      <c r="U999" s="0" t="n">
        <v>30</v>
      </c>
      <c r="V999" s="52" t="n">
        <v>1196.99</v>
      </c>
      <c r="W999" s="0" t="inlineStr">
        <is>
          <t>2026-08-01</t>
        </is>
      </c>
      <c r="X999" s="0" t="inlineStr">
        <is>
          <t>N/A</t>
        </is>
      </c>
      <c r="Y999" s="0" t="inlineStr">
        <is>
          <t>N/A</t>
        </is>
      </c>
      <c r="Z999" s="0" t="inlineStr">
        <is>
          <t>N/A</t>
        </is>
      </c>
      <c r="AA999" s="0" t="inlineStr">
        <is>
          <t>N/A</t>
        </is>
      </c>
    </row>
    <row r="1000" ht="15.75" customHeight="1" s="51">
      <c r="A1000" s="43" t="inlineStr">
        <is>
          <t>DIK-099-08</t>
        </is>
      </c>
      <c r="B1000" s="43" t="inlineStr">
        <is>
          <t>Dike</t>
        </is>
      </c>
      <c r="C1000" s="43" t="inlineStr">
        <is>
          <t>Smartphones &amp; Tablets</t>
        </is>
      </c>
      <c r="D1000" s="43" t="inlineStr">
        <is>
          <t>Tablet</t>
        </is>
      </c>
      <c r="E1000" s="44" t="inlineStr">
        <is>
          <t>Dike Vertex Lite Drawing Tablet with Stylus</t>
        </is>
      </c>
      <c r="F1000" s="45" t="n">
        <v>1097.99</v>
      </c>
      <c r="G1000" s="43" t="inlineStr">
        <is>
          <t>the Vertex Lite; Dike Vertex Lite; Dik Vertex Lite; Vertex Lite tablet</t>
        </is>
      </c>
      <c r="H1000" s="43" t="inlineStr">
        <is>
          <t>2 year limited</t>
        </is>
      </c>
      <c r="I1000" s="43" t="inlineStr">
        <is>
          <t>FCC, CE, TUV Rheinland Low Blue Light, Energy Star</t>
        </is>
      </c>
      <c r="J1000" s="43" t="inlineStr">
        <is>
          <t>MediaTek Dimensity 9400</t>
        </is>
      </c>
      <c r="K1000" s="43" t="inlineStr">
        <is>
          <t>Arm Immortalis-G925</t>
        </is>
      </c>
      <c r="L1000" s="43" t="inlineStr">
        <is>
          <t>OLED, 120Hz, pen digitizer</t>
        </is>
      </c>
      <c r="M1000" s="43" t="inlineStr">
        <is>
          <t>2560x1600</t>
        </is>
      </c>
      <c r="N1000" s="43" t="inlineStr">
        <is>
          <t>USB-C (USB 3.2), magnetic keyboard connector</t>
        </is>
      </c>
      <c r="O1000" s="43" t="inlineStr">
        <is>
          <t>Android 15</t>
        </is>
      </c>
      <c r="P1000" s="43" t="n">
        <v>8</v>
      </c>
      <c r="Q1000" s="46" t="n">
        <v>635</v>
      </c>
      <c r="R1000" s="43" t="inlineStr">
        <is>
          <t>Lighter than Lethe Echo X Drawing Tablet with Stylus [LET-086-09] (635 g vs 637 g); Lower price than Aletheia Vibe Ultra Drawing Tablet with Stylus [ALE-089-08] ($1,097.99 vs $1,108.99)</t>
        </is>
      </c>
      <c r="S1000" s="43" t="inlineStr">
        <is>
          <t>drawing, design, note-taking</t>
        </is>
      </c>
      <c r="T1000" s="0" t="inlineStr">
        <is>
          <t>in_stock</t>
        </is>
      </c>
      <c r="U1000" s="0" t="n">
        <v>30</v>
      </c>
      <c r="V1000" s="52" t="n">
        <v>1214.99</v>
      </c>
      <c r="W1000" s="0" t="inlineStr">
        <is>
          <t>2026-09-04</t>
        </is>
      </c>
      <c r="X1000" s="0" t="inlineStr">
        <is>
          <t>N/A</t>
        </is>
      </c>
      <c r="Y1000" s="0" t="inlineStr">
        <is>
          <t>N/A</t>
        </is>
      </c>
      <c r="Z1000" s="0" t="inlineStr">
        <is>
          <t>N/A</t>
        </is>
      </c>
      <c r="AA1000" s="0" t="inlineStr">
        <is>
          <t>N/A</t>
        </is>
      </c>
    </row>
    <row r="1001" ht="15.75" customHeight="1" s="51">
      <c r="A1001" s="43" t="inlineStr">
        <is>
          <t>DIK-099-09</t>
        </is>
      </c>
      <c r="B1001" s="43" t="inlineStr">
        <is>
          <t>Dike</t>
        </is>
      </c>
      <c r="C1001" s="43" t="inlineStr">
        <is>
          <t>Smartphones &amp; Tablets</t>
        </is>
      </c>
      <c r="D1001" s="43" t="inlineStr">
        <is>
          <t>Smartphone</t>
        </is>
      </c>
      <c r="E1001" s="44" t="inlineStr">
        <is>
          <t>Dike Aria Flagship Smartphone</t>
        </is>
      </c>
      <c r="F1001" s="45" t="n">
        <v>1267.99</v>
      </c>
      <c r="G1001" s="43" t="inlineStr">
        <is>
          <t>the Aria; Dike Aria; Dikee Aria; Aria smartphone</t>
        </is>
      </c>
      <c r="H1001" s="43" t="inlineStr">
        <is>
          <t>2 year limited</t>
        </is>
      </c>
      <c r="I1001" s="43" t="inlineStr">
        <is>
          <t>FCC, CE, IP68, Qi2</t>
        </is>
      </c>
      <c r="J1001" s="43" t="inlineStr">
        <is>
          <t>MediaTek Dimensity 9400</t>
        </is>
      </c>
      <c r="K1001" s="43" t="inlineStr">
        <is>
          <t>Arm Immortalis-G925</t>
        </is>
      </c>
      <c r="L1001" s="43" t="inlineStr">
        <is>
          <t>LTPO AMOLED, 1-120Hz</t>
        </is>
      </c>
      <c r="M1001" s="43" t="inlineStr">
        <is>
          <t>1440x3120</t>
        </is>
      </c>
      <c r="N1001" s="43" t="inlineStr">
        <is>
          <t>USB-C (USB 3.2), nano-SIM + eSIM</t>
        </is>
      </c>
      <c r="O1001" s="43" t="inlineStr">
        <is>
          <t>Android 15</t>
        </is>
      </c>
      <c r="P1001" s="43" t="n">
        <v>28</v>
      </c>
      <c r="Q1001" s="46" t="n">
        <v>193</v>
      </c>
      <c r="R1001" s="43" t="inlineStr">
        <is>
          <t>Longer battery than Plutus Axis Plus Flagship Smartphone [PLU-100-08] (28 vs 27 hrs); Lighter than Panacea Core SE Flagship Smartphone [PAN-069-08] (193 g vs 196 g)</t>
        </is>
      </c>
      <c r="S1001" s="43" t="inlineStr">
        <is>
          <t>photography, everyday, business</t>
        </is>
      </c>
      <c r="T1001" s="0" t="inlineStr">
        <is>
          <t>in_stock</t>
        </is>
      </c>
      <c r="U1001" s="0" t="n">
        <v>30</v>
      </c>
      <c r="V1001" s="52" t="n">
        <v>1392.99</v>
      </c>
      <c r="W1001" s="0" t="inlineStr">
        <is>
          <t>2026-09-20</t>
        </is>
      </c>
      <c r="X1001" s="0" t="inlineStr">
        <is>
          <t>N/A</t>
        </is>
      </c>
      <c r="Y1001" s="0" t="inlineStr">
        <is>
          <t>N/A</t>
        </is>
      </c>
      <c r="Z1001" s="0" t="inlineStr">
        <is>
          <t>N/A</t>
        </is>
      </c>
      <c r="AA1001" s="0" t="inlineStr">
        <is>
          <t>N/A</t>
        </is>
      </c>
    </row>
    <row r="1002" ht="15.75" customHeight="1" s="51">
      <c r="A1002" s="43" t="inlineStr">
        <is>
          <t>DIK-099-10</t>
        </is>
      </c>
      <c r="B1002" s="43" t="inlineStr">
        <is>
          <t>Dike</t>
        </is>
      </c>
      <c r="C1002" s="43" t="inlineStr">
        <is>
          <t>Smartphones &amp; Tablets</t>
        </is>
      </c>
      <c r="D1002" s="43" t="inlineStr">
        <is>
          <t>Smartphone</t>
        </is>
      </c>
      <c r="E1002" s="44" t="inlineStr">
        <is>
          <t>Dike Lumen Max Pro Max Smartphone</t>
        </is>
      </c>
      <c r="F1002" s="45" t="n">
        <v>1396.99</v>
      </c>
      <c r="G1002" s="43" t="inlineStr">
        <is>
          <t>the Lumen Max; Dike Lumen Max; Dikke Lumen Max; Lumen Max smartphone</t>
        </is>
      </c>
      <c r="H1002" s="43" t="inlineStr">
        <is>
          <t>1 year limited</t>
        </is>
      </c>
      <c r="I1002" s="43" t="inlineStr">
        <is>
          <t>FCC, CE, IP68, Qi2</t>
        </is>
      </c>
      <c r="J1002" s="43" t="inlineStr">
        <is>
          <t>Qualcomm Snapdragon 8 Elite</t>
        </is>
      </c>
      <c r="K1002" s="43" t="inlineStr">
        <is>
          <t>Qualcomm Adreno 830</t>
        </is>
      </c>
      <c r="L1002" s="43" t="inlineStr">
        <is>
          <t>LTPO AMOLED, 1-120Hz</t>
        </is>
      </c>
      <c r="M1002" s="43" t="inlineStr">
        <is>
          <t>1440x3120</t>
        </is>
      </c>
      <c r="N1002" s="43" t="inlineStr">
        <is>
          <t>USB-C (USB 3.2), nano-SIM + eSIM</t>
        </is>
      </c>
      <c r="O1002" s="43" t="inlineStr">
        <is>
          <t>Android 15</t>
        </is>
      </c>
      <c r="P1002" s="43" t="n">
        <v>31</v>
      </c>
      <c r="Q1002" s="46" t="n">
        <v>234</v>
      </c>
      <c r="R1002" s="43" t="inlineStr">
        <is>
          <t>Lower price than Iapetus Strata Air Pro Max Smartphone [IAP-096-09] ($1,396.99 vs $1,557.99); Longer battery than Arete Zen Pro Pro Max Smartphone [ARE-054-08] (31 vs 30 hrs)</t>
        </is>
      </c>
      <c r="S1002" s="43" t="inlineStr">
        <is>
          <t>photography, video, mobile gaming</t>
        </is>
      </c>
      <c r="T1002" s="0" t="inlineStr">
        <is>
          <t>in_stock</t>
        </is>
      </c>
      <c r="U1002" s="0" t="n">
        <v>30</v>
      </c>
      <c r="V1002" s="52" t="n">
        <v>1472.99</v>
      </c>
      <c r="W1002" s="0" t="inlineStr">
        <is>
          <t>2026-09-04</t>
        </is>
      </c>
      <c r="X1002" s="0" t="inlineStr">
        <is>
          <t>N/A</t>
        </is>
      </c>
      <c r="Y1002" s="0" t="inlineStr">
        <is>
          <t>N/A</t>
        </is>
      </c>
      <c r="Z1002" s="0" t="inlineStr">
        <is>
          <t>N/A</t>
        </is>
      </c>
      <c r="AA1002" s="0" t="inlineStr">
        <is>
          <t>N/A</t>
        </is>
      </c>
    </row>
    <row r="1003" ht="15.75" customHeight="1" s="51">
      <c r="A1003" s="43" t="inlineStr">
        <is>
          <t>PLU-100-01</t>
        </is>
      </c>
      <c r="B1003" s="43" t="inlineStr">
        <is>
          <t>Plutus</t>
        </is>
      </c>
      <c r="C1003" s="43" t="inlineStr">
        <is>
          <t>Smartphones &amp; Tablets</t>
        </is>
      </c>
      <c r="D1003" s="43" t="inlineStr">
        <is>
          <t>Tablet</t>
        </is>
      </c>
      <c r="E1003" s="44" t="inlineStr">
        <is>
          <t>Plutus Halo Air Kids Tablet</t>
        </is>
      </c>
      <c r="F1003" s="45" t="n">
        <v>131.99</v>
      </c>
      <c r="G1003" s="43" t="inlineStr">
        <is>
          <t>the Halo Air; Plutus Halo Air; Pultus Halo Air; Halo Air tablet</t>
        </is>
      </c>
      <c r="H1003" s="43" t="inlineStr">
        <is>
          <t>1 year limited</t>
        </is>
      </c>
      <c r="I1003" s="43" t="inlineStr">
        <is>
          <t>FCC, CE, TUV Rheinland Low Blue Light, EN 71 Toy Safety</t>
        </is>
      </c>
      <c r="J1003" s="43" t="inlineStr">
        <is>
          <t>MediaTek Helio G88</t>
        </is>
      </c>
      <c r="K1003" s="43" t="inlineStr">
        <is>
          <t>Arm Mali-G52 MC2</t>
        </is>
      </c>
      <c r="L1003" s="43" t="inlineStr">
        <is>
          <t>IPS LCD, 60Hz</t>
        </is>
      </c>
      <c r="M1003" s="43" t="inlineStr">
        <is>
          <t>800x1280</t>
        </is>
      </c>
      <c r="N1003" s="43" t="inlineStr">
        <is>
          <t>USB-C (USB 2.0), microSD slot</t>
        </is>
      </c>
      <c r="O1003" s="43" t="inlineStr">
        <is>
          <t>Android 14 with parental controls</t>
        </is>
      </c>
      <c r="P1003" s="43" t="n">
        <v>11</v>
      </c>
      <c r="Q1003" s="46" t="n">
        <v>411</v>
      </c>
      <c r="R1003" s="43" t="inlineStr">
        <is>
          <t>Lower price than Aglaea Prism Pro Kids Tablet [AGL-079-01] ($131.99 vs $159.99); Lighter than Lethe Echo Max Kids Tablet [LET-086-01] (411 g vs 426 g)</t>
        </is>
      </c>
      <c r="S1003" s="43" t="inlineStr">
        <is>
          <t>kids, learning, games</t>
        </is>
      </c>
      <c r="T1003" s="0" t="inlineStr">
        <is>
          <t>in_stock</t>
        </is>
      </c>
      <c r="U1003" s="0" t="n">
        <v>15</v>
      </c>
      <c r="V1003" s="52" t="n">
        <v>144.99</v>
      </c>
      <c r="W1003" s="0" t="inlineStr">
        <is>
          <t>2026-09-22</t>
        </is>
      </c>
      <c r="X1003" s="0" t="inlineStr">
        <is>
          <t>N/A</t>
        </is>
      </c>
      <c r="Y1003" s="0" t="inlineStr">
        <is>
          <t>N/A</t>
        </is>
      </c>
      <c r="Z1003" s="0" t="inlineStr">
        <is>
          <t>N/A</t>
        </is>
      </c>
      <c r="AA1003" s="0" t="inlineStr">
        <is>
          <t>N/A</t>
        </is>
      </c>
    </row>
    <row r="1004" ht="15.75" customHeight="1" s="51">
      <c r="A1004" s="43" t="inlineStr">
        <is>
          <t>PLU-100-02</t>
        </is>
      </c>
      <c r="B1004" s="43" t="inlineStr">
        <is>
          <t>Plutus</t>
        </is>
      </c>
      <c r="C1004" s="43" t="inlineStr">
        <is>
          <t>Smartphones &amp; Tablets</t>
        </is>
      </c>
      <c r="D1004" s="43" t="inlineStr">
        <is>
          <t>Smartphone</t>
        </is>
      </c>
      <c r="E1004" s="44" t="inlineStr">
        <is>
          <t>Plutus Vertex Air Budget Smartphone</t>
        </is>
      </c>
      <c r="F1004" s="45" t="n">
        <v>383.99</v>
      </c>
      <c r="G1004" s="43" t="inlineStr">
        <is>
          <t>the Vertex Air; Plutus Vertex Air; Pultus Vertex Air; Vertex Air smartphone</t>
        </is>
      </c>
      <c r="H1004" s="43" t="inlineStr">
        <is>
          <t>2 year limited</t>
        </is>
      </c>
      <c r="I1004" s="43" t="inlineStr">
        <is>
          <t>FCC, CE, IP54</t>
        </is>
      </c>
      <c r="J1004" s="43" t="inlineStr">
        <is>
          <t>MediaTek Dimensity 7300</t>
        </is>
      </c>
      <c r="K1004" s="43" t="inlineStr">
        <is>
          <t>Arm Mali-G615 MC2</t>
        </is>
      </c>
      <c r="L1004" s="43" t="inlineStr">
        <is>
          <t>AMOLED, 120Hz</t>
        </is>
      </c>
      <c r="M1004" s="43" t="inlineStr">
        <is>
          <t>1080x2400</t>
        </is>
      </c>
      <c r="N1004" s="43" t="inlineStr">
        <is>
          <t>USB-C (USB 2.0), nano-SIM + eSIM, 3.5mm headphone jack, microSD slot</t>
        </is>
      </c>
      <c r="O1004" s="43" t="inlineStr">
        <is>
          <t>Android 15</t>
        </is>
      </c>
      <c r="P1004" s="43" t="n">
        <v>24</v>
      </c>
      <c r="Q1004" s="46" t="n">
        <v>184</v>
      </c>
      <c r="R1004" s="43" t="inlineStr">
        <is>
          <t>Lighter than Iapetus Flux Pro Budget Smartphone [IAP-096-03] (184 g vs 201 g); Longer battery than Hypnos Arc Max Budget Smartphone [HYP-059-02] (24 vs 23 hrs)</t>
        </is>
      </c>
      <c r="S1004" s="43" t="inlineStr">
        <is>
          <t>budget, first phone, everyday</t>
        </is>
      </c>
      <c r="T1004" s="0" t="inlineStr">
        <is>
          <t>in_stock</t>
        </is>
      </c>
      <c r="U1004" s="0" t="n">
        <v>15</v>
      </c>
      <c r="V1004" s="52" t="n">
        <v>413.99</v>
      </c>
      <c r="W1004" s="0" t="inlineStr">
        <is>
          <t>2026-08-27</t>
        </is>
      </c>
      <c r="X1004" s="0" t="inlineStr">
        <is>
          <t>N/A</t>
        </is>
      </c>
      <c r="Y1004" s="0" t="inlineStr">
        <is>
          <t>N/A</t>
        </is>
      </c>
      <c r="Z1004" s="0" t="inlineStr">
        <is>
          <t>N/A</t>
        </is>
      </c>
      <c r="AA1004" s="0" t="inlineStr">
        <is>
          <t>N/A</t>
        </is>
      </c>
    </row>
    <row r="1005" ht="15.75" customHeight="1" s="51">
      <c r="A1005" s="43" t="inlineStr">
        <is>
          <t>PLU-100-03</t>
        </is>
      </c>
      <c r="B1005" s="43" t="inlineStr">
        <is>
          <t>Plutus</t>
        </is>
      </c>
      <c r="C1005" s="43" t="inlineStr">
        <is>
          <t>Smartphones &amp; Tablets</t>
        </is>
      </c>
      <c r="D1005" s="43" t="inlineStr">
        <is>
          <t>Tablet</t>
        </is>
      </c>
      <c r="E1005" s="44" t="inlineStr">
        <is>
          <t>Plutus Titan Ultra 8" Mini Tablet</t>
        </is>
      </c>
      <c r="F1005" s="45" t="n">
        <v>443.99</v>
      </c>
      <c r="G1005" s="43" t="inlineStr">
        <is>
          <t>the Titan Ultra; Plutus Titan Ultra; Pultus Titan Ultra; Titan Ultra tablet</t>
        </is>
      </c>
      <c r="H1005" s="43" t="inlineStr">
        <is>
          <t>1 year limited</t>
        </is>
      </c>
      <c r="I1005" s="43" t="inlineStr">
        <is>
          <t>FCC, CE, TUV Rheinland Low Blue Light, Energy Star</t>
        </is>
      </c>
      <c r="J1005" s="43" t="inlineStr">
        <is>
          <t>MediaTek Dimensity 7300</t>
        </is>
      </c>
      <c r="K1005" s="43" t="inlineStr">
        <is>
          <t>Arm Mali-G615 MC2</t>
        </is>
      </c>
      <c r="L1005" s="43" t="inlineStr">
        <is>
          <t>OLED, 120Hz</t>
        </is>
      </c>
      <c r="M1005" s="43" t="inlineStr">
        <is>
          <t>1600x2560</t>
        </is>
      </c>
      <c r="N1005" s="43" t="inlineStr">
        <is>
          <t>USB-C (USB 2.0), microSD slot</t>
        </is>
      </c>
      <c r="O1005" s="43" t="inlineStr">
        <is>
          <t>Android 15</t>
        </is>
      </c>
      <c r="P1005" s="43" t="n">
        <v>9</v>
      </c>
      <c r="Q1005" s="46" t="n">
        <v>333</v>
      </c>
      <c r="R1005" s="43" t="inlineStr">
        <is>
          <t>Lighter than Pontus Rift Pro 8" Mini Tablet [PON-063-04] (333 g vs 336 g); Lower price than Eunomia Volt SE 8" Mini Tablet [EUN-056-06] ($443.99 vs $570.99)</t>
        </is>
      </c>
      <c r="S1005" s="43" t="inlineStr">
        <is>
          <t>reading, travel, gaming</t>
        </is>
      </c>
      <c r="T1005" s="0" t="inlineStr">
        <is>
          <t>in_stock</t>
        </is>
      </c>
      <c r="U1005" s="0" t="n">
        <v>15</v>
      </c>
      <c r="V1005" s="52" t="n">
        <v>489.99</v>
      </c>
      <c r="W1005" s="0" t="inlineStr">
        <is>
          <t>2026-09-12</t>
        </is>
      </c>
      <c r="X1005" s="0" t="inlineStr">
        <is>
          <t>N/A</t>
        </is>
      </c>
      <c r="Y1005" s="0" t="inlineStr">
        <is>
          <t>N/A</t>
        </is>
      </c>
      <c r="Z1005" s="0" t="inlineStr">
        <is>
          <t>N/A</t>
        </is>
      </c>
      <c r="AA1005" s="0" t="inlineStr">
        <is>
          <t>N/A</t>
        </is>
      </c>
    </row>
    <row r="1006" ht="15.75" customHeight="1" s="51">
      <c r="A1006" s="43" t="inlineStr">
        <is>
          <t>PLU-100-04</t>
        </is>
      </c>
      <c r="B1006" s="43" t="inlineStr">
        <is>
          <t>Plutus</t>
        </is>
      </c>
      <c r="C1006" s="43" t="inlineStr">
        <is>
          <t>Smartphones &amp; Tablets</t>
        </is>
      </c>
      <c r="D1006" s="43" t="inlineStr">
        <is>
          <t>Tablet</t>
        </is>
      </c>
      <c r="E1006" s="44" t="inlineStr">
        <is>
          <t>Plutus Drift Air 11" Tablet</t>
        </is>
      </c>
      <c r="F1006" s="45" t="n">
        <v>455.99</v>
      </c>
      <c r="G1006" s="43" t="inlineStr">
        <is>
          <t>the Drift Air; Plutus Drift Air; Plutu Drift Air; Drift Air tablet</t>
        </is>
      </c>
      <c r="H1006" s="43" t="inlineStr">
        <is>
          <t>1 year limited</t>
        </is>
      </c>
      <c r="I1006" s="43" t="inlineStr">
        <is>
          <t>FCC, CE</t>
        </is>
      </c>
      <c r="J1006" s="43" t="inlineStr">
        <is>
          <t>MediaTek Dimensity 7300</t>
        </is>
      </c>
      <c r="K1006" s="43" t="inlineStr">
        <is>
          <t>Arm Mali-G615 MC2</t>
        </is>
      </c>
      <c r="L1006" s="43" t="inlineStr">
        <is>
          <t>IPS LCD, 90Hz</t>
        </is>
      </c>
      <c r="M1006" s="43" t="inlineStr">
        <is>
          <t>1600x2560</t>
        </is>
      </c>
      <c r="N1006" s="43" t="inlineStr">
        <is>
          <t>USB-C (USB 2.0), microSD slot</t>
        </is>
      </c>
      <c r="O1006" s="43" t="inlineStr">
        <is>
          <t>Android 15</t>
        </is>
      </c>
      <c r="P1006" s="43" t="n">
        <v>10</v>
      </c>
      <c r="Q1006" s="46" t="n">
        <v>478</v>
      </c>
      <c r="R1006" s="43" t="inlineStr">
        <is>
          <t>Lighter than Lachesis Wave Air 11" Tablet [LAC-071-05] (478 g vs 487 g); Lower price than Phorcys Aeon Plus 11" Tablet [PHO-087-05] ($455.99 vs $702.99)</t>
        </is>
      </c>
      <c r="S1006" s="43" t="inlineStr">
        <is>
          <t>school, streaming, reading</t>
        </is>
      </c>
      <c r="T1006" s="0" t="inlineStr">
        <is>
          <t>in_stock</t>
        </is>
      </c>
      <c r="U1006" s="0" t="n">
        <v>15</v>
      </c>
      <c r="V1006" s="52" t="n">
        <v>472.99</v>
      </c>
      <c r="W1006" s="0" t="inlineStr">
        <is>
          <t>2026-09-19</t>
        </is>
      </c>
      <c r="X1006" s="0" t="inlineStr">
        <is>
          <t>N/A</t>
        </is>
      </c>
      <c r="Y1006" s="0" t="inlineStr">
        <is>
          <t>N/A</t>
        </is>
      </c>
      <c r="Z1006" s="0" t="inlineStr">
        <is>
          <t>N/A</t>
        </is>
      </c>
      <c r="AA1006" s="0" t="inlineStr">
        <is>
          <t>N/A</t>
        </is>
      </c>
    </row>
    <row r="1007" ht="15.75" customHeight="1" s="51">
      <c r="A1007" s="43" t="inlineStr">
        <is>
          <t>PLU-100-05</t>
        </is>
      </c>
      <c r="B1007" s="43" t="inlineStr">
        <is>
          <t>Plutus</t>
        </is>
      </c>
      <c r="C1007" s="43" t="inlineStr">
        <is>
          <t>Smartphones &amp; Tablets</t>
        </is>
      </c>
      <c r="D1007" s="43" t="inlineStr">
        <is>
          <t>Smartphone</t>
        </is>
      </c>
      <c r="E1007" s="44" t="inlineStr">
        <is>
          <t>Plutus Echo Compact Smartphone</t>
        </is>
      </c>
      <c r="F1007" s="45" t="n">
        <v>743.99</v>
      </c>
      <c r="G1007" s="43" t="inlineStr">
        <is>
          <t>the Echo; Plutus Echo; Plutu Echo; Echo smartphone</t>
        </is>
      </c>
      <c r="H1007" s="43" t="inlineStr">
        <is>
          <t>1 year limited</t>
        </is>
      </c>
      <c r="I1007" s="43" t="inlineStr">
        <is>
          <t>FCC, CE, IP68</t>
        </is>
      </c>
      <c r="J1007" s="43" t="inlineStr">
        <is>
          <t>MediaTek Dimensity 8300</t>
        </is>
      </c>
      <c r="K1007" s="43" t="inlineStr">
        <is>
          <t>Arm Mali-G615 MC6</t>
        </is>
      </c>
      <c r="L1007" s="43" t="inlineStr">
        <is>
          <t>AMOLED, 120Hz</t>
        </is>
      </c>
      <c r="M1007" s="43" t="inlineStr">
        <is>
          <t>1080x2340</t>
        </is>
      </c>
      <c r="N1007" s="43" t="inlineStr">
        <is>
          <t>USB-C (USB 3.2), nano-SIM + eSIM</t>
        </is>
      </c>
      <c r="O1007" s="43" t="inlineStr">
        <is>
          <t>Android 15</t>
        </is>
      </c>
      <c r="P1007" s="43" t="n">
        <v>19</v>
      </c>
      <c r="Q1007" s="46" t="n">
        <v>159</v>
      </c>
      <c r="R1007" s="43" t="inlineStr">
        <is>
          <t>Lighter than Pan Aeon Max Compact Smartphone [PAN-097-05] (159 g vs 163 g); Lower price than Pothos Vertex Compact Smartphone [POT-072-04] ($743.99 vs $780.99)</t>
        </is>
      </c>
      <c r="S1007" s="43" t="inlineStr">
        <is>
          <t>everyday, one-handed use</t>
        </is>
      </c>
      <c r="T1007" s="0" t="inlineStr">
        <is>
          <t>low_stock</t>
        </is>
      </c>
      <c r="U1007" s="0" t="n">
        <v>15</v>
      </c>
      <c r="V1007" s="52" t="n">
        <v>847.99</v>
      </c>
      <c r="W1007" s="0" t="inlineStr">
        <is>
          <t>2026-08-16</t>
        </is>
      </c>
      <c r="X1007" s="0" t="inlineStr">
        <is>
          <t>N/A</t>
        </is>
      </c>
      <c r="Y1007" s="0" t="inlineStr">
        <is>
          <t>N/A</t>
        </is>
      </c>
      <c r="Z1007" s="0" t="inlineStr">
        <is>
          <t>N/A</t>
        </is>
      </c>
      <c r="AA1007" s="0" t="inlineStr">
        <is>
          <t>N/A</t>
        </is>
      </c>
    </row>
    <row r="1008" ht="15.75" customHeight="1" s="51">
      <c r="A1008" s="43" t="inlineStr">
        <is>
          <t>PLU-100-06</t>
        </is>
      </c>
      <c r="B1008" s="43" t="inlineStr">
        <is>
          <t>Plutus</t>
        </is>
      </c>
      <c r="C1008" s="43" t="inlineStr">
        <is>
          <t>Smartphones &amp; Tablets</t>
        </is>
      </c>
      <c r="D1008" s="43" t="inlineStr">
        <is>
          <t>Tablet</t>
        </is>
      </c>
      <c r="E1008" s="44" t="inlineStr">
        <is>
          <t>Plutus Rift X 5G Tablet</t>
        </is>
      </c>
      <c r="F1008" s="45" t="n">
        <v>850.99</v>
      </c>
      <c r="G1008" s="43" t="inlineStr">
        <is>
          <t>the Rift X; Plutus Rift X; Pltuus Rift X; Rift X tablet</t>
        </is>
      </c>
      <c r="H1008" s="43" t="inlineStr">
        <is>
          <t>1 year limited</t>
        </is>
      </c>
      <c r="I1008" s="43" t="inlineStr">
        <is>
          <t>FCC, CE, Energy Star</t>
        </is>
      </c>
      <c r="J1008" s="43" t="inlineStr">
        <is>
          <t>Qualcomm Snapdragon 8 Gen 3</t>
        </is>
      </c>
      <c r="K1008" s="43" t="inlineStr">
        <is>
          <t>Qualcomm Adreno 750</t>
        </is>
      </c>
      <c r="L1008" s="43" t="inlineStr">
        <is>
          <t>OLED, 120Hz</t>
        </is>
      </c>
      <c r="M1008" s="43" t="inlineStr">
        <is>
          <t>1752x2800</t>
        </is>
      </c>
      <c r="N1008" s="43" t="inlineStr">
        <is>
          <t>USB-C (USB 3.2), microSD slot, nano-SIM + eSIM</t>
        </is>
      </c>
      <c r="O1008" s="43" t="inlineStr">
        <is>
          <t>Android 15</t>
        </is>
      </c>
      <c r="P1008" s="43" t="n">
        <v>11</v>
      </c>
      <c r="Q1008" s="46" t="n">
        <v>553</v>
      </c>
      <c r="R1008" s="43" t="inlineStr">
        <is>
          <t>Lower price than Phorcys Spark Plus 5G Tablet [PHO-087-07] ($850.99 vs $963.99); Longer battery than Tyche Aeon Pro 5G Tablet [TYC-055-06] (11 vs 10 hrs)</t>
        </is>
      </c>
      <c r="S1008" s="43" t="inlineStr">
        <is>
          <t>travel, streaming, work on the go</t>
        </is>
      </c>
      <c r="T1008" s="0" t="inlineStr">
        <is>
          <t>in_stock</t>
        </is>
      </c>
      <c r="U1008" s="0" t="n">
        <v>15</v>
      </c>
      <c r="V1008" s="52" t="n">
        <v>972.99</v>
      </c>
      <c r="W1008" s="0" t="inlineStr">
        <is>
          <t>2026-08-14</t>
        </is>
      </c>
      <c r="X1008" s="0" t="inlineStr">
        <is>
          <t>N/A</t>
        </is>
      </c>
      <c r="Y1008" s="0" t="inlineStr">
        <is>
          <t>N/A</t>
        </is>
      </c>
      <c r="Z1008" s="0" t="inlineStr">
        <is>
          <t>N/A</t>
        </is>
      </c>
      <c r="AA1008" s="0" t="inlineStr">
        <is>
          <t>N/A</t>
        </is>
      </c>
    </row>
    <row r="1009" ht="15.75" customHeight="1" s="51">
      <c r="A1009" s="43" t="inlineStr">
        <is>
          <t>PLU-100-07</t>
        </is>
      </c>
      <c r="B1009" s="43" t="inlineStr">
        <is>
          <t>Plutus</t>
        </is>
      </c>
      <c r="C1009" s="43" t="inlineStr">
        <is>
          <t>Smartphones &amp; Tablets</t>
        </is>
      </c>
      <c r="D1009" s="43" t="inlineStr">
        <is>
          <t>Smartphone</t>
        </is>
      </c>
      <c r="E1009" s="44" t="inlineStr">
        <is>
          <t>Plutus Arc Max Flip Foldable Phone</t>
        </is>
      </c>
      <c r="F1009" s="45" t="n">
        <v>1113.99</v>
      </c>
      <c r="G1009" s="43" t="inlineStr">
        <is>
          <t>the Arc Max; Plutus Arc Max; Pluttus Arc Max; Arc Max smartphone</t>
        </is>
      </c>
      <c r="H1009" s="43" t="inlineStr">
        <is>
          <t>2 year limited</t>
        </is>
      </c>
      <c r="I1009" s="43" t="inlineStr">
        <is>
          <t>FCC, CE, IPX8</t>
        </is>
      </c>
      <c r="J1009" s="43" t="inlineStr">
        <is>
          <t>MediaTek Dimensity 9400</t>
        </is>
      </c>
      <c r="K1009" s="43" t="inlineStr">
        <is>
          <t>Arm Immortalis-G925</t>
        </is>
      </c>
      <c r="L1009" s="43" t="inlineStr">
        <is>
          <t>Foldable AMOLED inner + AMOLED cover screen</t>
        </is>
      </c>
      <c r="M1009" s="43" t="inlineStr">
        <is>
          <t>1080x2640 inner / 720x748 cover</t>
        </is>
      </c>
      <c r="N1009" s="43" t="inlineStr">
        <is>
          <t>USB-C (USB 3.2), nano-SIM + eSIM</t>
        </is>
      </c>
      <c r="O1009" s="43" t="inlineStr">
        <is>
          <t>Android 15</t>
        </is>
      </c>
      <c r="P1009" s="43" t="n">
        <v>19</v>
      </c>
      <c r="Q1009" s="46" t="n">
        <v>199</v>
      </c>
      <c r="R1009" s="43" t="inlineStr">
        <is>
          <t>Longer battery than Thetis Orbit Flip Foldable Phone [THE-093-09] (19 vs 17 hrs); Lighter than Hephaestus Volt Air Flip Foldable Phone [HEP-076-08] (199 g vs 200 g)</t>
        </is>
      </c>
      <c r="S1009" s="43" t="inlineStr">
        <is>
          <t>style, everyday, compact</t>
        </is>
      </c>
      <c r="T1009" s="0" t="inlineStr">
        <is>
          <t>in_stock</t>
        </is>
      </c>
      <c r="U1009" s="0" t="n">
        <v>15</v>
      </c>
      <c r="V1009" s="52" t="n">
        <v>1268.99</v>
      </c>
      <c r="W1009" s="0" t="inlineStr">
        <is>
          <t>2026-08-08</t>
        </is>
      </c>
      <c r="X1009" s="0" t="inlineStr">
        <is>
          <t>N/A</t>
        </is>
      </c>
      <c r="Y1009" s="0" t="inlineStr">
        <is>
          <t>N/A</t>
        </is>
      </c>
      <c r="Z1009" s="0" t="inlineStr">
        <is>
          <t>N/A</t>
        </is>
      </c>
      <c r="AA1009" s="0" t="inlineStr">
        <is>
          <t>N/A</t>
        </is>
      </c>
    </row>
    <row r="1010" ht="15.75" customHeight="1" s="51">
      <c r="A1010" s="43" t="inlineStr">
        <is>
          <t>PLU-100-08</t>
        </is>
      </c>
      <c r="B1010" s="43" t="inlineStr">
        <is>
          <t>Plutus</t>
        </is>
      </c>
      <c r="C1010" s="43" t="inlineStr">
        <is>
          <t>Smartphones &amp; Tablets</t>
        </is>
      </c>
      <c r="D1010" s="43" t="inlineStr">
        <is>
          <t>Smartphone</t>
        </is>
      </c>
      <c r="E1010" s="44" t="inlineStr">
        <is>
          <t>Plutus Axis Plus Flagship Smartphone</t>
        </is>
      </c>
      <c r="F1010" s="45" t="n">
        <v>1198.99</v>
      </c>
      <c r="G1010" s="43" t="inlineStr">
        <is>
          <t>the Axis Plus; Plutus Axis Plus; Plutuus Axis Plus; Axis Plus smartphone</t>
        </is>
      </c>
      <c r="H1010" s="43" t="inlineStr">
        <is>
          <t>2 year limited</t>
        </is>
      </c>
      <c r="I1010" s="43" t="inlineStr">
        <is>
          <t>FCC, CE, IP68, Qi2</t>
        </is>
      </c>
      <c r="J1010" s="43" t="inlineStr">
        <is>
          <t>MediaTek Dimensity 9400</t>
        </is>
      </c>
      <c r="K1010" s="43" t="inlineStr">
        <is>
          <t>Arm Immortalis-G925</t>
        </is>
      </c>
      <c r="L1010" s="43" t="inlineStr">
        <is>
          <t>LTPO AMOLED, 1-120Hz</t>
        </is>
      </c>
      <c r="M1010" s="43" t="inlineStr">
        <is>
          <t>1440x3120</t>
        </is>
      </c>
      <c r="N1010" s="43" t="inlineStr">
        <is>
          <t>USB-C (USB 3.2), nano-SIM + eSIM</t>
        </is>
      </c>
      <c r="O1010" s="43" t="inlineStr">
        <is>
          <t>Android 15</t>
        </is>
      </c>
      <c r="P1010" s="43" t="n">
        <v>27</v>
      </c>
      <c r="Q1010" s="46" t="n">
        <v>192</v>
      </c>
      <c r="R1010" s="43" t="inlineStr">
        <is>
          <t>Lighter than Panacea Core SE Flagship Smartphone [PAN-069-08] (192 g vs 196 g); Longer battery than Eurus Axis Pro Flagship Smartphone [EUR-088-08] (27 vs 26 hrs)</t>
        </is>
      </c>
      <c r="S1010" s="43" t="inlineStr">
        <is>
          <t>photography, everyday, business</t>
        </is>
      </c>
      <c r="T1010" s="0" t="inlineStr">
        <is>
          <t>low_stock</t>
        </is>
      </c>
      <c r="U1010" s="0" t="n">
        <v>15</v>
      </c>
      <c r="V1010" s="52" t="n">
        <v>1325.99</v>
      </c>
      <c r="W1010" s="0" t="inlineStr">
        <is>
          <t>2026-09-14</t>
        </is>
      </c>
      <c r="X1010" s="0" t="inlineStr">
        <is>
          <t>N/A</t>
        </is>
      </c>
      <c r="Y1010" s="0" t="inlineStr">
        <is>
          <t>N/A</t>
        </is>
      </c>
      <c r="Z1010" s="0" t="inlineStr">
        <is>
          <t>N/A</t>
        </is>
      </c>
      <c r="AA1010" s="0" t="inlineStr">
        <is>
          <t>N/A</t>
        </is>
      </c>
    </row>
    <row r="1011" ht="15.75" customHeight="1" s="51">
      <c r="A1011" s="43" t="inlineStr">
        <is>
          <t>PLU-100-09</t>
        </is>
      </c>
      <c r="B1011" s="43" t="inlineStr">
        <is>
          <t>Plutus</t>
        </is>
      </c>
      <c r="C1011" s="43" t="inlineStr">
        <is>
          <t>Smartphones &amp; Tablets</t>
        </is>
      </c>
      <c r="D1011" s="43" t="inlineStr">
        <is>
          <t>Tablet</t>
        </is>
      </c>
      <c r="E1011" s="44" t="inlineStr">
        <is>
          <t>Plutus Pulse SE Drawing Tablet with Stylus</t>
        </is>
      </c>
      <c r="F1011" s="45" t="n">
        <v>1211.99</v>
      </c>
      <c r="G1011" s="43" t="inlineStr">
        <is>
          <t>the Pulse SE; Plutus Pulse SE; Pllutus Pulse SE; Pulse SE tablet</t>
        </is>
      </c>
      <c r="H1011" s="43" t="inlineStr">
        <is>
          <t>2 year limited</t>
        </is>
      </c>
      <c r="I1011" s="43" t="inlineStr">
        <is>
          <t>FCC, CE, TUV Rheinland Low Blue Light, Energy Star</t>
        </is>
      </c>
      <c r="J1011" s="43" t="inlineStr">
        <is>
          <t>MediaTek Dimensity 9400</t>
        </is>
      </c>
      <c r="K1011" s="43" t="inlineStr">
        <is>
          <t>Arm Immortalis-G925</t>
        </is>
      </c>
      <c r="L1011" s="43" t="inlineStr">
        <is>
          <t>OLED, 120Hz, pen digitizer</t>
        </is>
      </c>
      <c r="M1011" s="43" t="inlineStr">
        <is>
          <t>2560x1600</t>
        </is>
      </c>
      <c r="N1011" s="43" t="inlineStr">
        <is>
          <t>USB-C (USB 3.2), magnetic keyboard connector</t>
        </is>
      </c>
      <c r="O1011" s="43" t="inlineStr">
        <is>
          <t>Android 15</t>
        </is>
      </c>
      <c r="P1011" s="43" t="n">
        <v>12</v>
      </c>
      <c r="Q1011" s="46" t="n">
        <v>533</v>
      </c>
      <c r="R1011" s="43" t="inlineStr">
        <is>
          <t>Longer battery than Helios Lumen Pro Drawing Tablet with Stylus [HEL-073-05] (12 vs 9 hrs); Lighter than Coeus Nimbus Plus Drawing Tablet with Stylus [COE-075-07] (533 g vs 612 g)</t>
        </is>
      </c>
      <c r="S1011" s="43" t="inlineStr">
        <is>
          <t>drawing, design, note-taking</t>
        </is>
      </c>
      <c r="T1011" s="0" t="inlineStr">
        <is>
          <t>in_stock</t>
        </is>
      </c>
      <c r="U1011" s="0" t="n">
        <v>15</v>
      </c>
      <c r="V1011" s="52" t="n">
        <v>1388.99</v>
      </c>
      <c r="W1011" s="0" t="inlineStr">
        <is>
          <t>2026-08-20</t>
        </is>
      </c>
      <c r="X1011" s="0" t="inlineStr">
        <is>
          <t>N/A</t>
        </is>
      </c>
      <c r="Y1011" s="0" t="inlineStr">
        <is>
          <t>N/A</t>
        </is>
      </c>
      <c r="Z1011" s="0" t="inlineStr">
        <is>
          <t>N/A</t>
        </is>
      </c>
      <c r="AA1011" s="0" t="inlineStr">
        <is>
          <t>N/A</t>
        </is>
      </c>
    </row>
    <row r="1012" ht="15.75" customHeight="1" s="51">
      <c r="A1012" s="43" t="inlineStr">
        <is>
          <t>PLU-100-10</t>
        </is>
      </c>
      <c r="B1012" s="43" t="inlineStr">
        <is>
          <t>Plutus</t>
        </is>
      </c>
      <c r="C1012" s="43" t="inlineStr">
        <is>
          <t>Smartphones &amp; Tablets</t>
        </is>
      </c>
      <c r="D1012" s="43" t="inlineStr">
        <is>
          <t>Smartphone</t>
        </is>
      </c>
      <c r="E1012" s="44" t="inlineStr">
        <is>
          <t>Plutus Nimbus Lite Foldable Phone</t>
        </is>
      </c>
      <c r="F1012" s="45" t="n">
        <v>1584.99</v>
      </c>
      <c r="G1012" s="43" t="inlineStr">
        <is>
          <t>the Nimbus Lite; Plutus Nimbus Lite; Plutuus Nimbus Lite; Nimbus Lite smartphone</t>
        </is>
      </c>
      <c r="H1012" s="43" t="inlineStr">
        <is>
          <t>1 year limited</t>
        </is>
      </c>
      <c r="I1012" s="43" t="inlineStr">
        <is>
          <t>FCC, CE, IPX8</t>
        </is>
      </c>
      <c r="J1012" s="43" t="inlineStr">
        <is>
          <t>Qualcomm Snapdragon 8 Elite</t>
        </is>
      </c>
      <c r="K1012" s="43" t="inlineStr">
        <is>
          <t>Qualcomm Adreno 830</t>
        </is>
      </c>
      <c r="L1012" s="43" t="inlineStr">
        <is>
          <t>Foldable LTPO AMOLED inner + AMOLED cover, 120Hz</t>
        </is>
      </c>
      <c r="M1012" s="43" t="inlineStr">
        <is>
          <t>2160x1856 inner / 1080x2376 cover</t>
        </is>
      </c>
      <c r="N1012" s="43" t="inlineStr">
        <is>
          <t>USB-C (USB 3.2), nano-SIM + eSIM</t>
        </is>
      </c>
      <c r="O1012" s="43" t="inlineStr">
        <is>
          <t>Android 15</t>
        </is>
      </c>
      <c r="P1012" s="43" t="n">
        <v>22</v>
      </c>
      <c r="Q1012" s="46" t="n">
        <v>257</v>
      </c>
      <c r="R1012" s="43" t="inlineStr">
        <is>
          <t>Lower price than Epimetheus Echo Pro Foldable Phone [EPI-091-10] ($1,584.99 vs $1,959.99); Longer battery than Erato Aria Foldable Phone [ERA-085-10] (22 vs 20 hrs)</t>
        </is>
      </c>
      <c r="S1012" s="43" t="inlineStr">
        <is>
          <t>multitasking, business, media</t>
        </is>
      </c>
      <c r="T1012" s="0" t="inlineStr">
        <is>
          <t>in_stock</t>
        </is>
      </c>
      <c r="U1012" s="0" t="n">
        <v>15</v>
      </c>
      <c r="V1012" s="52" t="n">
        <v>1668.99</v>
      </c>
      <c r="W1012" s="0" t="inlineStr">
        <is>
          <t>2026-08-25</t>
        </is>
      </c>
      <c r="X1012" s="0" t="inlineStr">
        <is>
          <t>N/A</t>
        </is>
      </c>
      <c r="Y1012" s="0" t="inlineStr">
        <is>
          <t>N/A</t>
        </is>
      </c>
      <c r="Z1012" s="0" t="inlineStr">
        <is>
          <t>N/A</t>
        </is>
      </c>
      <c r="AA1012" s="0" t="inlineStr">
        <is>
          <t>N/A</t>
        </is>
      </c>
    </row>
    <row r="1013" ht="15.75" customHeight="1" s="51">
      <c r="A1013" s="47" t="inlineStr">
        <is>
          <t>PER-101-01</t>
        </is>
      </c>
      <c r="B1013" s="47" t="inlineStr">
        <is>
          <t>Perses</t>
        </is>
      </c>
      <c r="C1013" s="47" t="inlineStr">
        <is>
          <t>Computer Hardware</t>
        </is>
      </c>
      <c r="D1013" s="47" t="inlineStr">
        <is>
          <t>Networking</t>
        </is>
      </c>
      <c r="E1013" s="48" t="inlineStr">
        <is>
          <t>Perses Arc X Wi-Fi 7 PCIe Card</t>
        </is>
      </c>
      <c r="F1013" s="49" t="n">
        <v>60.99</v>
      </c>
      <c r="G1013" s="47" t="inlineStr">
        <is>
          <t>the Arc X; Perses Arc X; Preses Arc X; Arc X networking</t>
        </is>
      </c>
      <c r="H1013" s="47" t="inlineStr">
        <is>
          <t>2 year limited</t>
        </is>
      </c>
      <c r="I1013" s="47" t="inlineStr">
        <is>
          <t>FCC, CE, RoHS, Wi-Fi CERTIFIED 7, Bluetooth SIG Qualified</t>
        </is>
      </c>
      <c r="J1013" s="47" t="inlineStr">
        <is>
          <t>Chipset: Qualcomm FastConnect 7800</t>
        </is>
      </c>
      <c r="K1013" s="47" t="inlineStr">
        <is>
          <t>N/A</t>
        </is>
      </c>
      <c r="L1013" s="47" t="inlineStr">
        <is>
          <t>N/A</t>
        </is>
      </c>
      <c r="M1013" s="47" t="inlineStr">
        <is>
          <t>N/A</t>
        </is>
      </c>
      <c r="N1013" s="47" t="inlineStr">
        <is>
          <t>PCIe x1, internal USB 2.0 header (Bluetooth 5.4), 2x external antennas</t>
        </is>
      </c>
      <c r="O1013" s="47" t="inlineStr">
        <is>
          <t>N/A</t>
        </is>
      </c>
      <c r="P1013" s="47" t="inlineStr">
        <is>
          <t>N/A</t>
        </is>
      </c>
      <c r="Q1013" s="50" t="n">
        <v>108</v>
      </c>
      <c r="R1013" s="47" t="inlineStr">
        <is>
          <t>Lower price than Nike Nova Max Wi-Fi 7 PCIe Card [NIK-132-05] ($60.99 vs $115.99); Lighter than Eirene Drift SE Wi-Fi 7 PCIe Card [EIR-112-01] (108 g vs 109 g)</t>
        </is>
      </c>
      <c r="S1013" s="47" t="inlineStr">
        <is>
          <t>gaming, streaming, PC building</t>
        </is>
      </c>
      <c r="T1013" s="0" t="inlineStr">
        <is>
          <t>in_stock</t>
        </is>
      </c>
      <c r="U1013" s="0" t="n">
        <v>30</v>
      </c>
      <c r="V1013" s="52" t="n">
        <v>65.98999999999999</v>
      </c>
      <c r="W1013" s="0" t="inlineStr">
        <is>
          <t>2026-08-08</t>
        </is>
      </c>
      <c r="X1013" s="0" t="inlineStr">
        <is>
          <t>N/A</t>
        </is>
      </c>
      <c r="Y1013" s="0" t="inlineStr">
        <is>
          <t>N/A</t>
        </is>
      </c>
      <c r="Z1013" s="0" t="inlineStr">
        <is>
          <t>N/A</t>
        </is>
      </c>
      <c r="AA1013" s="0" t="inlineStr">
        <is>
          <t>N/A</t>
        </is>
      </c>
    </row>
    <row r="1014" ht="15.75" customHeight="1" s="51">
      <c r="A1014" s="47" t="inlineStr">
        <is>
          <t>PER-101-02</t>
        </is>
      </c>
      <c r="B1014" s="47" t="inlineStr">
        <is>
          <t>Perses</t>
        </is>
      </c>
      <c r="C1014" s="47" t="inlineStr">
        <is>
          <t>Computer Hardware</t>
        </is>
      </c>
      <c r="D1014" s="47" t="inlineStr">
        <is>
          <t>Mouse</t>
        </is>
      </c>
      <c r="E1014" s="48" t="inlineStr">
        <is>
          <t>Perses Lumen SE Gaming Mouse</t>
        </is>
      </c>
      <c r="F1014" s="49" t="n">
        <v>74.98999999999999</v>
      </c>
      <c r="G1014" s="47" t="inlineStr">
        <is>
          <t>the Lumen SE; Perses Lumen SE; Perse Lumen SE; Lumen SE mouse</t>
        </is>
      </c>
      <c r="H1014" s="47" t="inlineStr">
        <is>
          <t>2 year limited</t>
        </is>
      </c>
      <c r="I1014" s="47" t="inlineStr">
        <is>
          <t>FCC, CE, RoHS, Bluetooth SIG Qualified</t>
        </is>
      </c>
      <c r="J1014" s="47" t="inlineStr">
        <is>
          <t>Sensor: 26K DPI optical</t>
        </is>
      </c>
      <c r="K1014" s="47" t="inlineStr">
        <is>
          <t>N/A</t>
        </is>
      </c>
      <c r="L1014" s="47" t="inlineStr">
        <is>
          <t>N/A</t>
        </is>
      </c>
      <c r="M1014" s="47" t="inlineStr">
        <is>
          <t>N/A</t>
        </is>
      </c>
      <c r="N1014" s="47" t="inlineStr">
        <is>
          <t>USB-C, 2.4GHz dongle, Bluetooth 5.1</t>
        </is>
      </c>
      <c r="O1014" s="47" t="inlineStr">
        <is>
          <t>N/A</t>
        </is>
      </c>
      <c r="P1014" s="47" t="n">
        <v>92</v>
      </c>
      <c r="Q1014" s="50" t="n">
        <v>74</v>
      </c>
      <c r="R1014" s="47" t="inlineStr">
        <is>
          <t>Lighter than Notus Nimbus Air Gaming Mouse [NOT-108-01] (74 g vs 80 g); Lower price than Hyperion Quanta Air Gaming Mouse [HYP-123-04] ($74.99 vs $95.99)</t>
        </is>
      </c>
      <c r="S1014" s="47" t="inlineStr">
        <is>
          <t>gaming, esports</t>
        </is>
      </c>
      <c r="T1014" s="0" t="inlineStr">
        <is>
          <t>in_stock</t>
        </is>
      </c>
      <c r="U1014" s="0" t="n">
        <v>30</v>
      </c>
      <c r="V1014" s="52" t="n">
        <v>77.98999999999999</v>
      </c>
      <c r="W1014" s="0" t="inlineStr">
        <is>
          <t>2026-08-13</t>
        </is>
      </c>
      <c r="X1014" s="0" t="inlineStr">
        <is>
          <t>N/A</t>
        </is>
      </c>
      <c r="Y1014" s="0" t="inlineStr">
        <is>
          <t>N/A</t>
        </is>
      </c>
      <c r="Z1014" s="0" t="inlineStr">
        <is>
          <t>N/A</t>
        </is>
      </c>
      <c r="AA1014" s="0" t="inlineStr">
        <is>
          <t>N/A</t>
        </is>
      </c>
    </row>
    <row r="1015" ht="15.75" customHeight="1" s="51">
      <c r="A1015" s="47" t="inlineStr">
        <is>
          <t>PER-101-03</t>
        </is>
      </c>
      <c r="B1015" s="47" t="inlineStr">
        <is>
          <t>Perses</t>
        </is>
      </c>
      <c r="C1015" s="47" t="inlineStr">
        <is>
          <t>Computer Hardware</t>
        </is>
      </c>
      <c r="D1015" s="47" t="inlineStr">
        <is>
          <t>Webcam</t>
        </is>
      </c>
      <c r="E1015" s="48" t="inlineStr">
        <is>
          <t>Perses Sable Plus 4K Webcam</t>
        </is>
      </c>
      <c r="F1015" s="49" t="n">
        <v>129.99</v>
      </c>
      <c r="G1015" s="47" t="inlineStr">
        <is>
          <t>the Sable Plus; Perses Sable Plus; Perse Sable Plus; Sable Plus webcam</t>
        </is>
      </c>
      <c r="H1015" s="47" t="inlineStr">
        <is>
          <t>2 year limited</t>
        </is>
      </c>
      <c r="I1015" s="47" t="inlineStr">
        <is>
          <t>FCC, CE, RoHS, USB-IF Certified</t>
        </is>
      </c>
      <c r="J1015" s="47" t="inlineStr">
        <is>
          <t>N/A</t>
        </is>
      </c>
      <c r="K1015" s="47" t="inlineStr">
        <is>
          <t>N/A</t>
        </is>
      </c>
      <c r="L1015" s="47" t="inlineStr">
        <is>
          <t>N/A</t>
        </is>
      </c>
      <c r="M1015" s="47" t="inlineStr">
        <is>
          <t>3840x2160 @ 30fps, 1080p @ 60fps</t>
        </is>
      </c>
      <c r="N1015" s="47" t="inlineStr">
        <is>
          <t>USB-C (USB 3.0)</t>
        </is>
      </c>
      <c r="O1015" s="47" t="inlineStr">
        <is>
          <t>N/A</t>
        </is>
      </c>
      <c r="P1015" s="47" t="inlineStr">
        <is>
          <t>N/A</t>
        </is>
      </c>
      <c r="Q1015" s="50" t="n">
        <v>156</v>
      </c>
      <c r="R1015" s="47" t="inlineStr">
        <is>
          <t>Lower price than Ceto Nova Pro 4K Webcam [CET-131-07] ($129.99 vs $208.99); Lighter than Themis Nova SE 4K Webcam [THE-145-03] (156 g vs 165 g)</t>
        </is>
      </c>
      <c r="S1015" s="47" t="inlineStr">
        <is>
          <t>video calls, streaming, remote work</t>
        </is>
      </c>
      <c r="T1015" s="0" t="inlineStr">
        <is>
          <t>in_stock</t>
        </is>
      </c>
      <c r="U1015" s="0" t="n">
        <v>30</v>
      </c>
      <c r="V1015" s="52" t="n">
        <v>139.99</v>
      </c>
      <c r="W1015" s="0" t="inlineStr">
        <is>
          <t>2026-09-05</t>
        </is>
      </c>
      <c r="X1015" s="0" t="inlineStr">
        <is>
          <t>N/A</t>
        </is>
      </c>
      <c r="Y1015" s="0" t="inlineStr">
        <is>
          <t>N/A</t>
        </is>
      </c>
      <c r="Z1015" s="0" t="inlineStr">
        <is>
          <t>N/A</t>
        </is>
      </c>
      <c r="AA1015" s="0" t="inlineStr">
        <is>
          <t>N/A</t>
        </is>
      </c>
    </row>
    <row r="1016" ht="15.75" customHeight="1" s="51">
      <c r="A1016" s="47" t="inlineStr">
        <is>
          <t>PER-101-04</t>
        </is>
      </c>
      <c r="B1016" s="47" t="inlineStr">
        <is>
          <t>Perses</t>
        </is>
      </c>
      <c r="C1016" s="47" t="inlineStr">
        <is>
          <t>Computer Hardware</t>
        </is>
      </c>
      <c r="D1016" s="47" t="inlineStr">
        <is>
          <t>Memory</t>
        </is>
      </c>
      <c r="E1016" s="48" t="inlineStr">
        <is>
          <t>Perses Rift Lite 32GB DDR5 RAM Kit</t>
        </is>
      </c>
      <c r="F1016" s="49" t="n">
        <v>168.99</v>
      </c>
      <c r="G1016" s="47" t="inlineStr">
        <is>
          <t>the Rift Lite; Perses Rift Lite; Pesres Rift Lite; Rift Lite memory</t>
        </is>
      </c>
      <c r="H1016" s="47" t="inlineStr">
        <is>
          <t>Limited lifetime</t>
        </is>
      </c>
      <c r="I1016" s="47" t="inlineStr">
        <is>
          <t>FCC, CE, RoHS</t>
        </is>
      </c>
      <c r="J1016" s="47" t="inlineStr">
        <is>
          <t>N/A</t>
        </is>
      </c>
      <c r="K1016" s="47" t="inlineStr">
        <is>
          <t>N/A</t>
        </is>
      </c>
      <c r="L1016" s="47" t="inlineStr">
        <is>
          <t>N/A</t>
        </is>
      </c>
      <c r="M1016" s="47" t="inlineStr">
        <is>
          <t>N/A</t>
        </is>
      </c>
      <c r="N1016" s="47" t="inlineStr">
        <is>
          <t>2x 16GB DDR5 288-pin DIMM, 6000 MT/s</t>
        </is>
      </c>
      <c r="O1016" s="47" t="inlineStr">
        <is>
          <t>N/A</t>
        </is>
      </c>
      <c r="P1016" s="47" t="inlineStr">
        <is>
          <t>N/A</t>
        </is>
      </c>
      <c r="Q1016" s="50" t="n">
        <v>83</v>
      </c>
      <c r="R1016" s="47" t="inlineStr">
        <is>
          <t>Lighter than Eucleia Volt 32GB DDR5 RAM Kit [EUC-124-08] (83 g vs 90 g); Lower price than Ares Titan 32GB DDR5 RAM Kit [ARE-140-08] ($168.99 vs $232.99)</t>
        </is>
      </c>
      <c r="S1016" s="47" t="inlineStr">
        <is>
          <t>gaming, multitasking, PC building</t>
        </is>
      </c>
      <c r="T1016" s="0" t="inlineStr">
        <is>
          <t>in_stock</t>
        </is>
      </c>
      <c r="U1016" s="0" t="n">
        <v>30</v>
      </c>
      <c r="V1016" s="52" t="n">
        <v>192.99</v>
      </c>
      <c r="W1016" s="0" t="inlineStr">
        <is>
          <t>2026-08-19</t>
        </is>
      </c>
      <c r="X1016" s="0" t="inlineStr">
        <is>
          <t>N/A</t>
        </is>
      </c>
      <c r="Y1016" s="0" t="inlineStr">
        <is>
          <t>N/A</t>
        </is>
      </c>
      <c r="Z1016" s="0" t="inlineStr">
        <is>
          <t>N/A</t>
        </is>
      </c>
      <c r="AA1016" s="0" t="inlineStr">
        <is>
          <t>N/A</t>
        </is>
      </c>
    </row>
    <row r="1017" ht="15.75" customHeight="1" s="51">
      <c r="A1017" s="47" t="inlineStr">
        <is>
          <t>PER-101-05</t>
        </is>
      </c>
      <c r="B1017" s="47" t="inlineStr">
        <is>
          <t>Perses</t>
        </is>
      </c>
      <c r="C1017" s="47" t="inlineStr">
        <is>
          <t>Computer Hardware</t>
        </is>
      </c>
      <c r="D1017" s="47" t="inlineStr">
        <is>
          <t>PC Case</t>
        </is>
      </c>
      <c r="E1017" s="48" t="inlineStr">
        <is>
          <t>Perses Orbit Plus Mid-Tower PC Case</t>
        </is>
      </c>
      <c r="F1017" s="49" t="n">
        <v>178.99</v>
      </c>
      <c r="G1017" s="47" t="inlineStr">
        <is>
          <t>the Orbit Plus; Perses Orbit Plus; Peress Orbit Plus; Orbit Plus pc case</t>
        </is>
      </c>
      <c r="H1017" s="47" t="inlineStr">
        <is>
          <t>2 year limited</t>
        </is>
      </c>
      <c r="I1017" s="47" t="inlineStr">
        <is>
          <t>FCC, CE, RoHS, UL 94 V-0 (materials)</t>
        </is>
      </c>
      <c r="J1017" s="47" t="inlineStr">
        <is>
          <t>N/A</t>
        </is>
      </c>
      <c r="K1017" s="47" t="inlineStr">
        <is>
          <t>N/A</t>
        </is>
      </c>
      <c r="L1017" s="47" t="inlineStr">
        <is>
          <t>N/A</t>
        </is>
      </c>
      <c r="M1017" s="47" t="inlineStr">
        <is>
          <t>N/A</t>
        </is>
      </c>
      <c r="N1017" s="47" t="inlineStr">
        <is>
          <t>Front I/O: 1x USB-C 10Gbps, 2x USB-A 3.0, 3.5mm combo audio</t>
        </is>
      </c>
      <c r="O1017" s="47" t="inlineStr">
        <is>
          <t>N/A</t>
        </is>
      </c>
      <c r="P1017" s="47" t="inlineStr">
        <is>
          <t>N/A</t>
        </is>
      </c>
      <c r="Q1017" s="50" t="n">
        <v>7447</v>
      </c>
      <c r="R1017" s="47" t="inlineStr">
        <is>
          <t>Lighter than Astraeus Blaze Pro Mid-Tower PC Case [AST-146-02] (7,447 g vs 8,422 g); Lower price than Apollo Crest SE Mid-Tower PC Case [APO-109-08] ($178.99 vs $216.99)</t>
        </is>
      </c>
      <c r="S1017" s="47" t="inlineStr">
        <is>
          <t>PC building, gaming</t>
        </is>
      </c>
      <c r="T1017" s="0" t="inlineStr">
        <is>
          <t>in_stock</t>
        </is>
      </c>
      <c r="U1017" s="0" t="n">
        <v>30</v>
      </c>
      <c r="V1017" s="52" t="n">
        <v>189.99</v>
      </c>
      <c r="W1017" s="0" t="inlineStr">
        <is>
          <t>2026-09-10</t>
        </is>
      </c>
      <c r="X1017" s="0" t="inlineStr">
        <is>
          <t>N/A</t>
        </is>
      </c>
      <c r="Y1017" s="0" t="inlineStr">
        <is>
          <t>N/A</t>
        </is>
      </c>
      <c r="Z1017" s="0" t="inlineStr">
        <is>
          <t>N/A</t>
        </is>
      </c>
      <c r="AA1017" s="0" t="inlineStr">
        <is>
          <t>N/A</t>
        </is>
      </c>
    </row>
    <row r="1018" ht="15.75" customHeight="1" s="51">
      <c r="A1018" s="47" t="inlineStr">
        <is>
          <t>PER-101-06</t>
        </is>
      </c>
      <c r="B1018" s="47" t="inlineStr">
        <is>
          <t>Perses</t>
        </is>
      </c>
      <c r="C1018" s="47" t="inlineStr">
        <is>
          <t>Computer Hardware</t>
        </is>
      </c>
      <c r="D1018" s="47" t="inlineStr">
        <is>
          <t>Power Supply</t>
        </is>
      </c>
      <c r="E1018" s="48" t="inlineStr">
        <is>
          <t>Perses Aria 850W Power Supply</t>
        </is>
      </c>
      <c r="F1018" s="49" t="n">
        <v>224.99</v>
      </c>
      <c r="G1018" s="47" t="inlineStr">
        <is>
          <t>the Aria; Perses Aria; Peerses Aria; Aria power supply</t>
        </is>
      </c>
      <c r="H1018" s="47" t="inlineStr">
        <is>
          <t>10 year limited</t>
        </is>
      </c>
      <c r="I1018" s="47" t="inlineStr">
        <is>
          <t>FCC, CE, RoHS, 80 PLUS Titanium, UL Listed</t>
        </is>
      </c>
      <c r="J1018" s="47" t="inlineStr">
        <is>
          <t>N/A</t>
        </is>
      </c>
      <c r="K1018" s="47" t="inlineStr">
        <is>
          <t>N/A</t>
        </is>
      </c>
      <c r="L1018" s="47" t="inlineStr">
        <is>
          <t>N/A</t>
        </is>
      </c>
      <c r="M1018" s="47" t="inlineStr">
        <is>
          <t>N/A</t>
        </is>
      </c>
      <c r="N1018" s="47" t="inlineStr">
        <is>
          <t>ATX 3.1, native 12V-2x6 (600W) connector, fully modular</t>
        </is>
      </c>
      <c r="O1018" s="47" t="inlineStr">
        <is>
          <t>N/A</t>
        </is>
      </c>
      <c r="P1018" s="47" t="inlineStr">
        <is>
          <t>N/A</t>
        </is>
      </c>
      <c r="Q1018" s="50" t="n">
        <v>1711</v>
      </c>
      <c r="R1018" s="47" t="inlineStr">
        <is>
          <t>Lighter than Eris Wave Ultra 850W Power Supply [ERI-148-06] (1,711 g vs 1,867 g)</t>
        </is>
      </c>
      <c r="S1018" s="47" t="inlineStr">
        <is>
          <t>PC building, high-end gaming</t>
        </is>
      </c>
      <c r="T1018" s="0" t="inlineStr">
        <is>
          <t>in_stock</t>
        </is>
      </c>
      <c r="U1018" s="0" t="n">
        <v>30</v>
      </c>
      <c r="V1018" s="52" t="n">
        <v>252.99</v>
      </c>
      <c r="W1018" s="0" t="inlineStr">
        <is>
          <t>2026-08-13</t>
        </is>
      </c>
      <c r="X1018" s="0" t="inlineStr">
        <is>
          <t>N/A</t>
        </is>
      </c>
      <c r="Y1018" s="0" t="inlineStr">
        <is>
          <t>N/A</t>
        </is>
      </c>
      <c r="Z1018" s="0" t="inlineStr">
        <is>
          <t>N/A</t>
        </is>
      </c>
      <c r="AA1018" s="0" t="inlineStr">
        <is>
          <t>N/A</t>
        </is>
      </c>
    </row>
    <row r="1019" ht="15.75" customHeight="1" s="51">
      <c r="A1019" s="47" t="inlineStr">
        <is>
          <t>PER-101-07</t>
        </is>
      </c>
      <c r="B1019" s="47" t="inlineStr">
        <is>
          <t>Perses</t>
        </is>
      </c>
      <c r="C1019" s="47" t="inlineStr">
        <is>
          <t>Computer Hardware</t>
        </is>
      </c>
      <c r="D1019" s="47" t="inlineStr">
        <is>
          <t>Motherboard</t>
        </is>
      </c>
      <c r="E1019" s="48" t="inlineStr">
        <is>
          <t>Perses Flux Pro ATX Motherboard</t>
        </is>
      </c>
      <c r="F1019" s="49" t="n">
        <v>229.99</v>
      </c>
      <c r="G1019" s="47" t="inlineStr">
        <is>
          <t>the Flux Pro; Perses Flux Pro; Perse Flux Pro; Flux Pro motherboard</t>
        </is>
      </c>
      <c r="H1019" s="47" t="inlineStr">
        <is>
          <t>3 year limited</t>
        </is>
      </c>
      <c r="I1019" s="47" t="inlineStr">
        <is>
          <t>FCC, CE, RoHS</t>
        </is>
      </c>
      <c r="J1019" s="47" t="inlineStr">
        <is>
          <t>Supports AMD Ryzen 7000/8000/9000 (Socket AM5)</t>
        </is>
      </c>
      <c r="K1019" s="47" t="inlineStr">
        <is>
          <t>N/A</t>
        </is>
      </c>
      <c r="L1019" s="47" t="inlineStr">
        <is>
          <t>N/A</t>
        </is>
      </c>
      <c r="M1019" s="47" t="inlineStr">
        <is>
          <t>N/A</t>
        </is>
      </c>
      <c r="N1019" s="47" t="inlineStr">
        <is>
          <t>Rear I/O: 1x HDMI, 6x USB-A, 1x USB-C 10Gbps, 2.5GbE, Wi-Fi 6E</t>
        </is>
      </c>
      <c r="O1019" s="47" t="inlineStr">
        <is>
          <t>N/A</t>
        </is>
      </c>
      <c r="P1019" s="47" t="inlineStr">
        <is>
          <t>N/A</t>
        </is>
      </c>
      <c r="Q1019" s="50" t="n">
        <v>1609</v>
      </c>
      <c r="R1019" s="47" t="inlineStr">
        <is>
          <t>Lower price than Eurybia Pulse ATX Motherboard [EUR-104-09] ($229.99 vs $516.99); Lighter than Euterpe Aria Plus ATX Motherboard [EUT-120-08] (1,609 g vs 1,687 g)</t>
        </is>
      </c>
      <c r="S1019" s="47" t="inlineStr">
        <is>
          <t>PC building, gaming, workstation builds</t>
        </is>
      </c>
      <c r="T1019" s="0" t="inlineStr">
        <is>
          <t>low_stock</t>
        </is>
      </c>
      <c r="U1019" s="0" t="n">
        <v>30</v>
      </c>
      <c r="V1019" s="52" t="n">
        <v>253.99</v>
      </c>
      <c r="W1019" s="0" t="inlineStr">
        <is>
          <t>2026-09-12</t>
        </is>
      </c>
      <c r="X1019" s="0" t="inlineStr">
        <is>
          <t>N/A</t>
        </is>
      </c>
      <c r="Y1019" s="0" t="inlineStr">
        <is>
          <t>N/A</t>
        </is>
      </c>
      <c r="Z1019" s="0" t="inlineStr">
        <is>
          <t>N/A</t>
        </is>
      </c>
      <c r="AA1019" s="0" t="inlineStr">
        <is>
          <t>N/A</t>
        </is>
      </c>
    </row>
    <row r="1020" ht="15.75" customHeight="1" s="51">
      <c r="A1020" s="47" t="inlineStr">
        <is>
          <t>PER-101-08</t>
        </is>
      </c>
      <c r="B1020" s="47" t="inlineStr">
        <is>
          <t>Perses</t>
        </is>
      </c>
      <c r="C1020" s="47" t="inlineStr">
        <is>
          <t>Computer Hardware</t>
        </is>
      </c>
      <c r="D1020" s="47" t="inlineStr">
        <is>
          <t>Storage</t>
        </is>
      </c>
      <c r="E1020" s="48" t="inlineStr">
        <is>
          <t>Perses Lumen Pro 2TB NVMe SSD</t>
        </is>
      </c>
      <c r="F1020" s="49" t="n">
        <v>294.99</v>
      </c>
      <c r="G1020" s="47" t="inlineStr">
        <is>
          <t>the Lumen Pro; Perses Lumen Pro; Perse Lumen Pro; Lumen Pro storage</t>
        </is>
      </c>
      <c r="H1020" s="47" t="inlineStr">
        <is>
          <t>5 year limited</t>
        </is>
      </c>
      <c r="I1020" s="47" t="inlineStr">
        <is>
          <t>FCC, CE, RoHS</t>
        </is>
      </c>
      <c r="J1020" s="47" t="inlineStr">
        <is>
          <t>Controller: Phison E26</t>
        </is>
      </c>
      <c r="K1020" s="47" t="inlineStr">
        <is>
          <t>N/A</t>
        </is>
      </c>
      <c r="L1020" s="47" t="inlineStr">
        <is>
          <t>N/A</t>
        </is>
      </c>
      <c r="M1020" s="47" t="inlineStr">
        <is>
          <t>N/A</t>
        </is>
      </c>
      <c r="N1020" s="47" t="inlineStr">
        <is>
          <t>M.2 2280, PCIe 5.0 x4 NVMe</t>
        </is>
      </c>
      <c r="O1020" s="47" t="inlineStr">
        <is>
          <t>N/A</t>
        </is>
      </c>
      <c r="P1020" s="47" t="inlineStr">
        <is>
          <t>N/A</t>
        </is>
      </c>
      <c r="Q1020" s="50" t="n">
        <v>15</v>
      </c>
      <c r="R1020" s="47" t="inlineStr">
        <is>
          <t>Lighter than Notus Echo SE 2TB NVMe SSD [NOT-108-05] (15 g vs 18 g); Lower price than Pheme Flux Air 2TB NVMe SSD [PHE-102-08] ($294.99 vs $296.99)</t>
        </is>
      </c>
      <c r="S1020" s="47" t="inlineStr">
        <is>
          <t>gaming, fast boot, content creation</t>
        </is>
      </c>
      <c r="T1020" s="0" t="inlineStr">
        <is>
          <t>in_stock</t>
        </is>
      </c>
      <c r="U1020" s="0" t="n">
        <v>30</v>
      </c>
      <c r="V1020" s="52" t="n">
        <v>319.99</v>
      </c>
      <c r="W1020" s="0" t="inlineStr">
        <is>
          <t>2026-08-02</t>
        </is>
      </c>
      <c r="X1020" s="0" t="inlineStr">
        <is>
          <t>N/A</t>
        </is>
      </c>
      <c r="Y1020" s="0" t="inlineStr">
        <is>
          <t>N/A</t>
        </is>
      </c>
      <c r="Z1020" s="0" t="inlineStr">
        <is>
          <t>N/A</t>
        </is>
      </c>
      <c r="AA1020" s="0" t="inlineStr">
        <is>
          <t>N/A</t>
        </is>
      </c>
    </row>
    <row r="1021" ht="15.75" customHeight="1" s="51">
      <c r="A1021" s="47" t="inlineStr">
        <is>
          <t>PER-101-09</t>
        </is>
      </c>
      <c r="B1021" s="47" t="inlineStr">
        <is>
          <t>Perses</t>
        </is>
      </c>
      <c r="C1021" s="47" t="inlineStr">
        <is>
          <t>Computer Hardware</t>
        </is>
      </c>
      <c r="D1021" s="47" t="inlineStr">
        <is>
          <t>Monitor</t>
        </is>
      </c>
      <c r="E1021" s="48" t="inlineStr">
        <is>
          <t>Perses Core 27" 1440p Monitor</t>
        </is>
      </c>
      <c r="F1021" s="49" t="n">
        <v>596.99</v>
      </c>
      <c r="G1021" s="47" t="inlineStr">
        <is>
          <t>the Core; Perses Core; Preses Core; Core monitor</t>
        </is>
      </c>
      <c r="H1021" s="47" t="inlineStr">
        <is>
          <t>3 year limited</t>
        </is>
      </c>
      <c r="I1021" s="47" t="inlineStr">
        <is>
          <t>FCC, CE, RoHS, Energy Star, TUV Rheinland Low Blue Light, VESA DisplayHDR True Black 400</t>
        </is>
      </c>
      <c r="J1021" s="47" t="inlineStr">
        <is>
          <t>N/A</t>
        </is>
      </c>
      <c r="K1021" s="47" t="inlineStr">
        <is>
          <t>N/A</t>
        </is>
      </c>
      <c r="L1021" s="47" t="inlineStr">
        <is>
          <t>Fast IPS, 240Hz</t>
        </is>
      </c>
      <c r="M1021" s="47" t="inlineStr">
        <is>
          <t>2560x1440</t>
        </is>
      </c>
      <c r="N1021" s="47" t="inlineStr">
        <is>
          <t>2x HDMI 2.1, 1x DisplayPort 1.4, USB-C 90W, USB hub</t>
        </is>
      </c>
      <c r="O1021" s="47" t="inlineStr">
        <is>
          <t>N/A</t>
        </is>
      </c>
      <c r="P1021" s="47" t="inlineStr">
        <is>
          <t>N/A</t>
        </is>
      </c>
      <c r="Q1021" s="50" t="n">
        <v>5716</v>
      </c>
      <c r="R1021" s="47" t="inlineStr">
        <is>
          <t>Lower price than Astraeus Core Pro 27" 1440p Monitor [AST-146-10] ($596.99 vs $644.99); Lighter than Iris Volt Ultra 27" 1440p Monitor [IRI-130-09] (5,716 g vs 6,654 g)</t>
        </is>
      </c>
      <c r="S1021" s="47" t="inlineStr">
        <is>
          <t>gaming, office, content creation</t>
        </is>
      </c>
      <c r="T1021" s="0" t="inlineStr">
        <is>
          <t>in_stock</t>
        </is>
      </c>
      <c r="U1021" s="0" t="n">
        <v>30</v>
      </c>
      <c r="V1021" s="52" t="n">
        <v>686.99</v>
      </c>
      <c r="W1021" s="0" t="inlineStr">
        <is>
          <t>2026-08-23</t>
        </is>
      </c>
      <c r="X1021" s="0" t="inlineStr">
        <is>
          <t>N/A</t>
        </is>
      </c>
      <c r="Y1021" s="0" t="inlineStr">
        <is>
          <t>N/A</t>
        </is>
      </c>
      <c r="Z1021" s="0" t="inlineStr">
        <is>
          <t>N/A</t>
        </is>
      </c>
      <c r="AA1021" s="0" t="inlineStr">
        <is>
          <t>N/A</t>
        </is>
      </c>
    </row>
    <row r="1022" ht="15.75" customHeight="1" s="51">
      <c r="A1022" s="47" t="inlineStr">
        <is>
          <t>PER-101-10</t>
        </is>
      </c>
      <c r="B1022" s="47" t="inlineStr">
        <is>
          <t>Perses</t>
        </is>
      </c>
      <c r="C1022" s="47" t="inlineStr">
        <is>
          <t>Computer Hardware</t>
        </is>
      </c>
      <c r="D1022" s="47" t="inlineStr">
        <is>
          <t>Graphics Card</t>
        </is>
      </c>
      <c r="E1022" s="48" t="inlineStr">
        <is>
          <t>Perses Arc Max Graphics Card</t>
        </is>
      </c>
      <c r="F1022" s="49" t="n">
        <v>1593.99</v>
      </c>
      <c r="G1022" s="47" t="inlineStr">
        <is>
          <t>the Arc Max; Perses Arc Max; Peress Arc Max; Arc Max graphics card</t>
        </is>
      </c>
      <c r="H1022" s="47" t="inlineStr">
        <is>
          <t>3 year limited</t>
        </is>
      </c>
      <c r="I1022" s="47" t="inlineStr">
        <is>
          <t>FCC, CE, RoHS</t>
        </is>
      </c>
      <c r="J1022" s="47" t="inlineStr">
        <is>
          <t>N/A</t>
        </is>
      </c>
      <c r="K1022" s="47" t="inlineStr">
        <is>
          <t>AMD Radeon RX 7900 XTX 24GB (Perses Arc edition)</t>
        </is>
      </c>
      <c r="L1022" s="47" t="inlineStr">
        <is>
          <t>N/A</t>
        </is>
      </c>
      <c r="M1022" s="47" t="inlineStr">
        <is>
          <t>N/A</t>
        </is>
      </c>
      <c r="N1022" s="47" t="inlineStr">
        <is>
          <t>2x DisplayPort 2.1, 1x HDMI 2.1, 1x USB-C</t>
        </is>
      </c>
      <c r="O1022" s="47" t="inlineStr">
        <is>
          <t>N/A</t>
        </is>
      </c>
      <c r="P1022" s="47" t="inlineStr">
        <is>
          <t>N/A</t>
        </is>
      </c>
      <c r="Q1022" s="50" t="n">
        <v>1743</v>
      </c>
      <c r="R1022" s="47" t="inlineStr">
        <is>
          <t>Lighter than Euterpe Volt Ultra Graphics Card [EUT-120-10] (1,743 g vs 2,192 g); Lower price than Phanes Spark Ultra Graphics Card [PHA-138-10] ($1,593.99 vs $1,630.99)</t>
        </is>
      </c>
      <c r="S1022" s="47" t="inlineStr">
        <is>
          <t>gaming, 3D rendering, AI workloads</t>
        </is>
      </c>
      <c r="T1022" s="0" t="inlineStr">
        <is>
          <t>in_stock</t>
        </is>
      </c>
      <c r="U1022" s="0" t="n">
        <v>30</v>
      </c>
      <c r="V1022" s="52" t="n">
        <v>1691.99</v>
      </c>
      <c r="W1022" s="0" t="inlineStr">
        <is>
          <t>2026-09-14</t>
        </is>
      </c>
      <c r="X1022" s="0" t="inlineStr">
        <is>
          <t>N/A</t>
        </is>
      </c>
      <c r="Y1022" s="0" t="inlineStr">
        <is>
          <t>N/A</t>
        </is>
      </c>
      <c r="Z1022" s="0" t="inlineStr">
        <is>
          <t>N/A</t>
        </is>
      </c>
      <c r="AA1022" s="0" t="inlineStr">
        <is>
          <t>N/A</t>
        </is>
      </c>
    </row>
    <row r="1023" ht="15.75" customHeight="1" s="51">
      <c r="A1023" s="47" t="inlineStr">
        <is>
          <t>PHE-102-01</t>
        </is>
      </c>
      <c r="B1023" s="47" t="inlineStr">
        <is>
          <t>Pheme</t>
        </is>
      </c>
      <c r="C1023" s="47" t="inlineStr">
        <is>
          <t>Computer Hardware</t>
        </is>
      </c>
      <c r="D1023" s="47" t="inlineStr">
        <is>
          <t>Mouse</t>
        </is>
      </c>
      <c r="E1023" s="48" t="inlineStr">
        <is>
          <t>Pheme Zen X Gaming Mouse</t>
        </is>
      </c>
      <c r="F1023" s="49" t="n">
        <v>18.99</v>
      </c>
      <c r="G1023" s="47" t="inlineStr">
        <is>
          <t>the Zen X; Pheme Zen X; Pehme Zen X; Zen X mouse</t>
        </is>
      </c>
      <c r="H1023" s="47" t="inlineStr">
        <is>
          <t>2 year limited</t>
        </is>
      </c>
      <c r="I1023" s="47" t="inlineStr">
        <is>
          <t>FCC, CE, RoHS</t>
        </is>
      </c>
      <c r="J1023" s="47" t="inlineStr">
        <is>
          <t>Sensor: 12K DPI optical</t>
        </is>
      </c>
      <c r="K1023" s="47" t="inlineStr">
        <is>
          <t>N/A</t>
        </is>
      </c>
      <c r="L1023" s="47" t="inlineStr">
        <is>
          <t>N/A</t>
        </is>
      </c>
      <c r="M1023" s="47" t="inlineStr">
        <is>
          <t>N/A</t>
        </is>
      </c>
      <c r="N1023" s="47" t="inlineStr">
        <is>
          <t>USB-C wired</t>
        </is>
      </c>
      <c r="O1023" s="47" t="inlineStr">
        <is>
          <t>N/A</t>
        </is>
      </c>
      <c r="P1023" s="47" t="inlineStr">
        <is>
          <t>N/A</t>
        </is>
      </c>
      <c r="Q1023" s="50" t="n">
        <v>91</v>
      </c>
      <c r="R1023" s="47" t="inlineStr">
        <is>
          <t>Lower price than Zelus Core SE Gaming Mouse [ZEL-137-04] ($18.99 vs $150.99); Lighter than Cronus Quanta Gaming Mouse [CRO-105-05] (91 g vs 92 g)</t>
        </is>
      </c>
      <c r="S1023" s="47" t="inlineStr">
        <is>
          <t>gaming, esports</t>
        </is>
      </c>
      <c r="T1023" s="0" t="inlineStr">
        <is>
          <t>in_stock</t>
        </is>
      </c>
      <c r="U1023" s="0" t="n">
        <v>30</v>
      </c>
      <c r="V1023" s="52" t="n">
        <v>21.99</v>
      </c>
      <c r="W1023" s="0" t="inlineStr">
        <is>
          <t>2026-09-24</t>
        </is>
      </c>
      <c r="X1023" s="0" t="inlineStr">
        <is>
          <t>N/A</t>
        </is>
      </c>
      <c r="Y1023" s="0" t="inlineStr">
        <is>
          <t>N/A</t>
        </is>
      </c>
      <c r="Z1023" s="0" t="inlineStr">
        <is>
          <t>N/A</t>
        </is>
      </c>
      <c r="AA1023" s="0" t="inlineStr">
        <is>
          <t>N/A</t>
        </is>
      </c>
    </row>
    <row r="1024" ht="15.75" customHeight="1" s="51">
      <c r="A1024" s="47" t="inlineStr">
        <is>
          <t>PHE-102-02</t>
        </is>
      </c>
      <c r="B1024" s="47" t="inlineStr">
        <is>
          <t>Pheme</t>
        </is>
      </c>
      <c r="C1024" s="47" t="inlineStr">
        <is>
          <t>Computer Hardware</t>
        </is>
      </c>
      <c r="D1024" s="47" t="inlineStr">
        <is>
          <t>Networking</t>
        </is>
      </c>
      <c r="E1024" s="48" t="inlineStr">
        <is>
          <t>Pheme Nova Wi-Fi 7 PCIe Card</t>
        </is>
      </c>
      <c r="F1024" s="49" t="n">
        <v>42.99</v>
      </c>
      <c r="G1024" s="47" t="inlineStr">
        <is>
          <t>the Nova; Pheme Nova; Phem Nova; Nova networking</t>
        </is>
      </c>
      <c r="H1024" s="47" t="inlineStr">
        <is>
          <t>2 year limited</t>
        </is>
      </c>
      <c r="I1024" s="47" t="inlineStr">
        <is>
          <t>FCC, CE, RoHS, Wi-Fi CERTIFIED 7, Bluetooth SIG Qualified</t>
        </is>
      </c>
      <c r="J1024" s="47" t="inlineStr">
        <is>
          <t>Chipset: Intel BE200</t>
        </is>
      </c>
      <c r="K1024" s="47" t="inlineStr">
        <is>
          <t>N/A</t>
        </is>
      </c>
      <c r="L1024" s="47" t="inlineStr">
        <is>
          <t>N/A</t>
        </is>
      </c>
      <c r="M1024" s="47" t="inlineStr">
        <is>
          <t>N/A</t>
        </is>
      </c>
      <c r="N1024" s="47" t="inlineStr">
        <is>
          <t>PCIe x1, internal USB 2.0 header (Bluetooth 5.4), 2x external antennas</t>
        </is>
      </c>
      <c r="O1024" s="47" t="inlineStr">
        <is>
          <t>N/A</t>
        </is>
      </c>
      <c r="P1024" s="47" t="inlineStr">
        <is>
          <t>N/A</t>
        </is>
      </c>
      <c r="Q1024" s="50" t="n">
        <v>78</v>
      </c>
      <c r="R1024" s="47" t="inlineStr">
        <is>
          <t>Lower price than Crius Crest Ultra Wi-Fi 7 PCIe Card [CRI-139-03] ($42.99 vs $95.99); Lighter than Apate Vibe Max Wi-Fi 7 PCIe Card [APA-110-01] (78 g vs 82 g)</t>
        </is>
      </c>
      <c r="S1024" s="47" t="inlineStr">
        <is>
          <t>gaming, streaming, PC building</t>
        </is>
      </c>
      <c r="T1024" s="0" t="inlineStr">
        <is>
          <t>in_stock</t>
        </is>
      </c>
      <c r="U1024" s="0" t="n">
        <v>30</v>
      </c>
      <c r="V1024" s="52" t="n">
        <v>45.99</v>
      </c>
      <c r="W1024" s="0" t="inlineStr">
        <is>
          <t>2026-09-03</t>
        </is>
      </c>
      <c r="X1024" s="0" t="inlineStr">
        <is>
          <t>N/A</t>
        </is>
      </c>
      <c r="Y1024" s="0" t="inlineStr">
        <is>
          <t>N/A</t>
        </is>
      </c>
      <c r="Z1024" s="0" t="inlineStr">
        <is>
          <t>N/A</t>
        </is>
      </c>
      <c r="AA1024" s="0" t="inlineStr">
        <is>
          <t>N/A</t>
        </is>
      </c>
    </row>
    <row r="1025" ht="15.75" customHeight="1" s="51">
      <c r="A1025" s="47" t="inlineStr">
        <is>
          <t>PHE-102-03</t>
        </is>
      </c>
      <c r="B1025" s="47" t="inlineStr">
        <is>
          <t>Pheme</t>
        </is>
      </c>
      <c r="C1025" s="47" t="inlineStr">
        <is>
          <t>Computer Hardware</t>
        </is>
      </c>
      <c r="D1025" s="47" t="inlineStr">
        <is>
          <t>Power Supply</t>
        </is>
      </c>
      <c r="E1025" s="48" t="inlineStr">
        <is>
          <t>Pheme Orbit Ultra 850W Power Supply</t>
        </is>
      </c>
      <c r="F1025" s="49" t="n">
        <v>93.98999999999999</v>
      </c>
      <c r="G1025" s="47" t="inlineStr">
        <is>
          <t>the Orbit Ultra; Pheme Orbit Ultra; Pheeme Orbit Ultra; Orbit Ultra power supply</t>
        </is>
      </c>
      <c r="H1025" s="47" t="inlineStr">
        <is>
          <t>7 year limited</t>
        </is>
      </c>
      <c r="I1025" s="47" t="inlineStr">
        <is>
          <t>FCC, CE, RoHS, 80 PLUS Gold, UL Listed</t>
        </is>
      </c>
      <c r="J1025" s="47" t="inlineStr">
        <is>
          <t>N/A</t>
        </is>
      </c>
      <c r="K1025" s="47" t="inlineStr">
        <is>
          <t>N/A</t>
        </is>
      </c>
      <c r="L1025" s="47" t="inlineStr">
        <is>
          <t>N/A</t>
        </is>
      </c>
      <c r="M1025" s="47" t="inlineStr">
        <is>
          <t>N/A</t>
        </is>
      </c>
      <c r="N1025" s="47" t="inlineStr">
        <is>
          <t>ATX 3.1, native 12V-2x6 (600W) connector, semi-modular</t>
        </is>
      </c>
      <c r="O1025" s="47" t="inlineStr">
        <is>
          <t>N/A</t>
        </is>
      </c>
      <c r="P1025" s="47" t="inlineStr">
        <is>
          <t>N/A</t>
        </is>
      </c>
      <c r="Q1025" s="50" t="n">
        <v>1723</v>
      </c>
      <c r="R1025" s="47" t="inlineStr">
        <is>
          <t>Lighter than Aidos Wave X 850W Power Supply [AID-135-04] (1,723 g vs 2,205 g); Lower price than Kairos Halo Air 850W Power Supply [KAI-142-06] ($93.99 vs $113.99)</t>
        </is>
      </c>
      <c r="S1025" s="47" t="inlineStr">
        <is>
          <t>PC building, high-end gaming</t>
        </is>
      </c>
      <c r="T1025" s="0" t="inlineStr">
        <is>
          <t>in_stock</t>
        </is>
      </c>
      <c r="U1025" s="0" t="n">
        <v>30</v>
      </c>
      <c r="V1025" s="52" t="n">
        <v>105.99</v>
      </c>
      <c r="W1025" s="0" t="inlineStr">
        <is>
          <t>2026-09-11</t>
        </is>
      </c>
      <c r="X1025" s="0" t="inlineStr">
        <is>
          <t>N/A</t>
        </is>
      </c>
      <c r="Y1025" s="0" t="inlineStr">
        <is>
          <t>N/A</t>
        </is>
      </c>
      <c r="Z1025" s="0" t="inlineStr">
        <is>
          <t>N/A</t>
        </is>
      </c>
      <c r="AA1025" s="0" t="inlineStr">
        <is>
          <t>N/A</t>
        </is>
      </c>
    </row>
    <row r="1026" ht="15.75" customHeight="1" s="51">
      <c r="A1026" s="47" t="inlineStr">
        <is>
          <t>PHE-102-04</t>
        </is>
      </c>
      <c r="B1026" s="47" t="inlineStr">
        <is>
          <t>Pheme</t>
        </is>
      </c>
      <c r="C1026" s="47" t="inlineStr">
        <is>
          <t>Computer Hardware</t>
        </is>
      </c>
      <c r="D1026" s="47" t="inlineStr">
        <is>
          <t>Webcam</t>
        </is>
      </c>
      <c r="E1026" s="48" t="inlineStr">
        <is>
          <t>Pheme Crest Pro 4K Webcam</t>
        </is>
      </c>
      <c r="F1026" s="49" t="n">
        <v>107.99</v>
      </c>
      <c r="G1026" s="47" t="inlineStr">
        <is>
          <t>the Crest Pro; Pheme Crest Pro; Pheeme Crest Pro; Crest Pro webcam</t>
        </is>
      </c>
      <c r="H1026" s="47" t="inlineStr">
        <is>
          <t>2 year limited</t>
        </is>
      </c>
      <c r="I1026" s="47" t="inlineStr">
        <is>
          <t>FCC, CE, RoHS, USB-IF Certified</t>
        </is>
      </c>
      <c r="J1026" s="47" t="inlineStr">
        <is>
          <t>N/A</t>
        </is>
      </c>
      <c r="K1026" s="47" t="inlineStr">
        <is>
          <t>N/A</t>
        </is>
      </c>
      <c r="L1026" s="47" t="inlineStr">
        <is>
          <t>N/A</t>
        </is>
      </c>
      <c r="M1026" s="47" t="inlineStr">
        <is>
          <t>3840x2160 @ 30fps, 1080p @ 60fps</t>
        </is>
      </c>
      <c r="N1026" s="47" t="inlineStr">
        <is>
          <t>USB-C (USB 3.0)</t>
        </is>
      </c>
      <c r="O1026" s="47" t="inlineStr">
        <is>
          <t>N/A</t>
        </is>
      </c>
      <c r="P1026" s="47" t="inlineStr">
        <is>
          <t>N/A</t>
        </is>
      </c>
      <c r="Q1026" s="50" t="n">
        <v>146</v>
      </c>
      <c r="R1026" s="47" t="inlineStr">
        <is>
          <t>Lighter than Harmonia Vibe 4K Webcam [HAR-106-06] (146 g vs 152 g); Lower price than Hymenaeus Drift Plus 4K Webcam [HYM-121-03] ($107.99 vs $114.99)</t>
        </is>
      </c>
      <c r="S1026" s="47" t="inlineStr">
        <is>
          <t>video calls, streaming, remote work</t>
        </is>
      </c>
      <c r="T1026" s="0" t="inlineStr">
        <is>
          <t>in_stock</t>
        </is>
      </c>
      <c r="U1026" s="0" t="n">
        <v>30</v>
      </c>
      <c r="V1026" s="52" t="n">
        <v>112.99</v>
      </c>
      <c r="W1026" s="0" t="inlineStr">
        <is>
          <t>2026-08-14</t>
        </is>
      </c>
      <c r="X1026" s="0" t="inlineStr">
        <is>
          <t>N/A</t>
        </is>
      </c>
      <c r="Y1026" s="0" t="inlineStr">
        <is>
          <t>N/A</t>
        </is>
      </c>
      <c r="Z1026" s="0" t="inlineStr">
        <is>
          <t>N/A</t>
        </is>
      </c>
      <c r="AA1026" s="0" t="inlineStr">
        <is>
          <t>N/A</t>
        </is>
      </c>
    </row>
    <row r="1027" ht="15.75" customHeight="1" s="51">
      <c r="A1027" s="47" t="inlineStr">
        <is>
          <t>PHE-102-05</t>
        </is>
      </c>
      <c r="B1027" s="47" t="inlineStr">
        <is>
          <t>Pheme</t>
        </is>
      </c>
      <c r="C1027" s="47" t="inlineStr">
        <is>
          <t>Computer Hardware</t>
        </is>
      </c>
      <c r="D1027" s="47" t="inlineStr">
        <is>
          <t>Cooling</t>
        </is>
      </c>
      <c r="E1027" s="48" t="inlineStr">
        <is>
          <t>Pheme Lumen Lite 360mm AIO CPU Cooler</t>
        </is>
      </c>
      <c r="F1027" s="49" t="n">
        <v>125.99</v>
      </c>
      <c r="G1027" s="47" t="inlineStr">
        <is>
          <t>the Lumen Lite; Pheme Lumen Lite; Pheeme Lumen Lite; Lumen Lite cooling</t>
        </is>
      </c>
      <c r="H1027" s="47" t="inlineStr">
        <is>
          <t>6 year limited</t>
        </is>
      </c>
      <c r="I1027" s="47" t="inlineStr">
        <is>
          <t>FCC, CE, RoHS</t>
        </is>
      </c>
      <c r="J1027" s="47" t="inlineStr">
        <is>
          <t>N/A</t>
        </is>
      </c>
      <c r="K1027" s="47" t="inlineStr">
        <is>
          <t>N/A</t>
        </is>
      </c>
      <c r="L1027" s="47" t="inlineStr">
        <is>
          <t>N/A</t>
        </is>
      </c>
      <c r="M1027" s="47" t="inlineStr">
        <is>
          <t>N/A</t>
        </is>
      </c>
      <c r="N1027" s="47" t="inlineStr">
        <is>
          <t>3x 4-pin PWM fans, 3-pin pump header, ARGB 5V; LGA1700/LGA1851/AM5 mounts</t>
        </is>
      </c>
      <c r="O1027" s="47" t="inlineStr">
        <is>
          <t>N/A</t>
        </is>
      </c>
      <c r="P1027" s="47" t="inlineStr">
        <is>
          <t>N/A</t>
        </is>
      </c>
      <c r="Q1027" s="50" t="n">
        <v>1678</v>
      </c>
      <c r="R1027" s="47" t="inlineStr">
        <is>
          <t>Lower price than Hestia Nimbus 360mm AIO CPU Cooler [HES-116-07] ($125.99 vs $210.99); Lighter than Ares Crest 360mm AIO CPU Cooler [ARE-140-09] (1,678 g vs 1,771 g)</t>
        </is>
      </c>
      <c r="S1027" s="47" t="inlineStr">
        <is>
          <t>overclocking, gaming, quiet builds</t>
        </is>
      </c>
      <c r="T1027" s="0" t="inlineStr">
        <is>
          <t>in_stock</t>
        </is>
      </c>
      <c r="U1027" s="0" t="n">
        <v>30</v>
      </c>
      <c r="V1027" s="52" t="n">
        <v>136.99</v>
      </c>
      <c r="W1027" s="0" t="inlineStr">
        <is>
          <t>2026-08-31</t>
        </is>
      </c>
      <c r="X1027" s="0" t="inlineStr">
        <is>
          <t>N/A</t>
        </is>
      </c>
      <c r="Y1027" s="0" t="inlineStr">
        <is>
          <t>N/A</t>
        </is>
      </c>
      <c r="Z1027" s="0" t="inlineStr">
        <is>
          <t>N/A</t>
        </is>
      </c>
      <c r="AA1027" s="0" t="inlineStr">
        <is>
          <t>N/A</t>
        </is>
      </c>
    </row>
    <row r="1028" ht="15.75" customHeight="1" s="51">
      <c r="A1028" s="47" t="inlineStr">
        <is>
          <t>PHE-102-06</t>
        </is>
      </c>
      <c r="B1028" s="47" t="inlineStr">
        <is>
          <t>Pheme</t>
        </is>
      </c>
      <c r="C1028" s="47" t="inlineStr">
        <is>
          <t>Computer Hardware</t>
        </is>
      </c>
      <c r="D1028" s="47" t="inlineStr">
        <is>
          <t>Memory</t>
        </is>
      </c>
      <c r="E1028" s="48" t="inlineStr">
        <is>
          <t>Pheme Echo 32GB DDR5 RAM Kit</t>
        </is>
      </c>
      <c r="F1028" s="49" t="n">
        <v>160.99</v>
      </c>
      <c r="G1028" s="47" t="inlineStr">
        <is>
          <t>the Echo; Pheme Echo; Phmee Echo; Echo memory</t>
        </is>
      </c>
      <c r="H1028" s="47" t="inlineStr">
        <is>
          <t>Limited lifetime</t>
        </is>
      </c>
      <c r="I1028" s="47" t="inlineStr">
        <is>
          <t>FCC, CE, RoHS</t>
        </is>
      </c>
      <c r="J1028" s="47" t="inlineStr">
        <is>
          <t>N/A</t>
        </is>
      </c>
      <c r="K1028" s="47" t="inlineStr">
        <is>
          <t>N/A</t>
        </is>
      </c>
      <c r="L1028" s="47" t="inlineStr">
        <is>
          <t>N/A</t>
        </is>
      </c>
      <c r="M1028" s="47" t="inlineStr">
        <is>
          <t>N/A</t>
        </is>
      </c>
      <c r="N1028" s="47" t="inlineStr">
        <is>
          <t>2x 16GB DDR5 288-pin DIMM, 6000 MT/s</t>
        </is>
      </c>
      <c r="O1028" s="47" t="inlineStr">
        <is>
          <t>N/A</t>
        </is>
      </c>
      <c r="P1028" s="47" t="inlineStr">
        <is>
          <t>N/A</t>
        </is>
      </c>
      <c r="Q1028" s="50" t="n">
        <v>70</v>
      </c>
      <c r="R1028" s="47" t="inlineStr">
        <is>
          <t>Lighter than Psyche Crest Pro 32GB DDR5 RAM Kit [PSY-144-04] (70 g vs 84 g); Lower price than Zelus Spark Ultra 32GB DDR5 RAM Kit [ZEL-137-05] ($160.99 vs $177.99)</t>
        </is>
      </c>
      <c r="S1028" s="47" t="inlineStr">
        <is>
          <t>gaming, multitasking, PC building</t>
        </is>
      </c>
      <c r="T1028" s="0" t="inlineStr">
        <is>
          <t>in_stock</t>
        </is>
      </c>
      <c r="U1028" s="0" t="n">
        <v>30</v>
      </c>
      <c r="V1028" s="52" t="n">
        <v>177.99</v>
      </c>
      <c r="W1028" s="0" t="inlineStr">
        <is>
          <t>2026-08-21</t>
        </is>
      </c>
      <c r="X1028" s="0" t="inlineStr">
        <is>
          <t>N/A</t>
        </is>
      </c>
      <c r="Y1028" s="0" t="inlineStr">
        <is>
          <t>N/A</t>
        </is>
      </c>
      <c r="Z1028" s="0" t="inlineStr">
        <is>
          <t>N/A</t>
        </is>
      </c>
      <c r="AA1028" s="0" t="inlineStr">
        <is>
          <t>N/A</t>
        </is>
      </c>
    </row>
    <row r="1029" ht="15.75" customHeight="1" s="51">
      <c r="A1029" s="47" t="inlineStr">
        <is>
          <t>PHE-102-07</t>
        </is>
      </c>
      <c r="B1029" s="47" t="inlineStr">
        <is>
          <t>Pheme</t>
        </is>
      </c>
      <c r="C1029" s="47" t="inlineStr">
        <is>
          <t>Computer Hardware</t>
        </is>
      </c>
      <c r="D1029" s="47" t="inlineStr">
        <is>
          <t>Docking Station</t>
        </is>
      </c>
      <c r="E1029" s="48" t="inlineStr">
        <is>
          <t>Pheme Sable Lite USB-C Docking Station</t>
        </is>
      </c>
      <c r="F1029" s="49" t="n">
        <v>181.99</v>
      </c>
      <c r="G1029" s="47" t="inlineStr">
        <is>
          <t>the Sable Lite; Pheme Sable Lite; Phheme Sable Lite; Sable Lite docking station</t>
        </is>
      </c>
      <c r="H1029" s="47" t="inlineStr">
        <is>
          <t>2 year limited</t>
        </is>
      </c>
      <c r="I1029" s="47" t="inlineStr">
        <is>
          <t>FCC, CE, RoHS, USB-IF Certified, UL Listed</t>
        </is>
      </c>
      <c r="J1029" s="47" t="inlineStr">
        <is>
          <t>N/A</t>
        </is>
      </c>
      <c r="K1029" s="47" t="inlineStr">
        <is>
          <t>N/A</t>
        </is>
      </c>
      <c r="L1029" s="47" t="inlineStr">
        <is>
          <t>N/A</t>
        </is>
      </c>
      <c r="M1029" s="47" t="inlineStr">
        <is>
          <t>N/A</t>
        </is>
      </c>
      <c r="N1029" s="47" t="inlineStr">
        <is>
          <t>2x HDMI 2.0, 1x DisplayPort 1.4, 3x USB-A 3.2, 2x USB-C, 2.5GbE, SD card, 100W PD</t>
        </is>
      </c>
      <c r="O1029" s="47" t="inlineStr">
        <is>
          <t>N/A</t>
        </is>
      </c>
      <c r="P1029" s="47" t="inlineStr">
        <is>
          <t>N/A</t>
        </is>
      </c>
      <c r="Q1029" s="50" t="n">
        <v>456</v>
      </c>
      <c r="R1029" s="47" t="inlineStr">
        <is>
          <t>Lower price than Apate Aria USB-C Docking Station [APA-110-07] ($181.99 vs $269.99); Lighter than Eros Blaze X USB-C Docking Station [ERO-134-06] (456 g vs 466 g)</t>
        </is>
      </c>
      <c r="S1029" s="47" t="inlineStr">
        <is>
          <t>office, remote work, multi-monitor</t>
        </is>
      </c>
      <c r="T1029" s="0" t="inlineStr">
        <is>
          <t>in_stock</t>
        </is>
      </c>
      <c r="U1029" s="0" t="n">
        <v>30</v>
      </c>
      <c r="V1029" s="52" t="n">
        <v>201.99</v>
      </c>
      <c r="W1029" s="0" t="inlineStr">
        <is>
          <t>2026-09-22</t>
        </is>
      </c>
      <c r="X1029" s="0" t="inlineStr">
        <is>
          <t>N/A</t>
        </is>
      </c>
      <c r="Y1029" s="0" t="inlineStr">
        <is>
          <t>N/A</t>
        </is>
      </c>
      <c r="Z1029" s="0" t="inlineStr">
        <is>
          <t>N/A</t>
        </is>
      </c>
      <c r="AA1029" s="0" t="inlineStr">
        <is>
          <t>N/A</t>
        </is>
      </c>
    </row>
    <row r="1030" ht="15.75" customHeight="1" s="51">
      <c r="A1030" s="47" t="inlineStr">
        <is>
          <t>PHE-102-08</t>
        </is>
      </c>
      <c r="B1030" s="47" t="inlineStr">
        <is>
          <t>Pheme</t>
        </is>
      </c>
      <c r="C1030" s="47" t="inlineStr">
        <is>
          <t>Computer Hardware</t>
        </is>
      </c>
      <c r="D1030" s="47" t="inlineStr">
        <is>
          <t>Storage</t>
        </is>
      </c>
      <c r="E1030" s="48" t="inlineStr">
        <is>
          <t>Pheme Flux Air 2TB NVMe SSD</t>
        </is>
      </c>
      <c r="F1030" s="49" t="n">
        <v>296.99</v>
      </c>
      <c r="G1030" s="47" t="inlineStr">
        <is>
          <t>the Flux Air; Pheme Flux Air; Phheme Flux Air; Flux Air storage</t>
        </is>
      </c>
      <c r="H1030" s="47" t="inlineStr">
        <is>
          <t>5 year limited</t>
        </is>
      </c>
      <c r="I1030" s="47" t="inlineStr">
        <is>
          <t>FCC, CE, RoHS</t>
        </is>
      </c>
      <c r="J1030" s="47" t="inlineStr">
        <is>
          <t>Controller: Phison E26</t>
        </is>
      </c>
      <c r="K1030" s="47" t="inlineStr">
        <is>
          <t>N/A</t>
        </is>
      </c>
      <c r="L1030" s="47" t="inlineStr">
        <is>
          <t>N/A</t>
        </is>
      </c>
      <c r="M1030" s="47" t="inlineStr">
        <is>
          <t>N/A</t>
        </is>
      </c>
      <c r="N1030" s="47" t="inlineStr">
        <is>
          <t>M.2 2280, PCIe 5.0 x4 NVMe</t>
        </is>
      </c>
      <c r="O1030" s="47" t="inlineStr">
        <is>
          <t>N/A</t>
        </is>
      </c>
      <c r="P1030" s="47" t="inlineStr">
        <is>
          <t>N/A</t>
        </is>
      </c>
      <c r="Q1030" s="50" t="n">
        <v>13</v>
      </c>
      <c r="R1030" s="47" t="inlineStr">
        <is>
          <t>Lighter than Kairos Apex SE 2TB NVMe SSD [KAI-142-07] (13 g vs 25 g)</t>
        </is>
      </c>
      <c r="S1030" s="47" t="inlineStr">
        <is>
          <t>gaming, fast boot, content creation</t>
        </is>
      </c>
      <c r="T1030" s="0" t="inlineStr">
        <is>
          <t>in_stock</t>
        </is>
      </c>
      <c r="U1030" s="0" t="n">
        <v>30</v>
      </c>
      <c r="V1030" s="52" t="n">
        <v>324.99</v>
      </c>
      <c r="W1030" s="0" t="inlineStr">
        <is>
          <t>2026-08-18</t>
        </is>
      </c>
      <c r="X1030" s="0" t="inlineStr">
        <is>
          <t>N/A</t>
        </is>
      </c>
      <c r="Y1030" s="0" t="inlineStr">
        <is>
          <t>N/A</t>
        </is>
      </c>
      <c r="Z1030" s="0" t="inlineStr">
        <is>
          <t>N/A</t>
        </is>
      </c>
      <c r="AA1030" s="0" t="inlineStr">
        <is>
          <t>N/A</t>
        </is>
      </c>
    </row>
    <row r="1031" ht="15.75" customHeight="1" s="51">
      <c r="A1031" s="47" t="inlineStr">
        <is>
          <t>PHE-102-09</t>
        </is>
      </c>
      <c r="B1031" s="47" t="inlineStr">
        <is>
          <t>Pheme</t>
        </is>
      </c>
      <c r="C1031" s="47" t="inlineStr">
        <is>
          <t>Computer Hardware</t>
        </is>
      </c>
      <c r="D1031" s="47" t="inlineStr">
        <is>
          <t>Motherboard</t>
        </is>
      </c>
      <c r="E1031" s="48" t="inlineStr">
        <is>
          <t>Pheme Axis Lite ATX Motherboard</t>
        </is>
      </c>
      <c r="F1031" s="49" t="n">
        <v>322.99</v>
      </c>
      <c r="G1031" s="47" t="inlineStr">
        <is>
          <t>the Axis Lite; Pheme Axis Lite; Pehme Axis Lite; Axis Lite motherboard</t>
        </is>
      </c>
      <c r="H1031" s="47" t="inlineStr">
        <is>
          <t>3 year limited</t>
        </is>
      </c>
      <c r="I1031" s="47" t="inlineStr">
        <is>
          <t>FCC, CE, RoHS</t>
        </is>
      </c>
      <c r="J1031" s="47" t="inlineStr">
        <is>
          <t>Supports AMD Ryzen 7000/8000/9000 (Socket AM5)</t>
        </is>
      </c>
      <c r="K1031" s="47" t="inlineStr">
        <is>
          <t>N/A</t>
        </is>
      </c>
      <c r="L1031" s="47" t="inlineStr">
        <is>
          <t>N/A</t>
        </is>
      </c>
      <c r="M1031" s="47" t="inlineStr">
        <is>
          <t>N/A</t>
        </is>
      </c>
      <c r="N1031" s="47" t="inlineStr">
        <is>
          <t>Rear I/O: 1x HDMI, 1x DisplayPort, 8x USB-A, 2x USB-C 20Gbps, 2.5GbE, Wi-Fi 7</t>
        </is>
      </c>
      <c r="O1031" s="47" t="inlineStr">
        <is>
          <t>N/A</t>
        </is>
      </c>
      <c r="P1031" s="47" t="inlineStr">
        <is>
          <t>N/A</t>
        </is>
      </c>
      <c r="Q1031" s="50" t="n">
        <v>1785</v>
      </c>
      <c r="R1031" s="47" t="inlineStr">
        <is>
          <t>Lower price than Phoebe Nova X ATX Motherboard [PHO-143-08] ($322.99 vs $337.99)</t>
        </is>
      </c>
      <c r="S1031" s="47" t="inlineStr">
        <is>
          <t>PC building, gaming, workstation builds</t>
        </is>
      </c>
      <c r="T1031" s="0" t="inlineStr">
        <is>
          <t>in_stock</t>
        </is>
      </c>
      <c r="U1031" s="0" t="n">
        <v>30</v>
      </c>
      <c r="V1031" s="52" t="n">
        <v>341.99</v>
      </c>
      <c r="W1031" s="0" t="inlineStr">
        <is>
          <t>2026-09-03</t>
        </is>
      </c>
      <c r="X1031" s="0" t="inlineStr">
        <is>
          <t>N/A</t>
        </is>
      </c>
      <c r="Y1031" s="0" t="inlineStr">
        <is>
          <t>N/A</t>
        </is>
      </c>
      <c r="Z1031" s="0" t="inlineStr">
        <is>
          <t>N/A</t>
        </is>
      </c>
      <c r="AA1031" s="0" t="inlineStr">
        <is>
          <t>N/A</t>
        </is>
      </c>
    </row>
    <row r="1032" ht="15.75" customHeight="1" s="51">
      <c r="A1032" s="47" t="inlineStr">
        <is>
          <t>PHE-102-10</t>
        </is>
      </c>
      <c r="B1032" s="47" t="inlineStr">
        <is>
          <t>Pheme</t>
        </is>
      </c>
      <c r="C1032" s="47" t="inlineStr">
        <is>
          <t>Computer Hardware</t>
        </is>
      </c>
      <c r="D1032" s="47" t="inlineStr">
        <is>
          <t>Graphics Card</t>
        </is>
      </c>
      <c r="E1032" s="48" t="inlineStr">
        <is>
          <t>Pheme Wave Ultra Graphics Card</t>
        </is>
      </c>
      <c r="F1032" s="49" t="n">
        <v>880.99</v>
      </c>
      <c r="G1032" s="47" t="inlineStr">
        <is>
          <t>the Wave Ultra; Pheme Wave Ultra; Pheeme Wave Ultra; Wave Ultra graphics card</t>
        </is>
      </c>
      <c r="H1032" s="47" t="inlineStr">
        <is>
          <t>3 year limited</t>
        </is>
      </c>
      <c r="I1032" s="47" t="inlineStr">
        <is>
          <t>FCC, CE, RoHS</t>
        </is>
      </c>
      <c r="J1032" s="47" t="inlineStr">
        <is>
          <t>N/A</t>
        </is>
      </c>
      <c r="K1032" s="47" t="inlineStr">
        <is>
          <t>NVIDIA GeForce RTX 4080 Super 16GB (Pheme Wave edition)</t>
        </is>
      </c>
      <c r="L1032" s="47" t="inlineStr">
        <is>
          <t>N/A</t>
        </is>
      </c>
      <c r="M1032" s="47" t="inlineStr">
        <is>
          <t>N/A</t>
        </is>
      </c>
      <c r="N1032" s="47" t="inlineStr">
        <is>
          <t>3x DisplayPort 1.4a, 1x HDMI 2.1a</t>
        </is>
      </c>
      <c r="O1032" s="47" t="inlineStr">
        <is>
          <t>N/A</t>
        </is>
      </c>
      <c r="P1032" s="47" t="inlineStr">
        <is>
          <t>N/A</t>
        </is>
      </c>
      <c r="Q1032" s="50" t="n">
        <v>1784</v>
      </c>
      <c r="R1032" s="47" t="inlineStr">
        <is>
          <t>Lighter than Nike Arc Lite Graphics Card [NIK-132-10] (1,784 g vs 2,071 g); Lower price than Euterpe Volt Ultra Graphics Card [EUT-120-10] ($880.99 vs $921.99)</t>
        </is>
      </c>
      <c r="S1032" s="47" t="inlineStr">
        <is>
          <t>gaming, 3D rendering, AI workloads</t>
        </is>
      </c>
      <c r="T1032" s="0" t="inlineStr">
        <is>
          <t>out_of_stock</t>
        </is>
      </c>
      <c r="U1032" s="0" t="n">
        <v>30</v>
      </c>
      <c r="V1032" s="52" t="n">
        <v>953.99</v>
      </c>
      <c r="W1032" s="0" t="inlineStr">
        <is>
          <t>2026-09-04</t>
        </is>
      </c>
      <c r="X1032" s="0" t="inlineStr">
        <is>
          <t>N/A</t>
        </is>
      </c>
      <c r="Y1032" s="0" t="inlineStr">
        <is>
          <t>N/A</t>
        </is>
      </c>
      <c r="Z1032" s="0" t="inlineStr">
        <is>
          <t>N/A</t>
        </is>
      </c>
      <c r="AA1032" s="0" t="inlineStr">
        <is>
          <t>N/A</t>
        </is>
      </c>
    </row>
    <row r="1033" ht="15.75" customHeight="1" s="51">
      <c r="A1033" s="47" t="inlineStr">
        <is>
          <t>HER-103-01</t>
        </is>
      </c>
      <c r="B1033" s="47" t="inlineStr">
        <is>
          <t>Hermes</t>
        </is>
      </c>
      <c r="C1033" s="47" t="inlineStr">
        <is>
          <t>Computer Hardware</t>
        </is>
      </c>
      <c r="D1033" s="47" t="inlineStr">
        <is>
          <t>Mouse</t>
        </is>
      </c>
      <c r="E1033" s="48" t="inlineStr">
        <is>
          <t>Hermes Wave Gaming Mouse</t>
        </is>
      </c>
      <c r="F1033" s="49" t="n">
        <v>50.99</v>
      </c>
      <c r="G1033" s="47" t="inlineStr">
        <is>
          <t>the Wave; Hermes Wave; Hemres Wave; Wave mouse</t>
        </is>
      </c>
      <c r="H1033" s="47" t="inlineStr">
        <is>
          <t>2 year limited</t>
        </is>
      </c>
      <c r="I1033" s="47" t="inlineStr">
        <is>
          <t>FCC, CE, RoHS</t>
        </is>
      </c>
      <c r="J1033" s="47" t="inlineStr">
        <is>
          <t>Sensor: 12K DPI optical</t>
        </is>
      </c>
      <c r="K1033" s="47" t="inlineStr">
        <is>
          <t>N/A</t>
        </is>
      </c>
      <c r="L1033" s="47" t="inlineStr">
        <is>
          <t>N/A</t>
        </is>
      </c>
      <c r="M1033" s="47" t="inlineStr">
        <is>
          <t>N/A</t>
        </is>
      </c>
      <c r="N1033" s="47" t="inlineStr">
        <is>
          <t>USB-C wired</t>
        </is>
      </c>
      <c r="O1033" s="47" t="inlineStr">
        <is>
          <t>N/A</t>
        </is>
      </c>
      <c r="P1033" s="47" t="inlineStr">
        <is>
          <t>N/A</t>
        </is>
      </c>
      <c r="Q1033" s="50" t="n">
        <v>85</v>
      </c>
      <c r="R1033" s="47" t="inlineStr">
        <is>
          <t>Lower price than Thalassa Crest Max Gaming Mouse [THA-126-02] ($50.99 vs $71.99); Lighter than Pheme Zen X Gaming Mouse [PHE-102-01] (85 g vs 91 g)</t>
        </is>
      </c>
      <c r="S1033" s="47" t="inlineStr">
        <is>
          <t>gaming, esports</t>
        </is>
      </c>
      <c r="T1033" s="0" t="inlineStr">
        <is>
          <t>out_of_stock</t>
        </is>
      </c>
      <c r="U1033" s="0" t="n">
        <v>60</v>
      </c>
      <c r="V1033" s="52" t="n">
        <v>57.99</v>
      </c>
      <c r="W1033" s="0" t="inlineStr">
        <is>
          <t>2026-09-10</t>
        </is>
      </c>
      <c r="X1033" s="0" t="inlineStr">
        <is>
          <t>N/A</t>
        </is>
      </c>
      <c r="Y1033" s="0" t="inlineStr">
        <is>
          <t>N/A</t>
        </is>
      </c>
      <c r="Z1033" s="0" t="inlineStr">
        <is>
          <t>N/A</t>
        </is>
      </c>
      <c r="AA1033" s="0" t="inlineStr">
        <is>
          <t>N/A</t>
        </is>
      </c>
    </row>
    <row r="1034" ht="15.75" customHeight="1" s="51">
      <c r="A1034" s="47" t="inlineStr">
        <is>
          <t>HER-103-02</t>
        </is>
      </c>
      <c r="B1034" s="47" t="inlineStr">
        <is>
          <t>Hermes</t>
        </is>
      </c>
      <c r="C1034" s="47" t="inlineStr">
        <is>
          <t>Computer Hardware</t>
        </is>
      </c>
      <c r="D1034" s="47" t="inlineStr">
        <is>
          <t>Case Fans</t>
        </is>
      </c>
      <c r="E1034" s="48" t="inlineStr">
        <is>
          <t>Hermes Arc X RGB Case Fan 3-Pack</t>
        </is>
      </c>
      <c r="F1034" s="49" t="n">
        <v>73.98999999999999</v>
      </c>
      <c r="G1034" s="47" t="inlineStr">
        <is>
          <t>the Arc X; Hermes Arc X; Hemres Arc X; Arc X case fans</t>
        </is>
      </c>
      <c r="H1034" s="47" t="inlineStr">
        <is>
          <t>2 year limited</t>
        </is>
      </c>
      <c r="I1034" s="47" t="inlineStr">
        <is>
          <t>FCC, CE, RoHS</t>
        </is>
      </c>
      <c r="J1034" s="47" t="inlineStr">
        <is>
          <t>N/A</t>
        </is>
      </c>
      <c r="K1034" s="47" t="inlineStr">
        <is>
          <t>N/A</t>
        </is>
      </c>
      <c r="L1034" s="47" t="inlineStr">
        <is>
          <t>N/A</t>
        </is>
      </c>
      <c r="M1034" s="47" t="inlineStr">
        <is>
          <t>N/A</t>
        </is>
      </c>
      <c r="N1034" s="47" t="inlineStr">
        <is>
          <t>4-pin PWM, 3-pin 5V ARGB, daisy-chain connectors</t>
        </is>
      </c>
      <c r="O1034" s="47" t="inlineStr">
        <is>
          <t>N/A</t>
        </is>
      </c>
      <c r="P1034" s="47" t="inlineStr">
        <is>
          <t>N/A</t>
        </is>
      </c>
      <c r="Q1034" s="50" t="n">
        <v>405</v>
      </c>
      <c r="R1034" s="47" t="inlineStr">
        <is>
          <t>Lower price than Bia Volt Lite RGB Case Fan 3-Pack [BIA-107-01] ($73.99 vs $76.99); Lighter than Geras Flux RGB Case Fan 3-Pack [GER-133-01] (405 g vs 517 g)</t>
        </is>
      </c>
      <c r="S1034" s="47" t="inlineStr">
        <is>
          <t>PC building, cooling, RGB builds</t>
        </is>
      </c>
      <c r="T1034" s="0" t="inlineStr">
        <is>
          <t>in_stock</t>
        </is>
      </c>
      <c r="U1034" s="0" t="n">
        <v>60</v>
      </c>
      <c r="V1034" s="52" t="n">
        <v>80.98999999999999</v>
      </c>
      <c r="W1034" s="0" t="inlineStr">
        <is>
          <t>2026-08-18</t>
        </is>
      </c>
      <c r="X1034" s="0" t="inlineStr">
        <is>
          <t>N/A</t>
        </is>
      </c>
      <c r="Y1034" s="0" t="inlineStr">
        <is>
          <t>N/A</t>
        </is>
      </c>
      <c r="Z1034" s="0" t="inlineStr">
        <is>
          <t>N/A</t>
        </is>
      </c>
      <c r="AA1034" s="0" t="inlineStr">
        <is>
          <t>N/A</t>
        </is>
      </c>
    </row>
    <row r="1035" ht="15.75" customHeight="1" s="51">
      <c r="A1035" s="47" t="inlineStr">
        <is>
          <t>HER-103-03</t>
        </is>
      </c>
      <c r="B1035" s="47" t="inlineStr">
        <is>
          <t>Hermes</t>
        </is>
      </c>
      <c r="C1035" s="47" t="inlineStr">
        <is>
          <t>Computer Hardware</t>
        </is>
      </c>
      <c r="D1035" s="47" t="inlineStr">
        <is>
          <t>Networking</t>
        </is>
      </c>
      <c r="E1035" s="48" t="inlineStr">
        <is>
          <t>Hermes Vibe Lite Wi-Fi 7 PCIe Card</t>
        </is>
      </c>
      <c r="F1035" s="49" t="n">
        <v>79.98999999999999</v>
      </c>
      <c r="G1035" s="47" t="inlineStr">
        <is>
          <t>the Vibe Lite; Hermes Vibe Lite; Hermess Vibe Lite; Vibe Lite networking</t>
        </is>
      </c>
      <c r="H1035" s="47" t="inlineStr">
        <is>
          <t>2 year limited</t>
        </is>
      </c>
      <c r="I1035" s="47" t="inlineStr">
        <is>
          <t>FCC, CE, RoHS, Wi-Fi CERTIFIED 7, Bluetooth SIG Qualified</t>
        </is>
      </c>
      <c r="J1035" s="47" t="inlineStr">
        <is>
          <t>Chipset: MediaTek MT7927</t>
        </is>
      </c>
      <c r="K1035" s="47" t="inlineStr">
        <is>
          <t>N/A</t>
        </is>
      </c>
      <c r="L1035" s="47" t="inlineStr">
        <is>
          <t>N/A</t>
        </is>
      </c>
      <c r="M1035" s="47" t="inlineStr">
        <is>
          <t>N/A</t>
        </is>
      </c>
      <c r="N1035" s="47" t="inlineStr">
        <is>
          <t>PCIe x1, internal USB 2.0 header (Bluetooth 5.4), 2x external antennas</t>
        </is>
      </c>
      <c r="O1035" s="47" t="inlineStr">
        <is>
          <t>N/A</t>
        </is>
      </c>
      <c r="P1035" s="47" t="inlineStr">
        <is>
          <t>N/A</t>
        </is>
      </c>
      <c r="Q1035" s="50" t="n">
        <v>86</v>
      </c>
      <c r="R1035" s="47" t="inlineStr">
        <is>
          <t>Lighter than Eirene Drift SE Wi-Fi 7 PCIe Card [EIR-112-01] (86 g vs 109 g); Lower price than Thalassa Volt Lite Wi-Fi 7 PCIe Card [THA-126-03] ($79.99 vs $125.99)</t>
        </is>
      </c>
      <c r="S1035" s="47" t="inlineStr">
        <is>
          <t>gaming, streaming, PC building</t>
        </is>
      </c>
      <c r="T1035" s="0" t="inlineStr">
        <is>
          <t>low_stock</t>
        </is>
      </c>
      <c r="U1035" s="0" t="n">
        <v>60</v>
      </c>
      <c r="V1035" s="52" t="n">
        <v>90.98999999999999</v>
      </c>
      <c r="W1035" s="0" t="inlineStr">
        <is>
          <t>2026-08-14</t>
        </is>
      </c>
      <c r="X1035" s="0" t="inlineStr">
        <is>
          <t>N/A</t>
        </is>
      </c>
      <c r="Y1035" s="0" t="inlineStr">
        <is>
          <t>N/A</t>
        </is>
      </c>
      <c r="Z1035" s="0" t="inlineStr">
        <is>
          <t>N/A</t>
        </is>
      </c>
      <c r="AA1035" s="0" t="inlineStr">
        <is>
          <t>N/A</t>
        </is>
      </c>
    </row>
    <row r="1036" ht="15.75" customHeight="1" s="51">
      <c r="A1036" s="47" t="inlineStr">
        <is>
          <t>HER-103-04</t>
        </is>
      </c>
      <c r="B1036" s="47" t="inlineStr">
        <is>
          <t>Hermes</t>
        </is>
      </c>
      <c r="C1036" s="47" t="inlineStr">
        <is>
          <t>Computer Hardware</t>
        </is>
      </c>
      <c r="D1036" s="47" t="inlineStr">
        <is>
          <t>Docking Station</t>
        </is>
      </c>
      <c r="E1036" s="48" t="inlineStr">
        <is>
          <t>Hermes Wave X USB-C Docking Station</t>
        </is>
      </c>
      <c r="F1036" s="49" t="n">
        <v>94.98999999999999</v>
      </c>
      <c r="G1036" s="47" t="inlineStr">
        <is>
          <t>the Wave X; Hermes Wave X; Hermess Wave X; Wave X docking station</t>
        </is>
      </c>
      <c r="H1036" s="47" t="inlineStr">
        <is>
          <t>2 year limited</t>
        </is>
      </c>
      <c r="I1036" s="47" t="inlineStr">
        <is>
          <t>FCC, CE, RoHS, USB-IF Certified, UL Listed</t>
        </is>
      </c>
      <c r="J1036" s="47" t="inlineStr">
        <is>
          <t>N/A</t>
        </is>
      </c>
      <c r="K1036" s="47" t="inlineStr">
        <is>
          <t>N/A</t>
        </is>
      </c>
      <c r="L1036" s="47" t="inlineStr">
        <is>
          <t>N/A</t>
        </is>
      </c>
      <c r="M1036" s="47" t="inlineStr">
        <is>
          <t>N/A</t>
        </is>
      </c>
      <c r="N1036" s="47" t="inlineStr">
        <is>
          <t>1x HDMI 2.0, 2x USB-A, 1x USB-C, SD card, 100W PD pass-through</t>
        </is>
      </c>
      <c r="O1036" s="47" t="inlineStr">
        <is>
          <t>N/A</t>
        </is>
      </c>
      <c r="P1036" s="47" t="inlineStr">
        <is>
          <t>N/A</t>
        </is>
      </c>
      <c r="Q1036" s="50" t="n">
        <v>399</v>
      </c>
      <c r="R1036" s="47" t="inlineStr">
        <is>
          <t>Lower price than Hymenaeus Sable X USB-C Docking Station [HYM-121-06] ($94.99 vs $325.99); Lighter than Pheme Sable Lite USB-C Docking Station [PHE-102-07] (399 g vs 456 g)</t>
        </is>
      </c>
      <c r="S1036" s="47" t="inlineStr">
        <is>
          <t>office, remote work, multi-monitor</t>
        </is>
      </c>
      <c r="T1036" s="0" t="inlineStr">
        <is>
          <t>in_stock</t>
        </is>
      </c>
      <c r="U1036" s="0" t="n">
        <v>60</v>
      </c>
      <c r="V1036" s="52" t="n">
        <v>105.99</v>
      </c>
      <c r="W1036" s="0" t="inlineStr">
        <is>
          <t>2026-08-15</t>
        </is>
      </c>
      <c r="X1036" s="0" t="inlineStr">
        <is>
          <t>N/A</t>
        </is>
      </c>
      <c r="Y1036" s="0" t="inlineStr">
        <is>
          <t>N/A</t>
        </is>
      </c>
      <c r="Z1036" s="0" t="inlineStr">
        <is>
          <t>N/A</t>
        </is>
      </c>
      <c r="AA1036" s="0" t="inlineStr">
        <is>
          <t>N/A</t>
        </is>
      </c>
    </row>
    <row r="1037" ht="15.75" customHeight="1" s="51">
      <c r="A1037" s="47" t="inlineStr">
        <is>
          <t>HER-103-05</t>
        </is>
      </c>
      <c r="B1037" s="47" t="inlineStr">
        <is>
          <t>Hermes</t>
        </is>
      </c>
      <c r="C1037" s="47" t="inlineStr">
        <is>
          <t>Computer Hardware</t>
        </is>
      </c>
      <c r="D1037" s="47" t="inlineStr">
        <is>
          <t>PC Case</t>
        </is>
      </c>
      <c r="E1037" s="48" t="inlineStr">
        <is>
          <t>Hermes Blaze Max Mid-Tower PC Case</t>
        </is>
      </c>
      <c r="F1037" s="49" t="n">
        <v>136.99</v>
      </c>
      <c r="G1037" s="47" t="inlineStr">
        <is>
          <t>the Blaze Max; Hermes Blaze Max; Herems Blaze Max; Blaze Max pc case</t>
        </is>
      </c>
      <c r="H1037" s="47" t="inlineStr">
        <is>
          <t>2 year limited</t>
        </is>
      </c>
      <c r="I1037" s="47" t="inlineStr">
        <is>
          <t>FCC, CE, RoHS, UL 94 V-0 (materials)</t>
        </is>
      </c>
      <c r="J1037" s="47" t="inlineStr">
        <is>
          <t>N/A</t>
        </is>
      </c>
      <c r="K1037" s="47" t="inlineStr">
        <is>
          <t>N/A</t>
        </is>
      </c>
      <c r="L1037" s="47" t="inlineStr">
        <is>
          <t>N/A</t>
        </is>
      </c>
      <c r="M1037" s="47" t="inlineStr">
        <is>
          <t>N/A</t>
        </is>
      </c>
      <c r="N1037" s="47" t="inlineStr">
        <is>
          <t>Front I/O: 1x USB-C 10Gbps, 2x USB-A 3.0, 3.5mm combo audio</t>
        </is>
      </c>
      <c r="O1037" s="47" t="inlineStr">
        <is>
          <t>N/A</t>
        </is>
      </c>
      <c r="P1037" s="47" t="inlineStr">
        <is>
          <t>N/A</t>
        </is>
      </c>
      <c r="Q1037" s="50" t="n">
        <v>9367</v>
      </c>
      <c r="R1037" s="47" t="inlineStr">
        <is>
          <t>Lower price than Harmonia Pulse SE Mid-Tower PC Case [HAR-106-04] ($136.99 vs $150.99)</t>
        </is>
      </c>
      <c r="S1037" s="47" t="inlineStr">
        <is>
          <t>PC building, gaming</t>
        </is>
      </c>
      <c r="T1037" s="0" t="inlineStr">
        <is>
          <t>low_stock</t>
        </is>
      </c>
      <c r="U1037" s="0" t="n">
        <v>60</v>
      </c>
      <c r="V1037" s="52" t="n">
        <v>148.99</v>
      </c>
      <c r="W1037" s="0" t="inlineStr">
        <is>
          <t>2026-09-10</t>
        </is>
      </c>
      <c r="X1037" s="0" t="inlineStr">
        <is>
          <t>N/A</t>
        </is>
      </c>
      <c r="Y1037" s="0" t="inlineStr">
        <is>
          <t>N/A</t>
        </is>
      </c>
      <c r="Z1037" s="0" t="inlineStr">
        <is>
          <t>N/A</t>
        </is>
      </c>
      <c r="AA1037" s="0" t="inlineStr">
        <is>
          <t>N/A</t>
        </is>
      </c>
    </row>
    <row r="1038" ht="15.75" customHeight="1" s="51">
      <c r="A1038" s="47" t="inlineStr">
        <is>
          <t>HER-103-06</t>
        </is>
      </c>
      <c r="B1038" s="47" t="inlineStr">
        <is>
          <t>Hermes</t>
        </is>
      </c>
      <c r="C1038" s="47" t="inlineStr">
        <is>
          <t>Computer Hardware</t>
        </is>
      </c>
      <c r="D1038" s="47" t="inlineStr">
        <is>
          <t>Power Supply</t>
        </is>
      </c>
      <c r="E1038" s="48" t="inlineStr">
        <is>
          <t>Hermes Wave Air 850W Power Supply</t>
        </is>
      </c>
      <c r="F1038" s="49" t="n">
        <v>169.99</v>
      </c>
      <c r="G1038" s="47" t="inlineStr">
        <is>
          <t>the Wave Air; Hermes Wave Air; Hemres Wave Air; Wave Air power supply</t>
        </is>
      </c>
      <c r="H1038" s="47" t="inlineStr">
        <is>
          <t>10 year limited</t>
        </is>
      </c>
      <c r="I1038" s="47" t="inlineStr">
        <is>
          <t>FCC, CE, RoHS, 80 PLUS Platinum, UL Listed</t>
        </is>
      </c>
      <c r="J1038" s="47" t="inlineStr">
        <is>
          <t>N/A</t>
        </is>
      </c>
      <c r="K1038" s="47" t="inlineStr">
        <is>
          <t>N/A</t>
        </is>
      </c>
      <c r="L1038" s="47" t="inlineStr">
        <is>
          <t>N/A</t>
        </is>
      </c>
      <c r="M1038" s="47" t="inlineStr">
        <is>
          <t>N/A</t>
        </is>
      </c>
      <c r="N1038" s="47" t="inlineStr">
        <is>
          <t>ATX 3.1, native 12V-2x6 (600W) connector, fully modular</t>
        </is>
      </c>
      <c r="O1038" s="47" t="inlineStr">
        <is>
          <t>N/A</t>
        </is>
      </c>
      <c r="P1038" s="47" t="inlineStr">
        <is>
          <t>N/A</t>
        </is>
      </c>
      <c r="Q1038" s="50" t="n">
        <v>2215</v>
      </c>
      <c r="R1038" s="47" t="inlineStr">
        <is>
          <t>Lighter than Zelus Lumen 850W Power Supply [ZEL-137-06] (2,215 g vs 2,237 g); Lower price than Eurybia Aeon SE 850W Power Supply [EUR-104-06] ($169.99 vs $186.99)</t>
        </is>
      </c>
      <c r="S1038" s="47" t="inlineStr">
        <is>
          <t>PC building, high-end gaming</t>
        </is>
      </c>
      <c r="T1038" s="0" t="inlineStr">
        <is>
          <t>low_stock</t>
        </is>
      </c>
      <c r="U1038" s="0" t="n">
        <v>60</v>
      </c>
      <c r="V1038" s="52" t="n">
        <v>189.99</v>
      </c>
      <c r="W1038" s="0" t="inlineStr">
        <is>
          <t>2026-09-05</t>
        </is>
      </c>
      <c r="X1038" s="0" t="inlineStr">
        <is>
          <t>N/A</t>
        </is>
      </c>
      <c r="Y1038" s="0" t="inlineStr">
        <is>
          <t>N/A</t>
        </is>
      </c>
      <c r="Z1038" s="0" t="inlineStr">
        <is>
          <t>N/A</t>
        </is>
      </c>
      <c r="AA1038" s="0" t="inlineStr">
        <is>
          <t>N/A</t>
        </is>
      </c>
    </row>
    <row r="1039" ht="15.75" customHeight="1" s="51">
      <c r="A1039" s="47" t="inlineStr">
        <is>
          <t>HER-103-07</t>
        </is>
      </c>
      <c r="B1039" s="47" t="inlineStr">
        <is>
          <t>Hermes</t>
        </is>
      </c>
      <c r="C1039" s="47" t="inlineStr">
        <is>
          <t>Computer Hardware</t>
        </is>
      </c>
      <c r="D1039" s="47" t="inlineStr">
        <is>
          <t>Webcam</t>
        </is>
      </c>
      <c r="E1039" s="48" t="inlineStr">
        <is>
          <t>Hermes Lumen SE 4K Webcam</t>
        </is>
      </c>
      <c r="F1039" s="49" t="n">
        <v>227.99</v>
      </c>
      <c r="G1039" s="47" t="inlineStr">
        <is>
          <t>the Lumen SE; Hermes Lumen SE; Hemres Lumen SE; Lumen SE webcam</t>
        </is>
      </c>
      <c r="H1039" s="47" t="inlineStr">
        <is>
          <t>2 year limited</t>
        </is>
      </c>
      <c r="I1039" s="47" t="inlineStr">
        <is>
          <t>FCC, CE, RoHS, USB-IF Certified</t>
        </is>
      </c>
      <c r="J1039" s="47" t="inlineStr">
        <is>
          <t>N/A</t>
        </is>
      </c>
      <c r="K1039" s="47" t="inlineStr">
        <is>
          <t>N/A</t>
        </is>
      </c>
      <c r="L1039" s="47" t="inlineStr">
        <is>
          <t>N/A</t>
        </is>
      </c>
      <c r="M1039" s="47" t="inlineStr">
        <is>
          <t>3840x2160 @ 30fps, 1080p @ 60fps</t>
        </is>
      </c>
      <c r="N1039" s="47" t="inlineStr">
        <is>
          <t>USB-C (USB 3.0)</t>
        </is>
      </c>
      <c r="O1039" s="47" t="inlineStr">
        <is>
          <t>N/A</t>
        </is>
      </c>
      <c r="P1039" s="47" t="inlineStr">
        <is>
          <t>N/A</t>
        </is>
      </c>
      <c r="Q1039" s="50" t="n">
        <v>165</v>
      </c>
      <c r="R1039" s="47" t="inlineStr">
        <is>
          <t>Lighter than Hymenaeus Drift Plus 4K Webcam [HYM-121-03] (165 g vs 172 g)</t>
        </is>
      </c>
      <c r="S1039" s="47" t="inlineStr">
        <is>
          <t>video calls, streaming, remote work</t>
        </is>
      </c>
      <c r="T1039" s="0" t="inlineStr">
        <is>
          <t>in_stock</t>
        </is>
      </c>
      <c r="U1039" s="0" t="n">
        <v>60</v>
      </c>
      <c r="V1039" s="52" t="n">
        <v>252.99</v>
      </c>
      <c r="W1039" s="0" t="inlineStr">
        <is>
          <t>2026-08-02</t>
        </is>
      </c>
      <c r="X1039" s="0" t="inlineStr">
        <is>
          <t>N/A</t>
        </is>
      </c>
      <c r="Y1039" s="0" t="inlineStr">
        <is>
          <t>N/A</t>
        </is>
      </c>
      <c r="Z1039" s="0" t="inlineStr">
        <is>
          <t>N/A</t>
        </is>
      </c>
      <c r="AA1039" s="0" t="inlineStr">
        <is>
          <t>N/A</t>
        </is>
      </c>
    </row>
    <row r="1040" ht="15.75" customHeight="1" s="51">
      <c r="A1040" s="47" t="inlineStr">
        <is>
          <t>HER-103-08</t>
        </is>
      </c>
      <c r="B1040" s="47" t="inlineStr">
        <is>
          <t>Hermes</t>
        </is>
      </c>
      <c r="C1040" s="47" t="inlineStr">
        <is>
          <t>Computer Hardware</t>
        </is>
      </c>
      <c r="D1040" s="47" t="inlineStr">
        <is>
          <t>Motherboard</t>
        </is>
      </c>
      <c r="E1040" s="48" t="inlineStr">
        <is>
          <t>Hermes Rift X ATX Motherboard</t>
        </is>
      </c>
      <c r="F1040" s="49" t="n">
        <v>310.99</v>
      </c>
      <c r="G1040" s="47" t="inlineStr">
        <is>
          <t>the Rift X; Hermes Rift X; Heermes Rift X; Rift X motherboard</t>
        </is>
      </c>
      <c r="H1040" s="47" t="inlineStr">
        <is>
          <t>3 year limited</t>
        </is>
      </c>
      <c r="I1040" s="47" t="inlineStr">
        <is>
          <t>FCC, CE, RoHS</t>
        </is>
      </c>
      <c r="J1040" s="47" t="inlineStr">
        <is>
          <t>Supports Intel Core Ultra 200S (LGA1851)</t>
        </is>
      </c>
      <c r="K1040" s="47" t="inlineStr">
        <is>
          <t>N/A</t>
        </is>
      </c>
      <c r="L1040" s="47" t="inlineStr">
        <is>
          <t>N/A</t>
        </is>
      </c>
      <c r="M1040" s="47" t="inlineStr">
        <is>
          <t>N/A</t>
        </is>
      </c>
      <c r="N1040" s="47" t="inlineStr">
        <is>
          <t>Rear I/O: 1x HDMI, 1x DisplayPort, 8x USB-A, 2x USB-C 20Gbps, 2.5GbE, Wi-Fi 7</t>
        </is>
      </c>
      <c r="O1040" s="47" t="inlineStr">
        <is>
          <t>N/A</t>
        </is>
      </c>
      <c r="P1040" s="47" t="inlineStr">
        <is>
          <t>N/A</t>
        </is>
      </c>
      <c r="Q1040" s="50" t="n">
        <v>1654</v>
      </c>
      <c r="R1040" s="47" t="inlineStr">
        <is>
          <t>Lower price than Themis Nimbus X ATX Motherboard [THE-145-09] ($310.99 vs $374.99); Lighter than Phoebe Nova X ATX Motherboard [PHO-143-08] (1,654 g vs 1,680 g)</t>
        </is>
      </c>
      <c r="S1040" s="47" t="inlineStr">
        <is>
          <t>PC building, gaming, workstation builds</t>
        </is>
      </c>
      <c r="T1040" s="0" t="inlineStr">
        <is>
          <t>in_stock</t>
        </is>
      </c>
      <c r="U1040" s="0" t="n">
        <v>60</v>
      </c>
      <c r="V1040" s="52" t="n">
        <v>347.99</v>
      </c>
      <c r="W1040" s="0" t="inlineStr">
        <is>
          <t>2026-08-12</t>
        </is>
      </c>
      <c r="X1040" s="0" t="inlineStr">
        <is>
          <t>N/A</t>
        </is>
      </c>
      <c r="Y1040" s="0" t="inlineStr">
        <is>
          <t>N/A</t>
        </is>
      </c>
      <c r="Z1040" s="0" t="inlineStr">
        <is>
          <t>N/A</t>
        </is>
      </c>
      <c r="AA1040" s="0" t="inlineStr">
        <is>
          <t>N/A</t>
        </is>
      </c>
    </row>
    <row r="1041" ht="15.75" customHeight="1" s="51">
      <c r="A1041" s="47" t="inlineStr">
        <is>
          <t>HER-103-09</t>
        </is>
      </c>
      <c r="B1041" s="47" t="inlineStr">
        <is>
          <t>Hermes</t>
        </is>
      </c>
      <c r="C1041" s="47" t="inlineStr">
        <is>
          <t>Computer Hardware</t>
        </is>
      </c>
      <c r="D1041" s="47" t="inlineStr">
        <is>
          <t>Processor</t>
        </is>
      </c>
      <c r="E1041" s="48" t="inlineStr">
        <is>
          <t>Hermes Sable Ultra Desktop CPU</t>
        </is>
      </c>
      <c r="F1041" s="49" t="n">
        <v>575.99</v>
      </c>
      <c r="G1041" s="47" t="inlineStr">
        <is>
          <t>the Sable Ultra; Hermes Sable Ultra; Herme Sable Ultra; Sable Ultra processor</t>
        </is>
      </c>
      <c r="H1041" s="47" t="inlineStr">
        <is>
          <t>3 year limited</t>
        </is>
      </c>
      <c r="I1041" s="47" t="inlineStr">
        <is>
          <t>FCC, CE, RoHS</t>
        </is>
      </c>
      <c r="J1041" s="47" t="inlineStr">
        <is>
          <t>Hermes Sable 16-core / 32-thread, up to 5.5 GHz</t>
        </is>
      </c>
      <c r="K1041" s="47" t="inlineStr">
        <is>
          <t>None (discrete GPU required)</t>
        </is>
      </c>
      <c r="L1041" s="47" t="inlineStr">
        <is>
          <t>N/A</t>
        </is>
      </c>
      <c r="M1041" s="47" t="inlineStr">
        <is>
          <t>N/A</t>
        </is>
      </c>
      <c r="N1041" s="47" t="inlineStr">
        <is>
          <t>N/A</t>
        </is>
      </c>
      <c r="O1041" s="47" t="inlineStr">
        <is>
          <t>N/A</t>
        </is>
      </c>
      <c r="P1041" s="47" t="inlineStr">
        <is>
          <t>N/A</t>
        </is>
      </c>
      <c r="Q1041" s="50" t="n">
        <v>48</v>
      </c>
      <c r="R1041" s="47" t="inlineStr">
        <is>
          <t>Lower price than Zelus Lumen Lite Desktop CPU [ZEL-137-09] ($575.99 vs $685.99); Lighter than Phoebe Core Pro Desktop CPU [PHO-143-05] (48 g vs 58 g)</t>
        </is>
      </c>
      <c r="S1041" s="47" t="inlineStr">
        <is>
          <t>gaming, content creation, workstation builds</t>
        </is>
      </c>
      <c r="T1041" s="0" t="inlineStr">
        <is>
          <t>in_stock</t>
        </is>
      </c>
      <c r="U1041" s="0" t="n">
        <v>60</v>
      </c>
      <c r="V1041" s="52" t="n">
        <v>656.99</v>
      </c>
      <c r="W1041" s="0" t="inlineStr">
        <is>
          <t>2026-08-21</t>
        </is>
      </c>
      <c r="X1041" s="0" t="inlineStr">
        <is>
          <t>N/A</t>
        </is>
      </c>
      <c r="Y1041" s="0" t="inlineStr">
        <is>
          <t>N/A</t>
        </is>
      </c>
      <c r="Z1041" s="0" t="inlineStr">
        <is>
          <t>N/A</t>
        </is>
      </c>
      <c r="AA1041" s="0" t="inlineStr">
        <is>
          <t>N/A</t>
        </is>
      </c>
    </row>
    <row r="1042" ht="15.75" customHeight="1" s="51">
      <c r="A1042" s="47" t="inlineStr">
        <is>
          <t>HER-103-10</t>
        </is>
      </c>
      <c r="B1042" s="47" t="inlineStr">
        <is>
          <t>Hermes</t>
        </is>
      </c>
      <c r="C1042" s="47" t="inlineStr">
        <is>
          <t>Computer Hardware</t>
        </is>
      </c>
      <c r="D1042" s="47" t="inlineStr">
        <is>
          <t>Monitor</t>
        </is>
      </c>
      <c r="E1042" s="48" t="inlineStr">
        <is>
          <t>Hermes Wave SE 27" 1440p Monitor</t>
        </is>
      </c>
      <c r="F1042" s="49" t="n">
        <v>615.99</v>
      </c>
      <c r="G1042" s="47" t="inlineStr">
        <is>
          <t>the Wave SE; Hermes Wave SE; Hermmes Wave SE; Wave SE monitor</t>
        </is>
      </c>
      <c r="H1042" s="47" t="inlineStr">
        <is>
          <t>3 year limited</t>
        </is>
      </c>
      <c r="I1042" s="47" t="inlineStr">
        <is>
          <t>FCC, CE, RoHS, Energy Star, TUV Rheinland Low Blue Light, VESA DisplayHDR True Black 400</t>
        </is>
      </c>
      <c r="J1042" s="47" t="inlineStr">
        <is>
          <t>N/A</t>
        </is>
      </c>
      <c r="K1042" s="47" t="inlineStr">
        <is>
          <t>N/A</t>
        </is>
      </c>
      <c r="L1042" s="47" t="inlineStr">
        <is>
          <t>QD-OLED, 360Hz</t>
        </is>
      </c>
      <c r="M1042" s="47" t="inlineStr">
        <is>
          <t>2560x1440</t>
        </is>
      </c>
      <c r="N1042" s="47" t="inlineStr">
        <is>
          <t>2x HDMI 2.1, 1x DisplayPort 1.4, USB-C 90W, USB hub</t>
        </is>
      </c>
      <c r="O1042" s="47" t="inlineStr">
        <is>
          <t>N/A</t>
        </is>
      </c>
      <c r="P1042" s="47" t="inlineStr">
        <is>
          <t>N/A</t>
        </is>
      </c>
      <c r="Q1042" s="50" t="n">
        <v>6844</v>
      </c>
      <c r="R1042" s="47" t="inlineStr">
        <is>
          <t>Lighter than Hyperion Arc Ultra 27" 1440p Monitor [HYP-123-10] (6,844 g vs 6,938 g); Lower price than Crius Vertex X 27" 1440p Monitor [CRI-139-10] ($615.99 vs $623.99)</t>
        </is>
      </c>
      <c r="S1042" s="47" t="inlineStr">
        <is>
          <t>gaming, office, content creation</t>
        </is>
      </c>
      <c r="T1042" s="0" t="inlineStr">
        <is>
          <t>in_stock</t>
        </is>
      </c>
      <c r="U1042" s="0" t="n">
        <v>60</v>
      </c>
      <c r="V1042" s="52" t="n">
        <v>640.99</v>
      </c>
      <c r="W1042" s="0" t="inlineStr">
        <is>
          <t>2026-09-08</t>
        </is>
      </c>
      <c r="X1042" s="0" t="inlineStr">
        <is>
          <t>N/A</t>
        </is>
      </c>
      <c r="Y1042" s="0" t="inlineStr">
        <is>
          <t>N/A</t>
        </is>
      </c>
      <c r="Z1042" s="0" t="inlineStr">
        <is>
          <t>N/A</t>
        </is>
      </c>
      <c r="AA1042" s="0" t="inlineStr">
        <is>
          <t>N/A</t>
        </is>
      </c>
    </row>
    <row r="1043" ht="15.75" customHeight="1" s="51">
      <c r="A1043" s="47" t="inlineStr">
        <is>
          <t>EUR-104-01</t>
        </is>
      </c>
      <c r="B1043" s="47" t="inlineStr">
        <is>
          <t>Eurybia</t>
        </is>
      </c>
      <c r="C1043" s="47" t="inlineStr">
        <is>
          <t>Computer Hardware</t>
        </is>
      </c>
      <c r="D1043" s="47" t="inlineStr">
        <is>
          <t>Case Fans</t>
        </is>
      </c>
      <c r="E1043" s="48" t="inlineStr">
        <is>
          <t>Eurybia Core RGB Case Fan 3-Pack</t>
        </is>
      </c>
      <c r="F1043" s="49" t="n">
        <v>72.98999999999999</v>
      </c>
      <c r="G1043" s="47" t="inlineStr">
        <is>
          <t>the Core; Eurybia Core; Euribia Core; Core case fans</t>
        </is>
      </c>
      <c r="H1043" s="47" t="inlineStr">
        <is>
          <t>2 year limited</t>
        </is>
      </c>
      <c r="I1043" s="47" t="inlineStr">
        <is>
          <t>FCC, CE, RoHS</t>
        </is>
      </c>
      <c r="J1043" s="47" t="inlineStr">
        <is>
          <t>N/A</t>
        </is>
      </c>
      <c r="K1043" s="47" t="inlineStr">
        <is>
          <t>N/A</t>
        </is>
      </c>
      <c r="L1043" s="47" t="inlineStr">
        <is>
          <t>N/A</t>
        </is>
      </c>
      <c r="M1043" s="47" t="inlineStr">
        <is>
          <t>N/A</t>
        </is>
      </c>
      <c r="N1043" s="47" t="inlineStr">
        <is>
          <t>4-pin PWM, 3-pin 5V ARGB, daisy-chain connectors</t>
        </is>
      </c>
      <c r="O1043" s="47" t="inlineStr">
        <is>
          <t>N/A</t>
        </is>
      </c>
      <c r="P1043" s="47" t="inlineStr">
        <is>
          <t>N/A</t>
        </is>
      </c>
      <c r="Q1043" s="50" t="n">
        <v>516</v>
      </c>
      <c r="R1043" s="47" t="inlineStr">
        <is>
          <t>Lower price than Kratos Lumen RGB Case Fan 3-Pack [KRA-147-03] ($72.99 vs $76.99); Lighter than Eucleia Halo RGB Case Fan 3-Pack [EUC-124-01] (516 g vs 519 g)</t>
        </is>
      </c>
      <c r="S1043" s="47" t="inlineStr">
        <is>
          <t>PC building, cooling, RGB builds</t>
        </is>
      </c>
      <c r="T1043" s="0" t="inlineStr">
        <is>
          <t>in_stock</t>
        </is>
      </c>
      <c r="U1043" s="0" t="n">
        <v>30</v>
      </c>
      <c r="V1043" s="52" t="n">
        <v>82.98999999999999</v>
      </c>
      <c r="W1043" s="0" t="inlineStr">
        <is>
          <t>2026-08-19</t>
        </is>
      </c>
      <c r="X1043" s="0" t="inlineStr">
        <is>
          <t>N/A</t>
        </is>
      </c>
      <c r="Y1043" s="0" t="inlineStr">
        <is>
          <t>N/A</t>
        </is>
      </c>
      <c r="Z1043" s="0" t="inlineStr">
        <is>
          <t>N/A</t>
        </is>
      </c>
      <c r="AA1043" s="0" t="inlineStr">
        <is>
          <t>N/A</t>
        </is>
      </c>
    </row>
    <row r="1044" ht="15.75" customHeight="1" s="51">
      <c r="A1044" s="47" t="inlineStr">
        <is>
          <t>EUR-104-02</t>
        </is>
      </c>
      <c r="B1044" s="47" t="inlineStr">
        <is>
          <t>Eurybia</t>
        </is>
      </c>
      <c r="C1044" s="47" t="inlineStr">
        <is>
          <t>Computer Hardware</t>
        </is>
      </c>
      <c r="D1044" s="47" t="inlineStr">
        <is>
          <t>Storage</t>
        </is>
      </c>
      <c r="E1044" s="48" t="inlineStr">
        <is>
          <t>Eurybia Quanta SE 4TB External Hard Drive</t>
        </is>
      </c>
      <c r="F1044" s="49" t="n">
        <v>109.99</v>
      </c>
      <c r="G1044" s="47" t="inlineStr">
        <is>
          <t>the Quanta SE; Eurybia Quanta SE; Euurybia Quanta SE; Quanta SE storage</t>
        </is>
      </c>
      <c r="H1044" s="47" t="inlineStr">
        <is>
          <t>2 year limited</t>
        </is>
      </c>
      <c r="I1044" s="47" t="inlineStr">
        <is>
          <t>FCC, CE, RoHS, USB-IF Certified</t>
        </is>
      </c>
      <c r="J1044" s="47" t="inlineStr">
        <is>
          <t>N/A</t>
        </is>
      </c>
      <c r="K1044" s="47" t="inlineStr">
        <is>
          <t>N/A</t>
        </is>
      </c>
      <c r="L1044" s="47" t="inlineStr">
        <is>
          <t>N/A</t>
        </is>
      </c>
      <c r="M1044" s="47" t="inlineStr">
        <is>
          <t>N/A</t>
        </is>
      </c>
      <c r="N1044" s="47" t="inlineStr">
        <is>
          <t>USB-C (USB 3.2 Gen 1)</t>
        </is>
      </c>
      <c r="O1044" s="47" t="inlineStr">
        <is>
          <t>N/A</t>
        </is>
      </c>
      <c r="P1044" s="47" t="inlineStr">
        <is>
          <t>N/A</t>
        </is>
      </c>
      <c r="Q1044" s="50" t="n">
        <v>215</v>
      </c>
      <c r="R1044" s="47" t="inlineStr">
        <is>
          <t>Lower price than Atlas Aria Pro 4TB External Hard Drive [ATL-122-05] ($109.99 vs $139.99); Lighter than Geras Strata Air 4TB External Hard Drive [GER-133-07] (215 g vs 249 g)</t>
        </is>
      </c>
      <c r="S1044" s="47" t="inlineStr">
        <is>
          <t>backup, media storage</t>
        </is>
      </c>
      <c r="T1044" s="0" t="inlineStr">
        <is>
          <t>in_stock</t>
        </is>
      </c>
      <c r="U1044" s="0" t="n">
        <v>30</v>
      </c>
      <c r="V1044" s="52" t="n">
        <v>125.99</v>
      </c>
      <c r="W1044" s="0" t="inlineStr">
        <is>
          <t>2026-08-20</t>
        </is>
      </c>
      <c r="X1044" s="0" t="inlineStr">
        <is>
          <t>N/A</t>
        </is>
      </c>
      <c r="Y1044" s="0" t="inlineStr">
        <is>
          <t>N/A</t>
        </is>
      </c>
      <c r="Z1044" s="0" t="inlineStr">
        <is>
          <t>N/A</t>
        </is>
      </c>
      <c r="AA1044" s="0" t="inlineStr">
        <is>
          <t>N/A</t>
        </is>
      </c>
    </row>
    <row r="1045" ht="15.75" customHeight="1" s="51">
      <c r="A1045" s="47" t="inlineStr">
        <is>
          <t>EUR-104-03</t>
        </is>
      </c>
      <c r="B1045" s="47" t="inlineStr">
        <is>
          <t>Eurybia</t>
        </is>
      </c>
      <c r="C1045" s="47" t="inlineStr">
        <is>
          <t>Computer Hardware</t>
        </is>
      </c>
      <c r="D1045" s="47" t="inlineStr">
        <is>
          <t>Mouse</t>
        </is>
      </c>
      <c r="E1045" s="48" t="inlineStr">
        <is>
          <t>Eurybia Pulse Max Gaming Mouse</t>
        </is>
      </c>
      <c r="F1045" s="49" t="n">
        <v>132.99</v>
      </c>
      <c r="G1045" s="47" t="inlineStr">
        <is>
          <t>the Pulse Max; Eurybia Pulse Max; Eruybia Pulse Max; Pulse Max mouse</t>
        </is>
      </c>
      <c r="H1045" s="47" t="inlineStr">
        <is>
          <t>2 year limited</t>
        </is>
      </c>
      <c r="I1045" s="47" t="inlineStr">
        <is>
          <t>FCC, CE, RoHS, Bluetooth SIG Qualified</t>
        </is>
      </c>
      <c r="J1045" s="47" t="inlineStr">
        <is>
          <t>Sensor: 36K DPI optical</t>
        </is>
      </c>
      <c r="K1045" s="47" t="inlineStr">
        <is>
          <t>N/A</t>
        </is>
      </c>
      <c r="L1045" s="47" t="inlineStr">
        <is>
          <t>N/A</t>
        </is>
      </c>
      <c r="M1045" s="47" t="inlineStr">
        <is>
          <t>N/A</t>
        </is>
      </c>
      <c r="N1045" s="47" t="inlineStr">
        <is>
          <t>USB-C, 2.4GHz dongle, Bluetooth 5.1</t>
        </is>
      </c>
      <c r="O1045" s="47" t="inlineStr">
        <is>
          <t>N/A</t>
        </is>
      </c>
      <c r="P1045" s="47" t="n">
        <v>94</v>
      </c>
      <c r="Q1045" s="50" t="n">
        <v>74</v>
      </c>
      <c r="R1045" s="47" t="inlineStr">
        <is>
          <t>Longer battery than Perses Lumen SE Gaming Mouse [PER-101-02] (94 vs 92 hrs); Lighter than Cronus Quanta Gaming Mouse [CRO-105-05] (74 g vs 92 g)</t>
        </is>
      </c>
      <c r="S1045" s="47" t="inlineStr">
        <is>
          <t>gaming, esports</t>
        </is>
      </c>
      <c r="T1045" s="0" t="inlineStr">
        <is>
          <t>in_stock</t>
        </is>
      </c>
      <c r="U1045" s="0" t="n">
        <v>30</v>
      </c>
      <c r="V1045" s="52" t="n">
        <v>151.99</v>
      </c>
      <c r="W1045" s="0" t="inlineStr">
        <is>
          <t>2026-08-30</t>
        </is>
      </c>
      <c r="X1045" s="0" t="inlineStr">
        <is>
          <t>N/A</t>
        </is>
      </c>
      <c r="Y1045" s="0" t="inlineStr">
        <is>
          <t>N/A</t>
        </is>
      </c>
      <c r="Z1045" s="0" t="inlineStr">
        <is>
          <t>N/A</t>
        </is>
      </c>
      <c r="AA1045" s="0" t="inlineStr">
        <is>
          <t>N/A</t>
        </is>
      </c>
    </row>
    <row r="1046" ht="15.75" customHeight="1" s="51">
      <c r="A1046" s="47" t="inlineStr">
        <is>
          <t>EUR-104-04</t>
        </is>
      </c>
      <c r="B1046" s="47" t="inlineStr">
        <is>
          <t>Eurybia</t>
        </is>
      </c>
      <c r="C1046" s="47" t="inlineStr">
        <is>
          <t>Computer Hardware</t>
        </is>
      </c>
      <c r="D1046" s="47" t="inlineStr">
        <is>
          <t>Webcam</t>
        </is>
      </c>
      <c r="E1046" s="48" t="inlineStr">
        <is>
          <t>Eurybia Titan SE 4K Webcam</t>
        </is>
      </c>
      <c r="F1046" s="49" t="n">
        <v>137.99</v>
      </c>
      <c r="G1046" s="47" t="inlineStr">
        <is>
          <t>the Titan SE; Eurybia Titan SE; Urybia Titan SE; Titan SE webcam</t>
        </is>
      </c>
      <c r="H1046" s="47" t="inlineStr">
        <is>
          <t>2 year limited</t>
        </is>
      </c>
      <c r="I1046" s="47" t="inlineStr">
        <is>
          <t>FCC, CE, RoHS, USB-IF Certified</t>
        </is>
      </c>
      <c r="J1046" s="47" t="inlineStr">
        <is>
          <t>N/A</t>
        </is>
      </c>
      <c r="K1046" s="47" t="inlineStr">
        <is>
          <t>N/A</t>
        </is>
      </c>
      <c r="L1046" s="47" t="inlineStr">
        <is>
          <t>N/A</t>
        </is>
      </c>
      <c r="M1046" s="47" t="inlineStr">
        <is>
          <t>3840x2160 @ 30fps, 1080p @ 60fps</t>
        </is>
      </c>
      <c r="N1046" s="47" t="inlineStr">
        <is>
          <t>USB-C (USB 3.0)</t>
        </is>
      </c>
      <c r="O1046" s="47" t="inlineStr">
        <is>
          <t>N/A</t>
        </is>
      </c>
      <c r="P1046" s="47" t="inlineStr">
        <is>
          <t>N/A</t>
        </is>
      </c>
      <c r="Q1046" s="50" t="n">
        <v>145</v>
      </c>
      <c r="R1046" s="47" t="inlineStr">
        <is>
          <t>Lighter than Eileithyia Nimbus 4K Webcam [EIL-149-01] (145 g vs 163 g); Lower price than Hermes Lumen SE 4K Webcam [HER-103-07] ($137.99 vs $227.99)</t>
        </is>
      </c>
      <c r="S1046" s="47" t="inlineStr">
        <is>
          <t>video calls, streaming, remote work</t>
        </is>
      </c>
      <c r="T1046" s="0" t="inlineStr">
        <is>
          <t>in_stock</t>
        </is>
      </c>
      <c r="U1046" s="0" t="n">
        <v>30</v>
      </c>
      <c r="V1046" s="52" t="n">
        <v>156.99</v>
      </c>
      <c r="W1046" s="0" t="inlineStr">
        <is>
          <t>2026-08-21</t>
        </is>
      </c>
      <c r="X1046" s="0" t="inlineStr">
        <is>
          <t>N/A</t>
        </is>
      </c>
      <c r="Y1046" s="0" t="inlineStr">
        <is>
          <t>N/A</t>
        </is>
      </c>
      <c r="Z1046" s="0" t="inlineStr">
        <is>
          <t>N/A</t>
        </is>
      </c>
      <c r="AA1046" s="0" t="inlineStr">
        <is>
          <t>N/A</t>
        </is>
      </c>
    </row>
    <row r="1047" ht="15.75" customHeight="1" s="51">
      <c r="A1047" s="47" t="inlineStr">
        <is>
          <t>EUR-104-05</t>
        </is>
      </c>
      <c r="B1047" s="47" t="inlineStr">
        <is>
          <t>Eurybia</t>
        </is>
      </c>
      <c r="C1047" s="47" t="inlineStr">
        <is>
          <t>Computer Hardware</t>
        </is>
      </c>
      <c r="D1047" s="47" t="inlineStr">
        <is>
          <t>Cooling</t>
        </is>
      </c>
      <c r="E1047" s="48" t="inlineStr">
        <is>
          <t>Eurybia Wave 360mm AIO CPU Cooler</t>
        </is>
      </c>
      <c r="F1047" s="49" t="n">
        <v>169.99</v>
      </c>
      <c r="G1047" s="47" t="inlineStr">
        <is>
          <t>the Wave; Eurybia Wave; Euryiba Wave; Wave cooling</t>
        </is>
      </c>
      <c r="H1047" s="47" t="inlineStr">
        <is>
          <t>6 year limited</t>
        </is>
      </c>
      <c r="I1047" s="47" t="inlineStr">
        <is>
          <t>FCC, CE, RoHS</t>
        </is>
      </c>
      <c r="J1047" s="47" t="inlineStr">
        <is>
          <t>N/A</t>
        </is>
      </c>
      <c r="K1047" s="47" t="inlineStr">
        <is>
          <t>N/A</t>
        </is>
      </c>
      <c r="L1047" s="47" t="inlineStr">
        <is>
          <t>N/A</t>
        </is>
      </c>
      <c r="M1047" s="47" t="inlineStr">
        <is>
          <t>N/A</t>
        </is>
      </c>
      <c r="N1047" s="47" t="inlineStr">
        <is>
          <t>3x 4-pin PWM fans, 3-pin pump header, ARGB 5V; LGA1700/LGA1851/AM5 mounts</t>
        </is>
      </c>
      <c r="O1047" s="47" t="inlineStr">
        <is>
          <t>N/A</t>
        </is>
      </c>
      <c r="P1047" s="47" t="inlineStr">
        <is>
          <t>N/A</t>
        </is>
      </c>
      <c r="Q1047" s="50" t="n">
        <v>1630</v>
      </c>
      <c r="R1047" s="47" t="inlineStr">
        <is>
          <t>Lighter than Notus Wave Lite 360mm AIO CPU Cooler [NOT-108-06] (1,630 g vs 1,645 g); Lower price than Ares Crest 360mm AIO CPU Cooler [ARE-140-09] ($169.99 vs $245.99)</t>
        </is>
      </c>
      <c r="S1047" s="47" t="inlineStr">
        <is>
          <t>overclocking, gaming, quiet builds</t>
        </is>
      </c>
      <c r="T1047" s="0" t="inlineStr">
        <is>
          <t>in_stock</t>
        </is>
      </c>
      <c r="U1047" s="0" t="n">
        <v>30</v>
      </c>
      <c r="V1047" s="52" t="n">
        <v>193.99</v>
      </c>
      <c r="W1047" s="0" t="inlineStr">
        <is>
          <t>2026-08-24</t>
        </is>
      </c>
      <c r="X1047" s="0" t="inlineStr">
        <is>
          <t>N/A</t>
        </is>
      </c>
      <c r="Y1047" s="0" t="inlineStr">
        <is>
          <t>N/A</t>
        </is>
      </c>
      <c r="Z1047" s="0" t="inlineStr">
        <is>
          <t>N/A</t>
        </is>
      </c>
      <c r="AA1047" s="0" t="inlineStr">
        <is>
          <t>N/A</t>
        </is>
      </c>
    </row>
    <row r="1048" ht="15.75" customHeight="1" s="51">
      <c r="A1048" s="47" t="inlineStr">
        <is>
          <t>EUR-104-06</t>
        </is>
      </c>
      <c r="B1048" s="47" t="inlineStr">
        <is>
          <t>Eurybia</t>
        </is>
      </c>
      <c r="C1048" s="47" t="inlineStr">
        <is>
          <t>Computer Hardware</t>
        </is>
      </c>
      <c r="D1048" s="47" t="inlineStr">
        <is>
          <t>Power Supply</t>
        </is>
      </c>
      <c r="E1048" s="48" t="inlineStr">
        <is>
          <t>Eurybia Aeon SE 850W Power Supply</t>
        </is>
      </c>
      <c r="F1048" s="49" t="n">
        <v>186.99</v>
      </c>
      <c r="G1048" s="47" t="inlineStr">
        <is>
          <t>the Aeon SE; Eurybia Aeon SE; Eruybia Aeon SE; Aeon SE power supply</t>
        </is>
      </c>
      <c r="H1048" s="47" t="inlineStr">
        <is>
          <t>7 year limited</t>
        </is>
      </c>
      <c r="I1048" s="47" t="inlineStr">
        <is>
          <t>FCC, CE, RoHS, 80 PLUS Platinum, UL Listed</t>
        </is>
      </c>
      <c r="J1048" s="47" t="inlineStr">
        <is>
          <t>N/A</t>
        </is>
      </c>
      <c r="K1048" s="47" t="inlineStr">
        <is>
          <t>N/A</t>
        </is>
      </c>
      <c r="L1048" s="47" t="inlineStr">
        <is>
          <t>N/A</t>
        </is>
      </c>
      <c r="M1048" s="47" t="inlineStr">
        <is>
          <t>N/A</t>
        </is>
      </c>
      <c r="N1048" s="47" t="inlineStr">
        <is>
          <t>ATX 3.1, native 12V-2x6 (600W) connector, fully modular</t>
        </is>
      </c>
      <c r="O1048" s="47" t="inlineStr">
        <is>
          <t>N/A</t>
        </is>
      </c>
      <c r="P1048" s="47" t="inlineStr">
        <is>
          <t>N/A</t>
        </is>
      </c>
      <c r="Q1048" s="50" t="n">
        <v>2219</v>
      </c>
      <c r="R1048" s="47" t="inlineStr">
        <is>
          <t>Lower price than Thalassa Apex Air 850W Power Supply [THA-126-07] ($186.99 vs $194.99); Lighter than Zelus Lumen 850W Power Supply [ZEL-137-06] (2,219 g vs 2,237 g)</t>
        </is>
      </c>
      <c r="S1048" s="47" t="inlineStr">
        <is>
          <t>PC building, high-end gaming</t>
        </is>
      </c>
      <c r="T1048" s="0" t="inlineStr">
        <is>
          <t>in_stock</t>
        </is>
      </c>
      <c r="U1048" s="0" t="n">
        <v>30</v>
      </c>
      <c r="V1048" s="52" t="n">
        <v>201.99</v>
      </c>
      <c r="W1048" s="0" t="inlineStr">
        <is>
          <t>2026-08-20</t>
        </is>
      </c>
      <c r="X1048" s="0" t="inlineStr">
        <is>
          <t>N/A</t>
        </is>
      </c>
      <c r="Y1048" s="0" t="inlineStr">
        <is>
          <t>N/A</t>
        </is>
      </c>
      <c r="Z1048" s="0" t="inlineStr">
        <is>
          <t>N/A</t>
        </is>
      </c>
      <c r="AA1048" s="0" t="inlineStr">
        <is>
          <t>N/A</t>
        </is>
      </c>
    </row>
    <row r="1049" ht="15.75" customHeight="1" s="51">
      <c r="A1049" s="47" t="inlineStr">
        <is>
          <t>EUR-104-07</t>
        </is>
      </c>
      <c r="B1049" s="47" t="inlineStr">
        <is>
          <t>Eurybia</t>
        </is>
      </c>
      <c r="C1049" s="47" t="inlineStr">
        <is>
          <t>Computer Hardware</t>
        </is>
      </c>
      <c r="D1049" s="47" t="inlineStr">
        <is>
          <t>Memory</t>
        </is>
      </c>
      <c r="E1049" s="48" t="inlineStr">
        <is>
          <t>Eurybia Quanta SE 32GB DDR5 RAM Kit</t>
        </is>
      </c>
      <c r="F1049" s="49" t="n">
        <v>204.99</v>
      </c>
      <c r="G1049" s="47" t="inlineStr">
        <is>
          <t>the Quanta SE; Eurybia Quanta SE; Eruybia Quanta SE; Quanta SE memory</t>
        </is>
      </c>
      <c r="H1049" s="47" t="inlineStr">
        <is>
          <t>Limited lifetime</t>
        </is>
      </c>
      <c r="I1049" s="47" t="inlineStr">
        <is>
          <t>FCC, CE, RoHS</t>
        </is>
      </c>
      <c r="J1049" s="47" t="inlineStr">
        <is>
          <t>N/A</t>
        </is>
      </c>
      <c r="K1049" s="47" t="inlineStr">
        <is>
          <t>N/A</t>
        </is>
      </c>
      <c r="L1049" s="47" t="inlineStr">
        <is>
          <t>N/A</t>
        </is>
      </c>
      <c r="M1049" s="47" t="inlineStr">
        <is>
          <t>N/A</t>
        </is>
      </c>
      <c r="N1049" s="47" t="inlineStr">
        <is>
          <t>2x 16GB DDR5 288-pin DIMM, 6400 MT/s</t>
        </is>
      </c>
      <c r="O1049" s="47" t="inlineStr">
        <is>
          <t>N/A</t>
        </is>
      </c>
      <c r="P1049" s="47" t="inlineStr">
        <is>
          <t>N/A</t>
        </is>
      </c>
      <c r="Q1049" s="50" t="n">
        <v>80</v>
      </c>
      <c r="R1049" s="47" t="inlineStr">
        <is>
          <t>Lower price than Nyx Crest 32GB DDR5 RAM Kit [NYX-115-06] ($204.99 vs $226.99); Lighter than Astraeus Pulse Air 32GB DDR5 RAM Kit [AST-146-05] (80 g vs 87 g)</t>
        </is>
      </c>
      <c r="S1049" s="47" t="inlineStr">
        <is>
          <t>gaming, multitasking, PC building</t>
        </is>
      </c>
      <c r="T1049" s="0" t="inlineStr">
        <is>
          <t>in_stock</t>
        </is>
      </c>
      <c r="U1049" s="0" t="n">
        <v>30</v>
      </c>
      <c r="V1049" s="52" t="n">
        <v>223.99</v>
      </c>
      <c r="W1049" s="0" t="inlineStr">
        <is>
          <t>2026-09-03</t>
        </is>
      </c>
      <c r="X1049" s="0" t="inlineStr">
        <is>
          <t>N/A</t>
        </is>
      </c>
      <c r="Y1049" s="0" t="inlineStr">
        <is>
          <t>N/A</t>
        </is>
      </c>
      <c r="Z1049" s="0" t="inlineStr">
        <is>
          <t>N/A</t>
        </is>
      </c>
      <c r="AA1049" s="0" t="inlineStr">
        <is>
          <t>N/A</t>
        </is>
      </c>
    </row>
    <row r="1050" ht="15.75" customHeight="1" s="51">
      <c r="A1050" s="47" t="inlineStr">
        <is>
          <t>EUR-104-08</t>
        </is>
      </c>
      <c r="B1050" s="47" t="inlineStr">
        <is>
          <t>Eurybia</t>
        </is>
      </c>
      <c r="C1050" s="47" t="inlineStr">
        <is>
          <t>Computer Hardware</t>
        </is>
      </c>
      <c r="D1050" s="47" t="inlineStr">
        <is>
          <t>Processor</t>
        </is>
      </c>
      <c r="E1050" s="48" t="inlineStr">
        <is>
          <t>Eurybia Arc Desktop CPU</t>
        </is>
      </c>
      <c r="F1050" s="49" t="n">
        <v>342.99</v>
      </c>
      <c r="G1050" s="47" t="inlineStr">
        <is>
          <t>the Arc; Eurybia Arc; Eurrybia Arc; Arc processor</t>
        </is>
      </c>
      <c r="H1050" s="47" t="inlineStr">
        <is>
          <t>3 year limited</t>
        </is>
      </c>
      <c r="I1050" s="47" t="inlineStr">
        <is>
          <t>FCC, CE, RoHS</t>
        </is>
      </c>
      <c r="J1050" s="47" t="inlineStr">
        <is>
          <t>Eurybia Arc 8-core / 16-thread, up to 5.1 GHz</t>
        </is>
      </c>
      <c r="K1050" s="47" t="inlineStr">
        <is>
          <t>None (discrete GPU required)</t>
        </is>
      </c>
      <c r="L1050" s="47" t="inlineStr">
        <is>
          <t>N/A</t>
        </is>
      </c>
      <c r="M1050" s="47" t="inlineStr">
        <is>
          <t>N/A</t>
        </is>
      </c>
      <c r="N1050" s="47" t="inlineStr">
        <is>
          <t>N/A</t>
        </is>
      </c>
      <c r="O1050" s="47" t="inlineStr">
        <is>
          <t>N/A</t>
        </is>
      </c>
      <c r="P1050" s="47" t="inlineStr">
        <is>
          <t>N/A</t>
        </is>
      </c>
      <c r="Q1050" s="50" t="n">
        <v>41</v>
      </c>
      <c r="R1050" s="47" t="inlineStr">
        <is>
          <t>Lighter than Phoebe Core Pro Desktop CPU [PHO-143-05] (41 g vs 58 g); Lower price than Nyx Echo X Desktop CPU [NYX-115-10] ($342.99 vs $609.99)</t>
        </is>
      </c>
      <c r="S1050" s="47" t="inlineStr">
        <is>
          <t>gaming, content creation, workstation builds</t>
        </is>
      </c>
      <c r="T1050" s="0" t="inlineStr">
        <is>
          <t>out_of_stock</t>
        </is>
      </c>
      <c r="U1050" s="0" t="n">
        <v>30</v>
      </c>
      <c r="V1050" s="52" t="n">
        <v>354.99</v>
      </c>
      <c r="W1050" s="0" t="inlineStr">
        <is>
          <t>2026-08-21</t>
        </is>
      </c>
      <c r="X1050" s="0" t="inlineStr">
        <is>
          <t>N/A</t>
        </is>
      </c>
      <c r="Y1050" s="0" t="inlineStr">
        <is>
          <t>N/A</t>
        </is>
      </c>
      <c r="Z1050" s="0" t="inlineStr">
        <is>
          <t>N/A</t>
        </is>
      </c>
      <c r="AA1050" s="0" t="inlineStr">
        <is>
          <t>N/A</t>
        </is>
      </c>
    </row>
    <row r="1051" ht="15.75" customHeight="1" s="51">
      <c r="A1051" s="47" t="inlineStr">
        <is>
          <t>EUR-104-09</t>
        </is>
      </c>
      <c r="B1051" s="47" t="inlineStr">
        <is>
          <t>Eurybia</t>
        </is>
      </c>
      <c r="C1051" s="47" t="inlineStr">
        <is>
          <t>Computer Hardware</t>
        </is>
      </c>
      <c r="D1051" s="47" t="inlineStr">
        <is>
          <t>Motherboard</t>
        </is>
      </c>
      <c r="E1051" s="48" t="inlineStr">
        <is>
          <t>Eurybia Pulse ATX Motherboard</t>
        </is>
      </c>
      <c r="F1051" s="49" t="n">
        <v>516.99</v>
      </c>
      <c r="G1051" s="47" t="inlineStr">
        <is>
          <t>the Pulse; Eurybia Pulse; Euryiba Pulse; Pulse motherboard</t>
        </is>
      </c>
      <c r="H1051" s="47" t="inlineStr">
        <is>
          <t>3 year limited</t>
        </is>
      </c>
      <c r="I1051" s="47" t="inlineStr">
        <is>
          <t>FCC, CE, RoHS</t>
        </is>
      </c>
      <c r="J1051" s="47" t="inlineStr">
        <is>
          <t>Supports Intel Core Ultra 200S (LGA1851)</t>
        </is>
      </c>
      <c r="K1051" s="47" t="inlineStr">
        <is>
          <t>N/A</t>
        </is>
      </c>
      <c r="L1051" s="47" t="inlineStr">
        <is>
          <t>N/A</t>
        </is>
      </c>
      <c r="M1051" s="47" t="inlineStr">
        <is>
          <t>N/A</t>
        </is>
      </c>
      <c r="N1051" s="47" t="inlineStr">
        <is>
          <t>Rear I/O: USB4 (2x USB-C 40Gbps), 10x USB-A, 10GbE + 2.5GbE, Wi-Fi 7</t>
        </is>
      </c>
      <c r="O1051" s="47" t="inlineStr">
        <is>
          <t>N/A</t>
        </is>
      </c>
      <c r="P1051" s="47" t="inlineStr">
        <is>
          <t>N/A</t>
        </is>
      </c>
      <c r="Q1051" s="50" t="n">
        <v>1284</v>
      </c>
      <c r="R1051" s="47" t="inlineStr">
        <is>
          <t>Lighter than Urania Lumen X ATX Motherboard [URA-136-08] (1,284 g vs 1,469 g); Lower price than Bia Nimbus Air ATX Motherboard [BIA-107-10] ($516.99 vs $578.99)</t>
        </is>
      </c>
      <c r="S1051" s="47" t="inlineStr">
        <is>
          <t>PC building, gaming, workstation builds</t>
        </is>
      </c>
      <c r="T1051" s="0" t="inlineStr">
        <is>
          <t>in_stock</t>
        </is>
      </c>
      <c r="U1051" s="0" t="n">
        <v>30</v>
      </c>
      <c r="V1051" s="52" t="n">
        <v>587.99</v>
      </c>
      <c r="W1051" s="0" t="inlineStr">
        <is>
          <t>2026-08-27</t>
        </is>
      </c>
      <c r="X1051" s="0" t="inlineStr">
        <is>
          <t>N/A</t>
        </is>
      </c>
      <c r="Y1051" s="0" t="inlineStr">
        <is>
          <t>N/A</t>
        </is>
      </c>
      <c r="Z1051" s="0" t="inlineStr">
        <is>
          <t>N/A</t>
        </is>
      </c>
      <c r="AA1051" s="0" t="inlineStr">
        <is>
          <t>N/A</t>
        </is>
      </c>
    </row>
    <row r="1052" ht="15.75" customHeight="1" s="51">
      <c r="A1052" s="47" t="inlineStr">
        <is>
          <t>EUR-104-10</t>
        </is>
      </c>
      <c r="B1052" s="47" t="inlineStr">
        <is>
          <t>Eurybia</t>
        </is>
      </c>
      <c r="C1052" s="47" t="inlineStr">
        <is>
          <t>Computer Hardware</t>
        </is>
      </c>
      <c r="D1052" s="47" t="inlineStr">
        <is>
          <t>Monitor</t>
        </is>
      </c>
      <c r="E1052" s="48" t="inlineStr">
        <is>
          <t>Eurybia Axis Plus 27" 1440p Monitor</t>
        </is>
      </c>
      <c r="F1052" s="49" t="n">
        <v>618.99</v>
      </c>
      <c r="G1052" s="47" t="inlineStr">
        <is>
          <t>the Axis Plus; Eurybia Axis Plus; Eruybia Axis Plus; Axis Plus monitor</t>
        </is>
      </c>
      <c r="H1052" s="47" t="inlineStr">
        <is>
          <t>3 year limited</t>
        </is>
      </c>
      <c r="I1052" s="47" t="inlineStr">
        <is>
          <t>FCC, CE, RoHS, Energy Star, TUV Rheinland Low Blue Light, VESA DisplayHDR True Black 400</t>
        </is>
      </c>
      <c r="J1052" s="47" t="inlineStr">
        <is>
          <t>N/A</t>
        </is>
      </c>
      <c r="K1052" s="47" t="inlineStr">
        <is>
          <t>N/A</t>
        </is>
      </c>
      <c r="L1052" s="47" t="inlineStr">
        <is>
          <t>QD-OLED, 360Hz</t>
        </is>
      </c>
      <c r="M1052" s="47" t="inlineStr">
        <is>
          <t>2560x1440</t>
        </is>
      </c>
      <c r="N1052" s="47" t="inlineStr">
        <is>
          <t>2x HDMI 2.1, 1x DisplayPort 1.4, USB-C 90W, USB hub</t>
        </is>
      </c>
      <c r="O1052" s="47" t="inlineStr">
        <is>
          <t>N/A</t>
        </is>
      </c>
      <c r="P1052" s="47" t="inlineStr">
        <is>
          <t>N/A</t>
        </is>
      </c>
      <c r="Q1052" s="50" t="n">
        <v>6532</v>
      </c>
      <c r="R1052" s="47" t="inlineStr">
        <is>
          <t>Lighter than Hera Vertex Air 27" 1440p Monitor [HER-129-08] (6,532 g vs 7,097 g); Lower price than Palaemon Nimbus SE 27" 1440p Monitor [PAL-127-09] ($618.99 vs $672.99)</t>
        </is>
      </c>
      <c r="S1052" s="47" t="inlineStr">
        <is>
          <t>gaming, office, content creation</t>
        </is>
      </c>
      <c r="T1052" s="0" t="inlineStr">
        <is>
          <t>in_stock</t>
        </is>
      </c>
      <c r="U1052" s="0" t="n">
        <v>30</v>
      </c>
      <c r="V1052" s="52" t="n">
        <v>690.99</v>
      </c>
      <c r="W1052" s="0" t="inlineStr">
        <is>
          <t>2026-09-22</t>
        </is>
      </c>
      <c r="X1052" s="0" t="inlineStr">
        <is>
          <t>N/A</t>
        </is>
      </c>
      <c r="Y1052" s="0" t="inlineStr">
        <is>
          <t>N/A</t>
        </is>
      </c>
      <c r="Z1052" s="0" t="inlineStr">
        <is>
          <t>N/A</t>
        </is>
      </c>
      <c r="AA1052" s="0" t="inlineStr">
        <is>
          <t>N/A</t>
        </is>
      </c>
    </row>
    <row r="1053" ht="15.75" customHeight="1" s="51">
      <c r="A1053" s="47" t="inlineStr">
        <is>
          <t>CRO-105-01</t>
        </is>
      </c>
      <c r="B1053" s="47" t="inlineStr">
        <is>
          <t>Cronus</t>
        </is>
      </c>
      <c r="C1053" s="47" t="inlineStr">
        <is>
          <t>Computer Hardware</t>
        </is>
      </c>
      <c r="D1053" s="47" t="inlineStr">
        <is>
          <t>Memory</t>
        </is>
      </c>
      <c r="E1053" s="48" t="inlineStr">
        <is>
          <t>Cronus Prism 32GB DDR5 RAM Kit</t>
        </is>
      </c>
      <c r="F1053" s="49" t="n">
        <v>86.98999999999999</v>
      </c>
      <c r="G1053" s="47" t="inlineStr">
        <is>
          <t>the Prism; Cronus Prism; Kronus Prism; Prism memory</t>
        </is>
      </c>
      <c r="H1053" s="47" t="inlineStr">
        <is>
          <t>Limited lifetime</t>
        </is>
      </c>
      <c r="I1053" s="47" t="inlineStr">
        <is>
          <t>FCC, CE, RoHS</t>
        </is>
      </c>
      <c r="J1053" s="47" t="inlineStr">
        <is>
          <t>N/A</t>
        </is>
      </c>
      <c r="K1053" s="47" t="inlineStr">
        <is>
          <t>N/A</t>
        </is>
      </c>
      <c r="L1053" s="47" t="inlineStr">
        <is>
          <t>N/A</t>
        </is>
      </c>
      <c r="M1053" s="47" t="inlineStr">
        <is>
          <t>N/A</t>
        </is>
      </c>
      <c r="N1053" s="47" t="inlineStr">
        <is>
          <t>2x 16GB DDR5 288-pin DIMM, 5200 MT/s</t>
        </is>
      </c>
      <c r="O1053" s="47" t="inlineStr">
        <is>
          <t>N/A</t>
        </is>
      </c>
      <c r="P1053" s="47" t="inlineStr">
        <is>
          <t>N/A</t>
        </is>
      </c>
      <c r="Q1053" s="50" t="n">
        <v>63</v>
      </c>
      <c r="R1053" s="47" t="inlineStr">
        <is>
          <t>Lower price than Hymenaeus Blaze X 32GB DDR5 RAM Kit [HYM-121-05] ($86.99 vs $225.99); Lighter than Eris Aria 32GB DDR5 RAM Kit [ERI-148-04] (63 g vs 82 g)</t>
        </is>
      </c>
      <c r="S1053" s="47" t="inlineStr">
        <is>
          <t>gaming, multitasking, PC building</t>
        </is>
      </c>
      <c r="T1053" s="0" t="inlineStr">
        <is>
          <t>in_stock</t>
        </is>
      </c>
      <c r="U1053" s="0" t="n">
        <v>60</v>
      </c>
      <c r="V1053" s="52" t="n">
        <v>90.98999999999999</v>
      </c>
      <c r="W1053" s="0" t="inlineStr">
        <is>
          <t>2026-08-17</t>
        </is>
      </c>
      <c r="X1053" s="0" t="inlineStr">
        <is>
          <t>N/A</t>
        </is>
      </c>
      <c r="Y1053" s="0" t="inlineStr">
        <is>
          <t>N/A</t>
        </is>
      </c>
      <c r="Z1053" s="0" t="inlineStr">
        <is>
          <t>N/A</t>
        </is>
      </c>
      <c r="AA1053" s="0" t="inlineStr">
        <is>
          <t>N/A</t>
        </is>
      </c>
    </row>
    <row r="1054" ht="15.75" customHeight="1" s="51">
      <c r="A1054" s="47" t="inlineStr">
        <is>
          <t>CRO-105-02</t>
        </is>
      </c>
      <c r="B1054" s="47" t="inlineStr">
        <is>
          <t>Cronus</t>
        </is>
      </c>
      <c r="C1054" s="47" t="inlineStr">
        <is>
          <t>Computer Hardware</t>
        </is>
      </c>
      <c r="D1054" s="47" t="inlineStr">
        <is>
          <t>Case Fans</t>
        </is>
      </c>
      <c r="E1054" s="48" t="inlineStr">
        <is>
          <t>Cronus Axis RGB Case Fan 3-Pack</t>
        </is>
      </c>
      <c r="F1054" s="49" t="n">
        <v>89.98999999999999</v>
      </c>
      <c r="G1054" s="47" t="inlineStr">
        <is>
          <t>the Axis; Cronus Axis; Kronus Axis; Axis case fans</t>
        </is>
      </c>
      <c r="H1054" s="47" t="inlineStr">
        <is>
          <t>2 year limited</t>
        </is>
      </c>
      <c r="I1054" s="47" t="inlineStr">
        <is>
          <t>FCC, CE, RoHS</t>
        </is>
      </c>
      <c r="J1054" s="47" t="inlineStr">
        <is>
          <t>N/A</t>
        </is>
      </c>
      <c r="K1054" s="47" t="inlineStr">
        <is>
          <t>N/A</t>
        </is>
      </c>
      <c r="L1054" s="47" t="inlineStr">
        <is>
          <t>N/A</t>
        </is>
      </c>
      <c r="M1054" s="47" t="inlineStr">
        <is>
          <t>N/A</t>
        </is>
      </c>
      <c r="N1054" s="47" t="inlineStr">
        <is>
          <t>4-pin PWM, 3-pin 5V ARGB, daisy-chain connectors</t>
        </is>
      </c>
      <c r="O1054" s="47" t="inlineStr">
        <is>
          <t>N/A</t>
        </is>
      </c>
      <c r="P1054" s="47" t="inlineStr">
        <is>
          <t>N/A</t>
        </is>
      </c>
      <c r="Q1054" s="50" t="n">
        <v>455</v>
      </c>
      <c r="R1054" s="47" t="inlineStr">
        <is>
          <t>Lighter than Eurybia Core RGB Case Fan 3-Pack [EUR-104-01] (455 g vs 516 g); Lower price than Crius Nimbus X RGB Case Fan 3-Pack [CRI-139-02] ($89.99 vs $94.99)</t>
        </is>
      </c>
      <c r="S1054" s="47" t="inlineStr">
        <is>
          <t>PC building, cooling, RGB builds</t>
        </is>
      </c>
      <c r="T1054" s="0" t="inlineStr">
        <is>
          <t>in_stock</t>
        </is>
      </c>
      <c r="U1054" s="0" t="n">
        <v>60</v>
      </c>
      <c r="V1054" s="52" t="n">
        <v>98.98999999999999</v>
      </c>
      <c r="W1054" s="0" t="inlineStr">
        <is>
          <t>2026-08-30</t>
        </is>
      </c>
      <c r="X1054" s="0" t="inlineStr">
        <is>
          <t>N/A</t>
        </is>
      </c>
      <c r="Y1054" s="0" t="inlineStr">
        <is>
          <t>N/A</t>
        </is>
      </c>
      <c r="Z1054" s="0" t="inlineStr">
        <is>
          <t>N/A</t>
        </is>
      </c>
      <c r="AA1054" s="0" t="inlineStr">
        <is>
          <t>N/A</t>
        </is>
      </c>
    </row>
    <row r="1055" ht="15.75" customHeight="1" s="51">
      <c r="A1055" s="47" t="inlineStr">
        <is>
          <t>CRO-105-03</t>
        </is>
      </c>
      <c r="B1055" s="47" t="inlineStr">
        <is>
          <t>Cronus</t>
        </is>
      </c>
      <c r="C1055" s="47" t="inlineStr">
        <is>
          <t>Computer Hardware</t>
        </is>
      </c>
      <c r="D1055" s="47" t="inlineStr">
        <is>
          <t>Cooling</t>
        </is>
      </c>
      <c r="E1055" s="48" t="inlineStr">
        <is>
          <t>Cronus Zen Lite 360mm AIO CPU Cooler</t>
        </is>
      </c>
      <c r="F1055" s="49" t="n">
        <v>106.99</v>
      </c>
      <c r="G1055" s="47" t="inlineStr">
        <is>
          <t>the Zen Lite; Cronus Zen Lite; Crnous Zen Lite; Zen Lite cooling</t>
        </is>
      </c>
      <c r="H1055" s="47" t="inlineStr">
        <is>
          <t>6 year limited</t>
        </is>
      </c>
      <c r="I1055" s="47" t="inlineStr">
        <is>
          <t>FCC, CE, RoHS</t>
        </is>
      </c>
      <c r="J1055" s="47" t="inlineStr">
        <is>
          <t>N/A</t>
        </is>
      </c>
      <c r="K1055" s="47" t="inlineStr">
        <is>
          <t>N/A</t>
        </is>
      </c>
      <c r="L1055" s="47" t="inlineStr">
        <is>
          <t>N/A</t>
        </is>
      </c>
      <c r="M1055" s="47" t="inlineStr">
        <is>
          <t>N/A</t>
        </is>
      </c>
      <c r="N1055" s="47" t="inlineStr">
        <is>
          <t>3x 4-pin PWM fans, 3-pin pump header, ARGB 5V; LGA1700/LGA1851/AM5 mounts</t>
        </is>
      </c>
      <c r="O1055" s="47" t="inlineStr">
        <is>
          <t>N/A</t>
        </is>
      </c>
      <c r="P1055" s="47" t="inlineStr">
        <is>
          <t>N/A</t>
        </is>
      </c>
      <c r="Q1055" s="50" t="n">
        <v>1800</v>
      </c>
      <c r="R1055" s="47" t="inlineStr">
        <is>
          <t>Lighter than Thalassa Quanta SE 360mm AIO CPU Cooler [THA-126-04] (1,800 g vs 1,864 g); Lower price than Astraeus Volt Pro 360mm AIO CPU Cooler [AST-146-04] ($106.99 vs $168.99)</t>
        </is>
      </c>
      <c r="S1055" s="47" t="inlineStr">
        <is>
          <t>overclocking, gaming, quiet builds</t>
        </is>
      </c>
      <c r="T1055" s="0" t="inlineStr">
        <is>
          <t>low_stock</t>
        </is>
      </c>
      <c r="U1055" s="0" t="n">
        <v>60</v>
      </c>
      <c r="V1055" s="52" t="n">
        <v>117.99</v>
      </c>
      <c r="W1055" s="0" t="inlineStr">
        <is>
          <t>2026-08-31</t>
        </is>
      </c>
      <c r="X1055" s="0" t="inlineStr">
        <is>
          <t>N/A</t>
        </is>
      </c>
      <c r="Y1055" s="0" t="inlineStr">
        <is>
          <t>N/A</t>
        </is>
      </c>
      <c r="Z1055" s="0" t="inlineStr">
        <is>
          <t>N/A</t>
        </is>
      </c>
      <c r="AA1055" s="0" t="inlineStr">
        <is>
          <t>N/A</t>
        </is>
      </c>
    </row>
    <row r="1056" ht="15.75" customHeight="1" s="51">
      <c r="A1056" s="47" t="inlineStr">
        <is>
          <t>CRO-105-04</t>
        </is>
      </c>
      <c r="B1056" s="47" t="inlineStr">
        <is>
          <t>Cronus</t>
        </is>
      </c>
      <c r="C1056" s="47" t="inlineStr">
        <is>
          <t>Computer Hardware</t>
        </is>
      </c>
      <c r="D1056" s="47" t="inlineStr">
        <is>
          <t>Storage</t>
        </is>
      </c>
      <c r="E1056" s="48" t="inlineStr">
        <is>
          <t>Cronus Wave 4TB External Hard Drive</t>
        </is>
      </c>
      <c r="F1056" s="49" t="n">
        <v>136.99</v>
      </c>
      <c r="G1056" s="47" t="inlineStr">
        <is>
          <t>the Wave; Cronus Wave; Croonus Wave; Wave storage</t>
        </is>
      </c>
      <c r="H1056" s="47" t="inlineStr">
        <is>
          <t>2 year limited</t>
        </is>
      </c>
      <c r="I1056" s="47" t="inlineStr">
        <is>
          <t>FCC, CE, RoHS, USB-IF Certified</t>
        </is>
      </c>
      <c r="J1056" s="47" t="inlineStr">
        <is>
          <t>N/A</t>
        </is>
      </c>
      <c r="K1056" s="47" t="inlineStr">
        <is>
          <t>N/A</t>
        </is>
      </c>
      <c r="L1056" s="47" t="inlineStr">
        <is>
          <t>N/A</t>
        </is>
      </c>
      <c r="M1056" s="47" t="inlineStr">
        <is>
          <t>N/A</t>
        </is>
      </c>
      <c r="N1056" s="47" t="inlineStr">
        <is>
          <t>USB-C (USB 3.2 Gen 1)</t>
        </is>
      </c>
      <c r="O1056" s="47" t="inlineStr">
        <is>
          <t>N/A</t>
        </is>
      </c>
      <c r="P1056" s="47" t="inlineStr">
        <is>
          <t>N/A</t>
        </is>
      </c>
      <c r="Q1056" s="50" t="n">
        <v>241</v>
      </c>
      <c r="R1056" s="47" t="inlineStr">
        <is>
          <t>Lighter than Geras Strata Air 4TB External Hard Drive [GER-133-07] (241 g vs 249 g); Lower price than Hades Rift Pro 4TB External Hard Drive [HAD-119-05] ($136.99 vs $151.99)</t>
        </is>
      </c>
      <c r="S1056" s="47" t="inlineStr">
        <is>
          <t>backup, media storage</t>
        </is>
      </c>
      <c r="T1056" s="0" t="inlineStr">
        <is>
          <t>low_stock</t>
        </is>
      </c>
      <c r="U1056" s="0" t="n">
        <v>60</v>
      </c>
      <c r="V1056" s="52" t="n">
        <v>146.99</v>
      </c>
      <c r="W1056" s="0" t="inlineStr">
        <is>
          <t>2026-08-04</t>
        </is>
      </c>
      <c r="X1056" s="0" t="inlineStr">
        <is>
          <t>N/A</t>
        </is>
      </c>
      <c r="Y1056" s="0" t="inlineStr">
        <is>
          <t>N/A</t>
        </is>
      </c>
      <c r="Z1056" s="0" t="inlineStr">
        <is>
          <t>N/A</t>
        </is>
      </c>
      <c r="AA1056" s="0" t="inlineStr">
        <is>
          <t>N/A</t>
        </is>
      </c>
    </row>
    <row r="1057" ht="15.75" customHeight="1" s="51">
      <c r="A1057" s="47" t="inlineStr">
        <is>
          <t>CRO-105-05</t>
        </is>
      </c>
      <c r="B1057" s="47" t="inlineStr">
        <is>
          <t>Cronus</t>
        </is>
      </c>
      <c r="C1057" s="47" t="inlineStr">
        <is>
          <t>Computer Hardware</t>
        </is>
      </c>
      <c r="D1057" s="47" t="inlineStr">
        <is>
          <t>Mouse</t>
        </is>
      </c>
      <c r="E1057" s="48" t="inlineStr">
        <is>
          <t>Cronus Quanta Gaming Mouse</t>
        </is>
      </c>
      <c r="F1057" s="49" t="n">
        <v>158.99</v>
      </c>
      <c r="G1057" s="47" t="inlineStr">
        <is>
          <t>the Quanta; Cronus Quanta; Croonus Quanta; Quanta mouse</t>
        </is>
      </c>
      <c r="H1057" s="47" t="inlineStr">
        <is>
          <t>2 year limited</t>
        </is>
      </c>
      <c r="I1057" s="47" t="inlineStr">
        <is>
          <t>FCC, CE, RoHS, Bluetooth SIG Qualified</t>
        </is>
      </c>
      <c r="J1057" s="47" t="inlineStr">
        <is>
          <t>Sensor: 36K DPI optical</t>
        </is>
      </c>
      <c r="K1057" s="47" t="inlineStr">
        <is>
          <t>N/A</t>
        </is>
      </c>
      <c r="L1057" s="47" t="inlineStr">
        <is>
          <t>N/A</t>
        </is>
      </c>
      <c r="M1057" s="47" t="inlineStr">
        <is>
          <t>N/A</t>
        </is>
      </c>
      <c r="N1057" s="47" t="inlineStr">
        <is>
          <t>USB-C, 2.4GHz dongle, Bluetooth 5.1</t>
        </is>
      </c>
      <c r="O1057" s="47" t="inlineStr">
        <is>
          <t>N/A</t>
        </is>
      </c>
      <c r="P1057" s="47" t="n">
        <v>114</v>
      </c>
      <c r="Q1057" s="50" t="n">
        <v>92</v>
      </c>
      <c r="R1057" s="47" t="inlineStr">
        <is>
          <t>Longer battery than Crius Nova Pro Gaming Mouse [CRI-139-01] (114 vs 73 hrs); Lighter than Hyperion Quanta Air Gaming Mouse [HYP-123-04] (92 g vs 93 g)</t>
        </is>
      </c>
      <c r="S1057" s="47" t="inlineStr">
        <is>
          <t>gaming, esports</t>
        </is>
      </c>
      <c r="T1057" s="0" t="inlineStr">
        <is>
          <t>in_stock</t>
        </is>
      </c>
      <c r="U1057" s="0" t="n">
        <v>60</v>
      </c>
      <c r="V1057" s="52" t="n">
        <v>178.99</v>
      </c>
      <c r="W1057" s="0" t="inlineStr">
        <is>
          <t>2026-09-21</t>
        </is>
      </c>
      <c r="X1057" s="0" t="inlineStr">
        <is>
          <t>N/A</t>
        </is>
      </c>
      <c r="Y1057" s="0" t="inlineStr">
        <is>
          <t>N/A</t>
        </is>
      </c>
      <c r="Z1057" s="0" t="inlineStr">
        <is>
          <t>N/A</t>
        </is>
      </c>
      <c r="AA1057" s="0" t="inlineStr">
        <is>
          <t>N/A</t>
        </is>
      </c>
    </row>
    <row r="1058" ht="15.75" customHeight="1" s="51">
      <c r="A1058" s="47" t="inlineStr">
        <is>
          <t>CRO-105-06</t>
        </is>
      </c>
      <c r="B1058" s="47" t="inlineStr">
        <is>
          <t>Cronus</t>
        </is>
      </c>
      <c r="C1058" s="47" t="inlineStr">
        <is>
          <t>Computer Hardware</t>
        </is>
      </c>
      <c r="D1058" s="47" t="inlineStr">
        <is>
          <t>Webcam</t>
        </is>
      </c>
      <c r="E1058" s="48" t="inlineStr">
        <is>
          <t>Cronus Quanta SE 4K Webcam</t>
        </is>
      </c>
      <c r="F1058" s="49" t="n">
        <v>203.99</v>
      </c>
      <c r="G1058" s="47" t="inlineStr">
        <is>
          <t>the Quanta SE; Cronus Quanta SE; Cronnus Quanta SE; Quanta SE webcam</t>
        </is>
      </c>
      <c r="H1058" s="47" t="inlineStr">
        <is>
          <t>2 year limited</t>
        </is>
      </c>
      <c r="I1058" s="47" t="inlineStr">
        <is>
          <t>FCC, CE, RoHS, USB-IF Certified</t>
        </is>
      </c>
      <c r="J1058" s="47" t="inlineStr">
        <is>
          <t>N/A</t>
        </is>
      </c>
      <c r="K1058" s="47" t="inlineStr">
        <is>
          <t>N/A</t>
        </is>
      </c>
      <c r="L1058" s="47" t="inlineStr">
        <is>
          <t>N/A</t>
        </is>
      </c>
      <c r="M1058" s="47" t="inlineStr">
        <is>
          <t>3840x2160 @ 30fps, 1080p @ 60fps</t>
        </is>
      </c>
      <c r="N1058" s="47" t="inlineStr">
        <is>
          <t>USB-C (USB 3.0)</t>
        </is>
      </c>
      <c r="O1058" s="47" t="inlineStr">
        <is>
          <t>N/A</t>
        </is>
      </c>
      <c r="P1058" s="47" t="inlineStr">
        <is>
          <t>N/A</t>
        </is>
      </c>
      <c r="Q1058" s="50" t="n">
        <v>130</v>
      </c>
      <c r="R1058" s="47" t="inlineStr">
        <is>
          <t>Lighter than Eirene Wave X 4K Webcam [EIR-112-06] (130 g vs 154 g); Lower price than Iris Arc 4K Webcam [IRI-130-05] ($203.99 vs $207.99)</t>
        </is>
      </c>
      <c r="S1058" s="47" t="inlineStr">
        <is>
          <t>video calls, streaming, remote work</t>
        </is>
      </c>
      <c r="T1058" s="0" t="inlineStr">
        <is>
          <t>in_stock</t>
        </is>
      </c>
      <c r="U1058" s="0" t="n">
        <v>60</v>
      </c>
      <c r="V1058" s="52" t="n">
        <v>223.99</v>
      </c>
      <c r="W1058" s="0" t="inlineStr">
        <is>
          <t>2026-09-03</t>
        </is>
      </c>
      <c r="X1058" s="0" t="inlineStr">
        <is>
          <t>N/A</t>
        </is>
      </c>
      <c r="Y1058" s="0" t="inlineStr">
        <is>
          <t>N/A</t>
        </is>
      </c>
      <c r="Z1058" s="0" t="inlineStr">
        <is>
          <t>N/A</t>
        </is>
      </c>
      <c r="AA1058" s="0" t="inlineStr">
        <is>
          <t>N/A</t>
        </is>
      </c>
    </row>
    <row r="1059" ht="15.75" customHeight="1" s="51">
      <c r="A1059" s="47" t="inlineStr">
        <is>
          <t>CRO-105-07</t>
        </is>
      </c>
      <c r="B1059" s="47" t="inlineStr">
        <is>
          <t>Cronus</t>
        </is>
      </c>
      <c r="C1059" s="47" t="inlineStr">
        <is>
          <t>Computer Hardware</t>
        </is>
      </c>
      <c r="D1059" s="47" t="inlineStr">
        <is>
          <t>Docking Station</t>
        </is>
      </c>
      <c r="E1059" s="48" t="inlineStr">
        <is>
          <t>Cronus Core USB-C Docking Station</t>
        </is>
      </c>
      <c r="F1059" s="49" t="n">
        <v>241.99</v>
      </c>
      <c r="G1059" s="47" t="inlineStr">
        <is>
          <t>the Core; Cronus Core; Cronuus Core; Core docking station</t>
        </is>
      </c>
      <c r="H1059" s="47" t="inlineStr">
        <is>
          <t>2 year limited</t>
        </is>
      </c>
      <c r="I1059" s="47" t="inlineStr">
        <is>
          <t>FCC, CE, RoHS, USB-IF Certified, UL Listed</t>
        </is>
      </c>
      <c r="J1059" s="47" t="inlineStr">
        <is>
          <t>N/A</t>
        </is>
      </c>
      <c r="K1059" s="47" t="inlineStr">
        <is>
          <t>N/A</t>
        </is>
      </c>
      <c r="L1059" s="47" t="inlineStr">
        <is>
          <t>N/A</t>
        </is>
      </c>
      <c r="M1059" s="47" t="inlineStr">
        <is>
          <t>N/A</t>
        </is>
      </c>
      <c r="N1059" s="47" t="inlineStr">
        <is>
          <t>2x HDMI 2.0, 1x DisplayPort 1.4, 3x USB-A 3.2, 2x USB-C, 2.5GbE, SD card, 100W PD</t>
        </is>
      </c>
      <c r="O1059" s="47" t="inlineStr">
        <is>
          <t>N/A</t>
        </is>
      </c>
      <c r="P1059" s="47" t="inlineStr">
        <is>
          <t>N/A</t>
        </is>
      </c>
      <c r="Q1059" s="50" t="n">
        <v>418</v>
      </c>
      <c r="R1059" s="47" t="inlineStr">
        <is>
          <t>Lower price than Aidos Quanta Ultra USB-C Docking Station [AID-135-06] ($241.99 vs $247.99); Lighter than Hestia Lumen Lite USB-C Docking Station [HES-116-04] (418 g vs 476 g)</t>
        </is>
      </c>
      <c r="S1059" s="47" t="inlineStr">
        <is>
          <t>office, remote work, multi-monitor</t>
        </is>
      </c>
      <c r="T1059" s="0" t="inlineStr">
        <is>
          <t>in_stock</t>
        </is>
      </c>
      <c r="U1059" s="0" t="n">
        <v>60</v>
      </c>
      <c r="V1059" s="52" t="n">
        <v>268.99</v>
      </c>
      <c r="W1059" s="0" t="inlineStr">
        <is>
          <t>2026-08-05</t>
        </is>
      </c>
      <c r="X1059" s="0" t="inlineStr">
        <is>
          <t>N/A</t>
        </is>
      </c>
      <c r="Y1059" s="0" t="inlineStr">
        <is>
          <t>N/A</t>
        </is>
      </c>
      <c r="Z1059" s="0" t="inlineStr">
        <is>
          <t>N/A</t>
        </is>
      </c>
      <c r="AA1059" s="0" t="inlineStr">
        <is>
          <t>N/A</t>
        </is>
      </c>
    </row>
    <row r="1060" ht="15.75" customHeight="1" s="51">
      <c r="A1060" s="47" t="inlineStr">
        <is>
          <t>CRO-105-08</t>
        </is>
      </c>
      <c r="B1060" s="47" t="inlineStr">
        <is>
          <t>Cronus</t>
        </is>
      </c>
      <c r="C1060" s="47" t="inlineStr">
        <is>
          <t>Computer Hardware</t>
        </is>
      </c>
      <c r="D1060" s="47" t="inlineStr">
        <is>
          <t>Motherboard</t>
        </is>
      </c>
      <c r="E1060" s="48" t="inlineStr">
        <is>
          <t>Cronus Drift Lite ATX Motherboard</t>
        </is>
      </c>
      <c r="F1060" s="49" t="n">
        <v>368.99</v>
      </c>
      <c r="G1060" s="47" t="inlineStr">
        <is>
          <t>the Drift Lite; Cronus Drift Lite; Croonus Drift Lite; Drift Lite motherboard</t>
        </is>
      </c>
      <c r="H1060" s="47" t="inlineStr">
        <is>
          <t>3 year limited</t>
        </is>
      </c>
      <c r="I1060" s="47" t="inlineStr">
        <is>
          <t>FCC, CE, RoHS</t>
        </is>
      </c>
      <c r="J1060" s="47" t="inlineStr">
        <is>
          <t>Supports Intel Core Ultra 200S (LGA1851)</t>
        </is>
      </c>
      <c r="K1060" s="47" t="inlineStr">
        <is>
          <t>N/A</t>
        </is>
      </c>
      <c r="L1060" s="47" t="inlineStr">
        <is>
          <t>N/A</t>
        </is>
      </c>
      <c r="M1060" s="47" t="inlineStr">
        <is>
          <t>N/A</t>
        </is>
      </c>
      <c r="N1060" s="47" t="inlineStr">
        <is>
          <t>Rear I/O: 1x HDMI, 1x DisplayPort, 8x USB-A, 2x USB-C 20Gbps, 2.5GbE, Wi-Fi 7</t>
        </is>
      </c>
      <c r="O1060" s="47" t="inlineStr">
        <is>
          <t>N/A</t>
        </is>
      </c>
      <c r="P1060" s="47" t="inlineStr">
        <is>
          <t>N/A</t>
        </is>
      </c>
      <c r="Q1060" s="50" t="n">
        <v>1607</v>
      </c>
      <c r="R1060" s="47" t="inlineStr">
        <is>
          <t>Lighter than Phoebe Nova X ATX Motherboard [PHO-143-08] (1,607 g vs 1,680 g); Lower price than Enyo Volt Air ATX Motherboard [ENY-114-08] ($368.99 vs $491.99)</t>
        </is>
      </c>
      <c r="S1060" s="47" t="inlineStr">
        <is>
          <t>PC building, gaming, workstation builds</t>
        </is>
      </c>
      <c r="T1060" s="0" t="inlineStr">
        <is>
          <t>in_stock</t>
        </is>
      </c>
      <c r="U1060" s="0" t="n">
        <v>60</v>
      </c>
      <c r="V1060" s="52" t="n">
        <v>406.99</v>
      </c>
      <c r="W1060" s="0" t="inlineStr">
        <is>
          <t>2026-08-25</t>
        </is>
      </c>
      <c r="X1060" s="0" t="inlineStr">
        <is>
          <t>N/A</t>
        </is>
      </c>
      <c r="Y1060" s="0" t="inlineStr">
        <is>
          <t>N/A</t>
        </is>
      </c>
      <c r="Z1060" s="0" t="inlineStr">
        <is>
          <t>N/A</t>
        </is>
      </c>
      <c r="AA1060" s="0" t="inlineStr">
        <is>
          <t>N/A</t>
        </is>
      </c>
    </row>
    <row r="1061" ht="15.75" customHeight="1" s="51">
      <c r="A1061" s="47" t="inlineStr">
        <is>
          <t>CRO-105-09</t>
        </is>
      </c>
      <c r="B1061" s="47" t="inlineStr">
        <is>
          <t>Cronus</t>
        </is>
      </c>
      <c r="C1061" s="47" t="inlineStr">
        <is>
          <t>Computer Hardware</t>
        </is>
      </c>
      <c r="D1061" s="47" t="inlineStr">
        <is>
          <t>Monitor</t>
        </is>
      </c>
      <c r="E1061" s="48" t="inlineStr">
        <is>
          <t>Cronus Crest X 27" 1440p Monitor</t>
        </is>
      </c>
      <c r="F1061" s="49" t="n">
        <v>371.99</v>
      </c>
      <c r="G1061" s="47" t="inlineStr">
        <is>
          <t>the Crest X; Cronus Crest X; Cronos Crest X; Crest X monitor</t>
        </is>
      </c>
      <c r="H1061" s="47" t="inlineStr">
        <is>
          <t>3 year limited</t>
        </is>
      </c>
      <c r="I1061" s="47" t="inlineStr">
        <is>
          <t>FCC, CE, RoHS, Energy Star, TUV Rheinland Low Blue Light, VESA DisplayHDR 600</t>
        </is>
      </c>
      <c r="J1061" s="47" t="inlineStr">
        <is>
          <t>N/A</t>
        </is>
      </c>
      <c r="K1061" s="47" t="inlineStr">
        <is>
          <t>N/A</t>
        </is>
      </c>
      <c r="L1061" s="47" t="inlineStr">
        <is>
          <t>IPS, 165Hz</t>
        </is>
      </c>
      <c r="M1061" s="47" t="inlineStr">
        <is>
          <t>2560x1440</t>
        </is>
      </c>
      <c r="N1061" s="47" t="inlineStr">
        <is>
          <t>2x HDMI 2.1, 1x DisplayPort 1.4</t>
        </is>
      </c>
      <c r="O1061" s="47" t="inlineStr">
        <is>
          <t>N/A</t>
        </is>
      </c>
      <c r="P1061" s="47" t="inlineStr">
        <is>
          <t>N/A</t>
        </is>
      </c>
      <c r="Q1061" s="50" t="n">
        <v>5284</v>
      </c>
      <c r="R1061" s="47" t="inlineStr">
        <is>
          <t>Lighter than Nyx Lumen Max 27" 1440p Monitor [NYX-115-08] (5,284 g vs 5,581 g); Lower price than Notus Core Air 27" 1440p Monitor [NOT-108-09] ($371.99 vs $636.99)</t>
        </is>
      </c>
      <c r="S1061" s="47" t="inlineStr">
        <is>
          <t>gaming, office, content creation</t>
        </is>
      </c>
      <c r="T1061" s="0" t="inlineStr">
        <is>
          <t>in_stock</t>
        </is>
      </c>
      <c r="U1061" s="0" t="n">
        <v>60</v>
      </c>
      <c r="V1061" s="52" t="n">
        <v>388.99</v>
      </c>
      <c r="W1061" s="0" t="inlineStr">
        <is>
          <t>2026-08-09</t>
        </is>
      </c>
      <c r="X1061" s="0" t="inlineStr">
        <is>
          <t>N/A</t>
        </is>
      </c>
      <c r="Y1061" s="0" t="inlineStr">
        <is>
          <t>N/A</t>
        </is>
      </c>
      <c r="Z1061" s="0" t="inlineStr">
        <is>
          <t>N/A</t>
        </is>
      </c>
      <c r="AA1061" s="0" t="inlineStr">
        <is>
          <t>N/A</t>
        </is>
      </c>
    </row>
    <row r="1062" ht="15.75" customHeight="1" s="51">
      <c r="A1062" s="47" t="inlineStr">
        <is>
          <t>CRO-105-10</t>
        </is>
      </c>
      <c r="B1062" s="47" t="inlineStr">
        <is>
          <t>Cronus</t>
        </is>
      </c>
      <c r="C1062" s="47" t="inlineStr">
        <is>
          <t>Computer Hardware</t>
        </is>
      </c>
      <c r="D1062" s="47" t="inlineStr">
        <is>
          <t>Graphics Card</t>
        </is>
      </c>
      <c r="E1062" s="48" t="inlineStr">
        <is>
          <t>Cronus Echo Graphics Card</t>
        </is>
      </c>
      <c r="F1062" s="49" t="n">
        <v>569.99</v>
      </c>
      <c r="G1062" s="47" t="inlineStr">
        <is>
          <t>the Echo; Cronus Echo; Cronnus Echo; Echo graphics card</t>
        </is>
      </c>
      <c r="H1062" s="47" t="inlineStr">
        <is>
          <t>3 year limited</t>
        </is>
      </c>
      <c r="I1062" s="47" t="inlineStr">
        <is>
          <t>FCC, CE, RoHS</t>
        </is>
      </c>
      <c r="J1062" s="47" t="inlineStr">
        <is>
          <t>N/A</t>
        </is>
      </c>
      <c r="K1062" s="47" t="inlineStr">
        <is>
          <t>NVIDIA GeForce RTX 4070 Super 12GB (Cronus Echo edition)</t>
        </is>
      </c>
      <c r="L1062" s="47" t="inlineStr">
        <is>
          <t>N/A</t>
        </is>
      </c>
      <c r="M1062" s="47" t="inlineStr">
        <is>
          <t>N/A</t>
        </is>
      </c>
      <c r="N1062" s="47" t="inlineStr">
        <is>
          <t>3x DisplayPort 1.4a, 1x HDMI 2.1a</t>
        </is>
      </c>
      <c r="O1062" s="47" t="inlineStr">
        <is>
          <t>N/A</t>
        </is>
      </c>
      <c r="P1062" s="47" t="inlineStr">
        <is>
          <t>N/A</t>
        </is>
      </c>
      <c r="Q1062" s="50" t="n">
        <v>875</v>
      </c>
      <c r="R1062" s="47" t="inlineStr">
        <is>
          <t>Lower price than Eos Spark X Graphics Card [EOS-111-10] ($569.99 vs $1,010.99); Lighter than Perses Arc Max Graphics Card [PER-101-10] (875 g vs 1,743 g)</t>
        </is>
      </c>
      <c r="S1062" s="47" t="inlineStr">
        <is>
          <t>gaming, 3D rendering, AI workloads</t>
        </is>
      </c>
      <c r="T1062" s="0" t="inlineStr">
        <is>
          <t>in_stock</t>
        </is>
      </c>
      <c r="U1062" s="0" t="n">
        <v>60</v>
      </c>
      <c r="V1062" s="52" t="n">
        <v>624.99</v>
      </c>
      <c r="W1062" s="0" t="inlineStr">
        <is>
          <t>2026-09-08</t>
        </is>
      </c>
      <c r="X1062" s="0" t="inlineStr">
        <is>
          <t>N/A</t>
        </is>
      </c>
      <c r="Y1062" s="0" t="inlineStr">
        <is>
          <t>N/A</t>
        </is>
      </c>
      <c r="Z1062" s="0" t="inlineStr">
        <is>
          <t>N/A</t>
        </is>
      </c>
      <c r="AA1062" s="0" t="inlineStr">
        <is>
          <t>N/A</t>
        </is>
      </c>
    </row>
    <row r="1063" ht="15.75" customHeight="1" s="51">
      <c r="A1063" s="47" t="inlineStr">
        <is>
          <t>HAR-106-01</t>
        </is>
      </c>
      <c r="B1063" s="47" t="inlineStr">
        <is>
          <t>Harmonia</t>
        </is>
      </c>
      <c r="C1063" s="47" t="inlineStr">
        <is>
          <t>Computer Hardware</t>
        </is>
      </c>
      <c r="D1063" s="47" t="inlineStr">
        <is>
          <t>Case Fans</t>
        </is>
      </c>
      <c r="E1063" s="48" t="inlineStr">
        <is>
          <t>Harmonia Halo Lite RGB Case Fan 3-Pack</t>
        </is>
      </c>
      <c r="F1063" s="49" t="n">
        <v>31.99</v>
      </c>
      <c r="G1063" s="47" t="inlineStr">
        <is>
          <t>the Halo Lite; Harmonia Halo Lite; Harmnoia Halo Lite; Halo Lite case fans</t>
        </is>
      </c>
      <c r="H1063" s="47" t="inlineStr">
        <is>
          <t>2 year limited</t>
        </is>
      </c>
      <c r="I1063" s="47" t="inlineStr">
        <is>
          <t>FCC, CE, RoHS</t>
        </is>
      </c>
      <c r="J1063" s="47" t="inlineStr">
        <is>
          <t>N/A</t>
        </is>
      </c>
      <c r="K1063" s="47" t="inlineStr">
        <is>
          <t>N/A</t>
        </is>
      </c>
      <c r="L1063" s="47" t="inlineStr">
        <is>
          <t>N/A</t>
        </is>
      </c>
      <c r="M1063" s="47" t="inlineStr">
        <is>
          <t>N/A</t>
        </is>
      </c>
      <c r="N1063" s="47" t="inlineStr">
        <is>
          <t>4-pin PWM, 3-pin 5V ARGB, daisy-chain connectors</t>
        </is>
      </c>
      <c r="O1063" s="47" t="inlineStr">
        <is>
          <t>N/A</t>
        </is>
      </c>
      <c r="P1063" s="47" t="inlineStr">
        <is>
          <t>N/A</t>
        </is>
      </c>
      <c r="Q1063" s="50" t="n">
        <v>491</v>
      </c>
      <c r="R1063" s="47" t="inlineStr">
        <is>
          <t>Lower price than Bia Volt Lite RGB Case Fan 3-Pack [BIA-107-01] ($31.99 vs $76.99); Lighter than Eucleia Halo RGB Case Fan 3-Pack [EUC-124-01] (491 g vs 519 g)</t>
        </is>
      </c>
      <c r="S1063" s="47" t="inlineStr">
        <is>
          <t>PC building, cooling, RGB builds</t>
        </is>
      </c>
      <c r="T1063" s="0" t="inlineStr">
        <is>
          <t>in_stock</t>
        </is>
      </c>
      <c r="U1063" s="0" t="n">
        <v>45</v>
      </c>
      <c r="V1063" s="52" t="n">
        <v>35.99</v>
      </c>
      <c r="W1063" s="0" t="inlineStr">
        <is>
          <t>2026-08-02</t>
        </is>
      </c>
      <c r="X1063" s="0" t="inlineStr">
        <is>
          <t>N/A</t>
        </is>
      </c>
      <c r="Y1063" s="0" t="inlineStr">
        <is>
          <t>N/A</t>
        </is>
      </c>
      <c r="Z1063" s="0" t="inlineStr">
        <is>
          <t>N/A</t>
        </is>
      </c>
      <c r="AA1063" s="0" t="inlineStr">
        <is>
          <t>N/A</t>
        </is>
      </c>
    </row>
    <row r="1064" ht="15.75" customHeight="1" s="51">
      <c r="A1064" s="47" t="inlineStr">
        <is>
          <t>HAR-106-02</t>
        </is>
      </c>
      <c r="B1064" s="47" t="inlineStr">
        <is>
          <t>Harmonia</t>
        </is>
      </c>
      <c r="C1064" s="47" t="inlineStr">
        <is>
          <t>Computer Hardware</t>
        </is>
      </c>
      <c r="D1064" s="47" t="inlineStr">
        <is>
          <t>Networking</t>
        </is>
      </c>
      <c r="E1064" s="48" t="inlineStr">
        <is>
          <t>Harmonia Prism X Wi-Fi 7 PCIe Card</t>
        </is>
      </c>
      <c r="F1064" s="49" t="n">
        <v>49.99</v>
      </c>
      <c r="G1064" s="47" t="inlineStr">
        <is>
          <t>the Prism X; Harmonia Prism X; Harmnoia Prism X; Prism X networking</t>
        </is>
      </c>
      <c r="H1064" s="47" t="inlineStr">
        <is>
          <t>2 year limited</t>
        </is>
      </c>
      <c r="I1064" s="47" t="inlineStr">
        <is>
          <t>FCC, CE, RoHS, Wi-Fi CERTIFIED 7, Bluetooth SIG Qualified</t>
        </is>
      </c>
      <c r="J1064" s="47" t="inlineStr">
        <is>
          <t>Chipset: MediaTek MT7927</t>
        </is>
      </c>
      <c r="K1064" s="47" t="inlineStr">
        <is>
          <t>N/A</t>
        </is>
      </c>
      <c r="L1064" s="47" t="inlineStr">
        <is>
          <t>N/A</t>
        </is>
      </c>
      <c r="M1064" s="47" t="inlineStr">
        <is>
          <t>N/A</t>
        </is>
      </c>
      <c r="N1064" s="47" t="inlineStr">
        <is>
          <t>PCIe x1, internal USB 2.0 header (Bluetooth 5.4), 2x external antennas</t>
        </is>
      </c>
      <c r="O1064" s="47" t="inlineStr">
        <is>
          <t>N/A</t>
        </is>
      </c>
      <c r="P1064" s="47" t="inlineStr">
        <is>
          <t>N/A</t>
        </is>
      </c>
      <c r="Q1064" s="50" t="n">
        <v>78</v>
      </c>
      <c r="R1064" s="47" t="inlineStr">
        <is>
          <t>Lower price than Aphrodite Vertex Max Wi-Fi 7 PCIe Card [APH-141-03] ($49.99 vs $107.99); Lighter than Thalassa Volt Lite Wi-Fi 7 PCIe Card [THA-126-03] (78 g vs 79 g)</t>
        </is>
      </c>
      <c r="S1064" s="47" t="inlineStr">
        <is>
          <t>gaming, streaming, PC building</t>
        </is>
      </c>
      <c r="T1064" s="0" t="inlineStr">
        <is>
          <t>in_stock</t>
        </is>
      </c>
      <c r="U1064" s="0" t="n">
        <v>45</v>
      </c>
      <c r="V1064" s="52" t="n">
        <v>56.99</v>
      </c>
      <c r="W1064" s="0" t="inlineStr">
        <is>
          <t>2026-08-09</t>
        </is>
      </c>
      <c r="X1064" s="0" t="inlineStr">
        <is>
          <t>N/A</t>
        </is>
      </c>
      <c r="Y1064" s="0" t="inlineStr">
        <is>
          <t>N/A</t>
        </is>
      </c>
      <c r="Z1064" s="0" t="inlineStr">
        <is>
          <t>N/A</t>
        </is>
      </c>
      <c r="AA1064" s="0" t="inlineStr">
        <is>
          <t>N/A</t>
        </is>
      </c>
    </row>
    <row r="1065" ht="15.75" customHeight="1" s="51">
      <c r="A1065" s="47" t="inlineStr">
        <is>
          <t>HAR-106-03</t>
        </is>
      </c>
      <c r="B1065" s="47" t="inlineStr">
        <is>
          <t>Harmonia</t>
        </is>
      </c>
      <c r="C1065" s="47" t="inlineStr">
        <is>
          <t>Computer Hardware</t>
        </is>
      </c>
      <c r="D1065" s="47" t="inlineStr">
        <is>
          <t>Mouse</t>
        </is>
      </c>
      <c r="E1065" s="48" t="inlineStr">
        <is>
          <t>Harmonia Strata Gaming Mouse</t>
        </is>
      </c>
      <c r="F1065" s="49" t="n">
        <v>139.99</v>
      </c>
      <c r="G1065" s="47" t="inlineStr">
        <is>
          <t>the Strata; Harmonia Strata; Harmoniia Strata; Strata mouse</t>
        </is>
      </c>
      <c r="H1065" s="47" t="inlineStr">
        <is>
          <t>2 year limited</t>
        </is>
      </c>
      <c r="I1065" s="47" t="inlineStr">
        <is>
          <t>FCC, CE, RoHS, Bluetooth SIG Qualified</t>
        </is>
      </c>
      <c r="J1065" s="47" t="inlineStr">
        <is>
          <t>Sensor: 36K DPI optical</t>
        </is>
      </c>
      <c r="K1065" s="47" t="inlineStr">
        <is>
          <t>N/A</t>
        </is>
      </c>
      <c r="L1065" s="47" t="inlineStr">
        <is>
          <t>N/A</t>
        </is>
      </c>
      <c r="M1065" s="47" t="inlineStr">
        <is>
          <t>N/A</t>
        </is>
      </c>
      <c r="N1065" s="47" t="inlineStr">
        <is>
          <t>USB-C, 2.4GHz dongle, Bluetooth 5.1</t>
        </is>
      </c>
      <c r="O1065" s="47" t="inlineStr">
        <is>
          <t>N/A</t>
        </is>
      </c>
      <c r="P1065" s="47" t="n">
        <v>105</v>
      </c>
      <c r="Q1065" s="50" t="n">
        <v>77</v>
      </c>
      <c r="R1065" s="47" t="inlineStr">
        <is>
          <t>Lower price than Hestia Halo Gaming Mouse [HES-116-03] ($139.99 vs $153.99); Lighter than Hyperion Quanta Air Gaming Mouse [HYP-123-04] (77 g vs 93 g)</t>
        </is>
      </c>
      <c r="S1065" s="47" t="inlineStr">
        <is>
          <t>gaming, esports</t>
        </is>
      </c>
      <c r="T1065" s="0" t="inlineStr">
        <is>
          <t>low_stock</t>
        </is>
      </c>
      <c r="U1065" s="0" t="n">
        <v>45</v>
      </c>
      <c r="V1065" s="52" t="n">
        <v>148.99</v>
      </c>
      <c r="W1065" s="0" t="inlineStr">
        <is>
          <t>2026-08-21</t>
        </is>
      </c>
      <c r="X1065" s="0" t="inlineStr">
        <is>
          <t>N/A</t>
        </is>
      </c>
      <c r="Y1065" s="0" t="inlineStr">
        <is>
          <t>N/A</t>
        </is>
      </c>
      <c r="Z1065" s="0" t="inlineStr">
        <is>
          <t>N/A</t>
        </is>
      </c>
      <c r="AA1065" s="0" t="inlineStr">
        <is>
          <t>N/A</t>
        </is>
      </c>
    </row>
    <row r="1066" ht="15.75" customHeight="1" s="51">
      <c r="A1066" s="47" t="inlineStr">
        <is>
          <t>HAR-106-04</t>
        </is>
      </c>
      <c r="B1066" s="47" t="inlineStr">
        <is>
          <t>Harmonia</t>
        </is>
      </c>
      <c r="C1066" s="47" t="inlineStr">
        <is>
          <t>Computer Hardware</t>
        </is>
      </c>
      <c r="D1066" s="47" t="inlineStr">
        <is>
          <t>PC Case</t>
        </is>
      </c>
      <c r="E1066" s="48" t="inlineStr">
        <is>
          <t>Harmonia Pulse SE Mid-Tower PC Case</t>
        </is>
      </c>
      <c r="F1066" s="49" t="n">
        <v>150.99</v>
      </c>
      <c r="G1066" s="47" t="inlineStr">
        <is>
          <t>the Pulse SE; Harmonia Pulse SE; Harmmonia Pulse SE; Pulse SE pc case</t>
        </is>
      </c>
      <c r="H1066" s="47" t="inlineStr">
        <is>
          <t>2 year limited</t>
        </is>
      </c>
      <c r="I1066" s="47" t="inlineStr">
        <is>
          <t>FCC, CE, RoHS, UL 94 V-0 (materials)</t>
        </is>
      </c>
      <c r="J1066" s="47" t="inlineStr">
        <is>
          <t>N/A</t>
        </is>
      </c>
      <c r="K1066" s="47" t="inlineStr">
        <is>
          <t>N/A</t>
        </is>
      </c>
      <c r="L1066" s="47" t="inlineStr">
        <is>
          <t>N/A</t>
        </is>
      </c>
      <c r="M1066" s="47" t="inlineStr">
        <is>
          <t>N/A</t>
        </is>
      </c>
      <c r="N1066" s="47" t="inlineStr">
        <is>
          <t>Front I/O: 1x USB-C 10Gbps, 2x USB-A 3.0, 3.5mm combo audio</t>
        </is>
      </c>
      <c r="O1066" s="47" t="inlineStr">
        <is>
          <t>N/A</t>
        </is>
      </c>
      <c r="P1066" s="47" t="inlineStr">
        <is>
          <t>N/A</t>
        </is>
      </c>
      <c r="Q1066" s="50" t="n">
        <v>7116</v>
      </c>
      <c r="R1066" s="47" t="inlineStr">
        <is>
          <t>Lighter than Phoebe Blaze SE Mid-Tower PC Case [PHO-143-02] (7,116 g vs 7,917 g); Lower price than Urania Arc X Mid-Tower PC Case [URA-136-06] ($150.99 vs $158.99)</t>
        </is>
      </c>
      <c r="S1066" s="47" t="inlineStr">
        <is>
          <t>PC building, gaming</t>
        </is>
      </c>
      <c r="T1066" s="0" t="inlineStr">
        <is>
          <t>in_stock</t>
        </is>
      </c>
      <c r="U1066" s="0" t="n">
        <v>45</v>
      </c>
      <c r="V1066" s="52" t="n">
        <v>160.99</v>
      </c>
      <c r="W1066" s="0" t="inlineStr">
        <is>
          <t>2026-08-09</t>
        </is>
      </c>
      <c r="X1066" s="0" t="inlineStr">
        <is>
          <t>N/A</t>
        </is>
      </c>
      <c r="Y1066" s="0" t="inlineStr">
        <is>
          <t>N/A</t>
        </is>
      </c>
      <c r="Z1066" s="0" t="inlineStr">
        <is>
          <t>N/A</t>
        </is>
      </c>
      <c r="AA1066" s="0" t="inlineStr">
        <is>
          <t>N/A</t>
        </is>
      </c>
    </row>
    <row r="1067" ht="15.75" customHeight="1" s="51">
      <c r="A1067" s="47" t="inlineStr">
        <is>
          <t>HAR-106-05</t>
        </is>
      </c>
      <c r="B1067" s="47" t="inlineStr">
        <is>
          <t>Harmonia</t>
        </is>
      </c>
      <c r="C1067" s="47" t="inlineStr">
        <is>
          <t>Computer Hardware</t>
        </is>
      </c>
      <c r="D1067" s="47" t="inlineStr">
        <is>
          <t>Keyboard</t>
        </is>
      </c>
      <c r="E1067" s="48" t="inlineStr">
        <is>
          <t>Harmonia Halo Mechanical Keyboard</t>
        </is>
      </c>
      <c r="F1067" s="49" t="n">
        <v>170.99</v>
      </c>
      <c r="G1067" s="47" t="inlineStr">
        <is>
          <t>the Halo; Harmonia Halo; Harmonnia Halo; Halo keyboard</t>
        </is>
      </c>
      <c r="H1067" s="47" t="inlineStr">
        <is>
          <t>2 year limited</t>
        </is>
      </c>
      <c r="I1067" s="47" t="inlineStr">
        <is>
          <t>FCC, CE, RoHS, Bluetooth SIG Qualified</t>
        </is>
      </c>
      <c r="J1067" s="47" t="inlineStr">
        <is>
          <t>N/A</t>
        </is>
      </c>
      <c r="K1067" s="47" t="inlineStr">
        <is>
          <t>N/A</t>
        </is>
      </c>
      <c r="L1067" s="47" t="inlineStr">
        <is>
          <t>N/A</t>
        </is>
      </c>
      <c r="M1067" s="47" t="inlineStr">
        <is>
          <t>N/A</t>
        </is>
      </c>
      <c r="N1067" s="47" t="inlineStr">
        <is>
          <t>USB-C, 2.4GHz dongle, Bluetooth 5.1</t>
        </is>
      </c>
      <c r="O1067" s="47" t="inlineStr">
        <is>
          <t>N/A</t>
        </is>
      </c>
      <c r="P1067" s="47" t="n">
        <v>258</v>
      </c>
      <c r="Q1067" s="50" t="n">
        <v>900</v>
      </c>
      <c r="R1067" s="47" t="inlineStr">
        <is>
          <t>Lighter than Eirene Axis Max Mechanical Keyboard [EIR-112-07] (900 g vs 1,039 g); Longer battery than Atlas Strata Ultra Mechanical Keyboard [ATL-122-07] (258 vs 220 hrs)</t>
        </is>
      </c>
      <c r="S1067" s="47" t="inlineStr">
        <is>
          <t>gaming, typing, office</t>
        </is>
      </c>
      <c r="T1067" s="0" t="inlineStr">
        <is>
          <t>in_stock</t>
        </is>
      </c>
      <c r="U1067" s="0" t="n">
        <v>45</v>
      </c>
      <c r="V1067" s="52" t="n">
        <v>183.99</v>
      </c>
      <c r="W1067" s="0" t="inlineStr">
        <is>
          <t>2026-08-22</t>
        </is>
      </c>
      <c r="X1067" s="0" t="inlineStr">
        <is>
          <t>N/A</t>
        </is>
      </c>
      <c r="Y1067" s="0" t="inlineStr">
        <is>
          <t>N/A</t>
        </is>
      </c>
      <c r="Z1067" s="0" t="inlineStr">
        <is>
          <t>N/A</t>
        </is>
      </c>
      <c r="AA1067" s="0" t="inlineStr">
        <is>
          <t>N/A</t>
        </is>
      </c>
    </row>
    <row r="1068" ht="15.75" customHeight="1" s="51">
      <c r="A1068" s="47" t="inlineStr">
        <is>
          <t>HAR-106-06</t>
        </is>
      </c>
      <c r="B1068" s="47" t="inlineStr">
        <is>
          <t>Harmonia</t>
        </is>
      </c>
      <c r="C1068" s="47" t="inlineStr">
        <is>
          <t>Computer Hardware</t>
        </is>
      </c>
      <c r="D1068" s="47" t="inlineStr">
        <is>
          <t>Webcam</t>
        </is>
      </c>
      <c r="E1068" s="48" t="inlineStr">
        <is>
          <t>Harmonia Vibe 4K Webcam</t>
        </is>
      </c>
      <c r="F1068" s="49" t="n">
        <v>173.99</v>
      </c>
      <c r="G1068" s="47" t="inlineStr">
        <is>
          <t>the Vibe; Harmonia Vibe; Harmoni Vibe; Vibe webcam</t>
        </is>
      </c>
      <c r="H1068" s="47" t="inlineStr">
        <is>
          <t>2 year limited</t>
        </is>
      </c>
      <c r="I1068" s="47" t="inlineStr">
        <is>
          <t>FCC, CE, RoHS, USB-IF Certified</t>
        </is>
      </c>
      <c r="J1068" s="47" t="inlineStr">
        <is>
          <t>N/A</t>
        </is>
      </c>
      <c r="K1068" s="47" t="inlineStr">
        <is>
          <t>N/A</t>
        </is>
      </c>
      <c r="L1068" s="47" t="inlineStr">
        <is>
          <t>N/A</t>
        </is>
      </c>
      <c r="M1068" s="47" t="inlineStr">
        <is>
          <t>3840x2160 @ 30fps, 1080p @ 60fps</t>
        </is>
      </c>
      <c r="N1068" s="47" t="inlineStr">
        <is>
          <t>USB-C (USB 3.0)</t>
        </is>
      </c>
      <c r="O1068" s="47" t="inlineStr">
        <is>
          <t>N/A</t>
        </is>
      </c>
      <c r="P1068" s="47" t="inlineStr">
        <is>
          <t>N/A</t>
        </is>
      </c>
      <c r="Q1068" s="50" t="n">
        <v>152</v>
      </c>
      <c r="R1068" s="47" t="inlineStr">
        <is>
          <t>Lower price than Enyo Titan Ultra 4K Webcam [ENY-114-06] ($173.99 vs $223.99); Lighter than Hestia Titan Pro 4K Webcam [HES-116-01] (152 g vs 168 g)</t>
        </is>
      </c>
      <c r="S1068" s="47" t="inlineStr">
        <is>
          <t>video calls, streaming, remote work</t>
        </is>
      </c>
      <c r="T1068" s="0" t="inlineStr">
        <is>
          <t>in_stock</t>
        </is>
      </c>
      <c r="U1068" s="0" t="n">
        <v>45</v>
      </c>
      <c r="V1068" s="52" t="n">
        <v>183.99</v>
      </c>
      <c r="W1068" s="0" t="inlineStr">
        <is>
          <t>2026-08-19</t>
        </is>
      </c>
      <c r="X1068" s="0" t="inlineStr">
        <is>
          <t>N/A</t>
        </is>
      </c>
      <c r="Y1068" s="0" t="inlineStr">
        <is>
          <t>N/A</t>
        </is>
      </c>
      <c r="Z1068" s="0" t="inlineStr">
        <is>
          <t>N/A</t>
        </is>
      </c>
      <c r="AA1068" s="0" t="inlineStr">
        <is>
          <t>N/A</t>
        </is>
      </c>
    </row>
    <row r="1069" ht="15.75" customHeight="1" s="51">
      <c r="A1069" s="47" t="inlineStr">
        <is>
          <t>HAR-106-07</t>
        </is>
      </c>
      <c r="B1069" s="47" t="inlineStr">
        <is>
          <t>Harmonia</t>
        </is>
      </c>
      <c r="C1069" s="47" t="inlineStr">
        <is>
          <t>Computer Hardware</t>
        </is>
      </c>
      <c r="D1069" s="47" t="inlineStr">
        <is>
          <t>Memory</t>
        </is>
      </c>
      <c r="E1069" s="48" t="inlineStr">
        <is>
          <t>Harmonia Lumen Air 32GB DDR5 RAM Kit</t>
        </is>
      </c>
      <c r="F1069" s="49" t="n">
        <v>178.99</v>
      </c>
      <c r="G1069" s="47" t="inlineStr">
        <is>
          <t>the Lumen Air; Harmonia Lumen Air; Harmoni Lumen Air; Lumen Air memory</t>
        </is>
      </c>
      <c r="H1069" s="47" t="inlineStr">
        <is>
          <t>Limited lifetime</t>
        </is>
      </c>
      <c r="I1069" s="47" t="inlineStr">
        <is>
          <t>FCC, CE, RoHS</t>
        </is>
      </c>
      <c r="J1069" s="47" t="inlineStr">
        <is>
          <t>N/A</t>
        </is>
      </c>
      <c r="K1069" s="47" t="inlineStr">
        <is>
          <t>N/A</t>
        </is>
      </c>
      <c r="L1069" s="47" t="inlineStr">
        <is>
          <t>N/A</t>
        </is>
      </c>
      <c r="M1069" s="47" t="inlineStr">
        <is>
          <t>N/A</t>
        </is>
      </c>
      <c r="N1069" s="47" t="inlineStr">
        <is>
          <t>2x 16GB DDR5 288-pin DIMM, 6000 MT/s</t>
        </is>
      </c>
      <c r="O1069" s="47" t="inlineStr">
        <is>
          <t>N/A</t>
        </is>
      </c>
      <c r="P1069" s="47" t="inlineStr">
        <is>
          <t>N/A</t>
        </is>
      </c>
      <c r="Q1069" s="50" t="n">
        <v>77</v>
      </c>
      <c r="R1069" s="47" t="inlineStr">
        <is>
          <t>Lower price than Eucleia Volt 32GB DDR5 RAM Kit [EUC-124-08] ($178.99 vs $211.99); Lighter than Dione Core Air 32GB DDR5 RAM Kit [DIO-128-07] (77 g vs 81 g)</t>
        </is>
      </c>
      <c r="S1069" s="47" t="inlineStr">
        <is>
          <t>gaming, multitasking, PC building</t>
        </is>
      </c>
      <c r="T1069" s="0" t="inlineStr">
        <is>
          <t>in_stock</t>
        </is>
      </c>
      <c r="U1069" s="0" t="n">
        <v>45</v>
      </c>
      <c r="V1069" s="52" t="n">
        <v>194.99</v>
      </c>
      <c r="W1069" s="0" t="inlineStr">
        <is>
          <t>2026-08-19</t>
        </is>
      </c>
      <c r="X1069" s="0" t="inlineStr">
        <is>
          <t>N/A</t>
        </is>
      </c>
      <c r="Y1069" s="0" t="inlineStr">
        <is>
          <t>N/A</t>
        </is>
      </c>
      <c r="Z1069" s="0" t="inlineStr">
        <is>
          <t>N/A</t>
        </is>
      </c>
      <c r="AA1069" s="0" t="inlineStr">
        <is>
          <t>N/A</t>
        </is>
      </c>
    </row>
    <row r="1070" ht="15.75" customHeight="1" s="51">
      <c r="A1070" s="47" t="inlineStr">
        <is>
          <t>HAR-106-08</t>
        </is>
      </c>
      <c r="B1070" s="47" t="inlineStr">
        <is>
          <t>Harmonia</t>
        </is>
      </c>
      <c r="C1070" s="47" t="inlineStr">
        <is>
          <t>Computer Hardware</t>
        </is>
      </c>
      <c r="D1070" s="47" t="inlineStr">
        <is>
          <t>Storage</t>
        </is>
      </c>
      <c r="E1070" s="48" t="inlineStr">
        <is>
          <t>Harmonia Prism 2TB NVMe SSD</t>
        </is>
      </c>
      <c r="F1070" s="49" t="n">
        <v>261.99</v>
      </c>
      <c r="G1070" s="47" t="inlineStr">
        <is>
          <t>the Prism; Harmonia Prism; Harmoina Prism; Prism storage</t>
        </is>
      </c>
      <c r="H1070" s="47" t="inlineStr">
        <is>
          <t>5 year limited</t>
        </is>
      </c>
      <c r="I1070" s="47" t="inlineStr">
        <is>
          <t>FCC, CE, RoHS</t>
        </is>
      </c>
      <c r="J1070" s="47" t="inlineStr">
        <is>
          <t>Controller: Phison E26</t>
        </is>
      </c>
      <c r="K1070" s="47" t="inlineStr">
        <is>
          <t>N/A</t>
        </is>
      </c>
      <c r="L1070" s="47" t="inlineStr">
        <is>
          <t>N/A</t>
        </is>
      </c>
      <c r="M1070" s="47" t="inlineStr">
        <is>
          <t>N/A</t>
        </is>
      </c>
      <c r="N1070" s="47" t="inlineStr">
        <is>
          <t>M.2 2280, PCIe 5.0 x4 NVMe</t>
        </is>
      </c>
      <c r="O1070" s="47" t="inlineStr">
        <is>
          <t>N/A</t>
        </is>
      </c>
      <c r="P1070" s="47" t="inlineStr">
        <is>
          <t>N/A</t>
        </is>
      </c>
      <c r="Q1070" s="50" t="n">
        <v>18</v>
      </c>
      <c r="R1070" s="47" t="inlineStr">
        <is>
          <t>Lower price than Dionysus Orbit Max 2TB NVMe SSD [DIO-118-08] ($261.99 vs $267.99); Lighter than Hades Vertex Max 2TB NVMe SSD [HAD-119-08] (18 g vs 28 g)</t>
        </is>
      </c>
      <c r="S1070" s="47" t="inlineStr">
        <is>
          <t>gaming, fast boot, content creation</t>
        </is>
      </c>
      <c r="T1070" s="0" t="inlineStr">
        <is>
          <t>in_stock</t>
        </is>
      </c>
      <c r="U1070" s="0" t="n">
        <v>45</v>
      </c>
      <c r="V1070" s="52" t="n">
        <v>280.99</v>
      </c>
      <c r="W1070" s="0" t="inlineStr">
        <is>
          <t>2026-09-05</t>
        </is>
      </c>
      <c r="X1070" s="0" t="inlineStr">
        <is>
          <t>N/A</t>
        </is>
      </c>
      <c r="Y1070" s="0" t="inlineStr">
        <is>
          <t>N/A</t>
        </is>
      </c>
      <c r="Z1070" s="0" t="inlineStr">
        <is>
          <t>N/A</t>
        </is>
      </c>
      <c r="AA1070" s="0" t="inlineStr">
        <is>
          <t>N/A</t>
        </is>
      </c>
    </row>
    <row r="1071" ht="15.75" customHeight="1" s="51">
      <c r="A1071" s="47" t="inlineStr">
        <is>
          <t>HAR-106-09</t>
        </is>
      </c>
      <c r="B1071" s="47" t="inlineStr">
        <is>
          <t>Harmonia</t>
        </is>
      </c>
      <c r="C1071" s="47" t="inlineStr">
        <is>
          <t>Computer Hardware</t>
        </is>
      </c>
      <c r="D1071" s="47" t="inlineStr">
        <is>
          <t>Motherboard</t>
        </is>
      </c>
      <c r="E1071" s="48" t="inlineStr">
        <is>
          <t>Harmonia Sable SE ATX Motherboard</t>
        </is>
      </c>
      <c r="F1071" s="49" t="n">
        <v>305.99</v>
      </c>
      <c r="G1071" s="47" t="inlineStr">
        <is>
          <t>the Sable SE; Harmonia Sable SE; Harmoni Sable SE; Sable SE motherboard</t>
        </is>
      </c>
      <c r="H1071" s="47" t="inlineStr">
        <is>
          <t>3 year limited</t>
        </is>
      </c>
      <c r="I1071" s="47" t="inlineStr">
        <is>
          <t>FCC, CE, RoHS</t>
        </is>
      </c>
      <c r="J1071" s="47" t="inlineStr">
        <is>
          <t>Supports Intel Core 12th-14th Gen (LGA1700)</t>
        </is>
      </c>
      <c r="K1071" s="47" t="inlineStr">
        <is>
          <t>N/A</t>
        </is>
      </c>
      <c r="L1071" s="47" t="inlineStr">
        <is>
          <t>N/A</t>
        </is>
      </c>
      <c r="M1071" s="47" t="inlineStr">
        <is>
          <t>N/A</t>
        </is>
      </c>
      <c r="N1071" s="47" t="inlineStr">
        <is>
          <t>Rear I/O: 1x HDMI, 1x DisplayPort, 8x USB-A, 2x USB-C 20Gbps, 2.5GbE, Wi-Fi 7</t>
        </is>
      </c>
      <c r="O1071" s="47" t="inlineStr">
        <is>
          <t>N/A</t>
        </is>
      </c>
      <c r="P1071" s="47" t="inlineStr">
        <is>
          <t>N/A</t>
        </is>
      </c>
      <c r="Q1071" s="50" t="n">
        <v>1351</v>
      </c>
      <c r="R1071" s="47" t="inlineStr">
        <is>
          <t>Lower price than Bia Nimbus Air ATX Motherboard [BIA-107-10] ($305.99 vs $578.99); Lighter than Hermes Rift X ATX Motherboard [HER-103-08] (1,351 g vs 1,654 g)</t>
        </is>
      </c>
      <c r="S1071" s="47" t="inlineStr">
        <is>
          <t>PC building, gaming, workstation builds</t>
        </is>
      </c>
      <c r="T1071" s="0" t="inlineStr">
        <is>
          <t>in_stock</t>
        </is>
      </c>
      <c r="U1071" s="0" t="n">
        <v>45</v>
      </c>
      <c r="V1071" s="52" t="n">
        <v>327.99</v>
      </c>
      <c r="W1071" s="0" t="inlineStr">
        <is>
          <t>2026-08-07</t>
        </is>
      </c>
      <c r="X1071" s="0" t="inlineStr">
        <is>
          <t>N/A</t>
        </is>
      </c>
      <c r="Y1071" s="0" t="inlineStr">
        <is>
          <t>N/A</t>
        </is>
      </c>
      <c r="Z1071" s="0" t="inlineStr">
        <is>
          <t>N/A</t>
        </is>
      </c>
      <c r="AA1071" s="0" t="inlineStr">
        <is>
          <t>N/A</t>
        </is>
      </c>
    </row>
    <row r="1072" ht="15.75" customHeight="1" s="51">
      <c r="A1072" s="47" t="inlineStr">
        <is>
          <t>HAR-106-10</t>
        </is>
      </c>
      <c r="B1072" s="47" t="inlineStr">
        <is>
          <t>Harmonia</t>
        </is>
      </c>
      <c r="C1072" s="47" t="inlineStr">
        <is>
          <t>Computer Hardware</t>
        </is>
      </c>
      <c r="D1072" s="47" t="inlineStr">
        <is>
          <t>Monitor</t>
        </is>
      </c>
      <c r="E1072" s="48" t="inlineStr">
        <is>
          <t>Harmonia Flux 27" 1440p Monitor</t>
        </is>
      </c>
      <c r="F1072" s="49" t="n">
        <v>319.99</v>
      </c>
      <c r="G1072" s="47" t="inlineStr">
        <is>
          <t>the Flux; Harmonia Flux; Hramonia Flux; Flux monitor</t>
        </is>
      </c>
      <c r="H1072" s="47" t="inlineStr">
        <is>
          <t>3 year limited</t>
        </is>
      </c>
      <c r="I1072" s="47" t="inlineStr">
        <is>
          <t>FCC, CE, RoHS, Energy Star, TUV Rheinland Low Blue Light, VESA DisplayHDR 400</t>
        </is>
      </c>
      <c r="J1072" s="47" t="inlineStr">
        <is>
          <t>N/A</t>
        </is>
      </c>
      <c r="K1072" s="47" t="inlineStr">
        <is>
          <t>N/A</t>
        </is>
      </c>
      <c r="L1072" s="47" t="inlineStr">
        <is>
          <t>IPS, 165Hz</t>
        </is>
      </c>
      <c r="M1072" s="47" t="inlineStr">
        <is>
          <t>2560x1440</t>
        </is>
      </c>
      <c r="N1072" s="47" t="inlineStr">
        <is>
          <t>2x HDMI 2.1, 1x DisplayPort 1.4</t>
        </is>
      </c>
      <c r="O1072" s="47" t="inlineStr">
        <is>
          <t>N/A</t>
        </is>
      </c>
      <c r="P1072" s="47" t="inlineStr">
        <is>
          <t>N/A</t>
        </is>
      </c>
      <c r="Q1072" s="50" t="n">
        <v>6028</v>
      </c>
      <c r="R1072" s="47" t="inlineStr">
        <is>
          <t>Lower price than Cronus Crest X 27" 1440p Monitor [CRO-105-09] ($319.99 vs $371.99); Lighter than Gaia Rift Air 27" 1440p Monitor [GAI-125-09] (6,028 g vs 6,710 g)</t>
        </is>
      </c>
      <c r="S1072" s="47" t="inlineStr">
        <is>
          <t>gaming, office, content creation</t>
        </is>
      </c>
      <c r="T1072" s="0" t="inlineStr">
        <is>
          <t>in_stock</t>
        </is>
      </c>
      <c r="U1072" s="0" t="n">
        <v>45</v>
      </c>
      <c r="V1072" s="52" t="n">
        <v>367.99</v>
      </c>
      <c r="W1072" s="0" t="inlineStr">
        <is>
          <t>2026-08-12</t>
        </is>
      </c>
      <c r="X1072" s="0" t="inlineStr">
        <is>
          <t>N/A</t>
        </is>
      </c>
      <c r="Y1072" s="0" t="inlineStr">
        <is>
          <t>N/A</t>
        </is>
      </c>
      <c r="Z1072" s="0" t="inlineStr">
        <is>
          <t>N/A</t>
        </is>
      </c>
      <c r="AA1072" s="0" t="inlineStr">
        <is>
          <t>N/A</t>
        </is>
      </c>
    </row>
    <row r="1073" ht="15.75" customHeight="1" s="51">
      <c r="A1073" s="47" t="inlineStr">
        <is>
          <t>BIA-107-01</t>
        </is>
      </c>
      <c r="B1073" s="47" t="inlineStr">
        <is>
          <t>Bia</t>
        </is>
      </c>
      <c r="C1073" s="47" t="inlineStr">
        <is>
          <t>Computer Hardware</t>
        </is>
      </c>
      <c r="D1073" s="47" t="inlineStr">
        <is>
          <t>Case Fans</t>
        </is>
      </c>
      <c r="E1073" s="48" t="inlineStr">
        <is>
          <t>Bia Volt Lite RGB Case Fan 3-Pack</t>
        </is>
      </c>
      <c r="F1073" s="49" t="n">
        <v>76.98999999999999</v>
      </c>
      <c r="G1073" s="47" t="inlineStr">
        <is>
          <t>the Volt Lite; Bia Volt Lite; Biaa Volt Lite; Volt Lite case fans</t>
        </is>
      </c>
      <c r="H1073" s="47" t="inlineStr">
        <is>
          <t>2 year limited</t>
        </is>
      </c>
      <c r="I1073" s="47" t="inlineStr">
        <is>
          <t>FCC, CE, RoHS</t>
        </is>
      </c>
      <c r="J1073" s="47" t="inlineStr">
        <is>
          <t>N/A</t>
        </is>
      </c>
      <c r="K1073" s="47" t="inlineStr">
        <is>
          <t>N/A</t>
        </is>
      </c>
      <c r="L1073" s="47" t="inlineStr">
        <is>
          <t>N/A</t>
        </is>
      </c>
      <c r="M1073" s="47" t="inlineStr">
        <is>
          <t>N/A</t>
        </is>
      </c>
      <c r="N1073" s="47" t="inlineStr">
        <is>
          <t>4-pin PWM, 3-pin 5V ARGB, daisy-chain connectors</t>
        </is>
      </c>
      <c r="O1073" s="47" t="inlineStr">
        <is>
          <t>N/A</t>
        </is>
      </c>
      <c r="P1073" s="47" t="inlineStr">
        <is>
          <t>N/A</t>
        </is>
      </c>
      <c r="Q1073" s="50" t="n">
        <v>387</v>
      </c>
      <c r="R1073" s="47" t="inlineStr">
        <is>
          <t>Lighter than Dione Blaze Air RGB Case Fan 3-Pack [DIO-128-01] (387 g vs 437 g); Lower price than Apate Onyx Plus RGB Case Fan 3-Pack [APA-110-02] ($76.99 vs $84.99)</t>
        </is>
      </c>
      <c r="S1073" s="47" t="inlineStr">
        <is>
          <t>PC building, cooling, RGB builds</t>
        </is>
      </c>
      <c r="T1073" s="0" t="inlineStr">
        <is>
          <t>in_stock</t>
        </is>
      </c>
      <c r="U1073" s="0" t="n">
        <v>14</v>
      </c>
      <c r="V1073" s="52" t="n">
        <v>82.98999999999999</v>
      </c>
      <c r="W1073" s="0" t="inlineStr">
        <is>
          <t>2026-08-26</t>
        </is>
      </c>
      <c r="X1073" s="0" t="inlineStr">
        <is>
          <t>N/A</t>
        </is>
      </c>
      <c r="Y1073" s="0" t="inlineStr">
        <is>
          <t>N/A</t>
        </is>
      </c>
      <c r="Z1073" s="0" t="inlineStr">
        <is>
          <t>N/A</t>
        </is>
      </c>
      <c r="AA1073" s="0" t="inlineStr">
        <is>
          <t>N/A</t>
        </is>
      </c>
    </row>
    <row r="1074" ht="15.75" customHeight="1" s="51">
      <c r="A1074" s="47" t="inlineStr">
        <is>
          <t>BIA-107-02</t>
        </is>
      </c>
      <c r="B1074" s="47" t="inlineStr">
        <is>
          <t>Bia</t>
        </is>
      </c>
      <c r="C1074" s="47" t="inlineStr">
        <is>
          <t>Computer Hardware</t>
        </is>
      </c>
      <c r="D1074" s="47" t="inlineStr">
        <is>
          <t>PC Case</t>
        </is>
      </c>
      <c r="E1074" s="48" t="inlineStr">
        <is>
          <t>Bia Titan Mid-Tower PC Case</t>
        </is>
      </c>
      <c r="F1074" s="49" t="n">
        <v>116.99</v>
      </c>
      <c r="G1074" s="47" t="inlineStr">
        <is>
          <t>the Titan; Bia Titan; Biaa Titan; Titan pc case</t>
        </is>
      </c>
      <c r="H1074" s="47" t="inlineStr">
        <is>
          <t>2 year limited</t>
        </is>
      </c>
      <c r="I1074" s="47" t="inlineStr">
        <is>
          <t>FCC, CE, RoHS, UL 94 V-0 (materials)</t>
        </is>
      </c>
      <c r="J1074" s="47" t="inlineStr">
        <is>
          <t>N/A</t>
        </is>
      </c>
      <c r="K1074" s="47" t="inlineStr">
        <is>
          <t>N/A</t>
        </is>
      </c>
      <c r="L1074" s="47" t="inlineStr">
        <is>
          <t>N/A</t>
        </is>
      </c>
      <c r="M1074" s="47" t="inlineStr">
        <is>
          <t>N/A</t>
        </is>
      </c>
      <c r="N1074" s="47" t="inlineStr">
        <is>
          <t>Front I/O: 1x USB-C 10Gbps, 2x USB-A 3.0, 3.5mm combo audio</t>
        </is>
      </c>
      <c r="O1074" s="47" t="inlineStr">
        <is>
          <t>N/A</t>
        </is>
      </c>
      <c r="P1074" s="47" t="inlineStr">
        <is>
          <t>N/A</t>
        </is>
      </c>
      <c r="Q1074" s="50" t="n">
        <v>8613</v>
      </c>
      <c r="R1074" s="47" t="inlineStr">
        <is>
          <t>Lower price than Eos Aria Ultra Mid-Tower PC Case [EOS-111-04] ($116.99 vs $152.99); Lighter than Thalassa Halo Pro Mid-Tower PC Case [THA-126-08] (8,613 g vs 9,142 g)</t>
        </is>
      </c>
      <c r="S1074" s="47" t="inlineStr">
        <is>
          <t>PC building, gaming</t>
        </is>
      </c>
      <c r="T1074" s="0" t="inlineStr">
        <is>
          <t>low_stock</t>
        </is>
      </c>
      <c r="U1074" s="0" t="n">
        <v>14</v>
      </c>
      <c r="V1074" s="52" t="n">
        <v>123.99</v>
      </c>
      <c r="W1074" s="0" t="inlineStr">
        <is>
          <t>2026-09-02</t>
        </is>
      </c>
      <c r="X1074" s="0" t="inlineStr">
        <is>
          <t>N/A</t>
        </is>
      </c>
      <c r="Y1074" s="0" t="inlineStr">
        <is>
          <t>N/A</t>
        </is>
      </c>
      <c r="Z1074" s="0" t="inlineStr">
        <is>
          <t>N/A</t>
        </is>
      </c>
      <c r="AA1074" s="0" t="inlineStr">
        <is>
          <t>N/A</t>
        </is>
      </c>
    </row>
    <row r="1075" ht="15.75" customHeight="1" s="51">
      <c r="A1075" s="47" t="inlineStr">
        <is>
          <t>BIA-107-03</t>
        </is>
      </c>
      <c r="B1075" s="47" t="inlineStr">
        <is>
          <t>Bia</t>
        </is>
      </c>
      <c r="C1075" s="47" t="inlineStr">
        <is>
          <t>Computer Hardware</t>
        </is>
      </c>
      <c r="D1075" s="47" t="inlineStr">
        <is>
          <t>Docking Station</t>
        </is>
      </c>
      <c r="E1075" s="48" t="inlineStr">
        <is>
          <t>Bia Apex Plus USB-C Docking Station</t>
        </is>
      </c>
      <c r="F1075" s="49" t="n">
        <v>121.99</v>
      </c>
      <c r="G1075" s="47" t="inlineStr">
        <is>
          <t>the Apex Plus; Bia Apex Plus; Biaa Apex Plus; Apex Plus docking station</t>
        </is>
      </c>
      <c r="H1075" s="47" t="inlineStr">
        <is>
          <t>2 year limited</t>
        </is>
      </c>
      <c r="I1075" s="47" t="inlineStr">
        <is>
          <t>FCC, CE, RoHS, USB-IF Certified, UL Listed</t>
        </is>
      </c>
      <c r="J1075" s="47" t="inlineStr">
        <is>
          <t>N/A</t>
        </is>
      </c>
      <c r="K1075" s="47" t="inlineStr">
        <is>
          <t>N/A</t>
        </is>
      </c>
      <c r="L1075" s="47" t="inlineStr">
        <is>
          <t>N/A</t>
        </is>
      </c>
      <c r="M1075" s="47" t="inlineStr">
        <is>
          <t>N/A</t>
        </is>
      </c>
      <c r="N1075" s="47" t="inlineStr">
        <is>
          <t>1x HDMI 2.0, 2x USB-A, 1x USB-C, SD card, 100W PD pass-through</t>
        </is>
      </c>
      <c r="O1075" s="47" t="inlineStr">
        <is>
          <t>N/A</t>
        </is>
      </c>
      <c r="P1075" s="47" t="inlineStr">
        <is>
          <t>N/A</t>
        </is>
      </c>
      <c r="Q1075" s="50" t="n">
        <v>404</v>
      </c>
      <c r="R1075" s="47" t="inlineStr">
        <is>
          <t>Lighter than Psyche Core Lite USB-C Docking Station [PSY-144-01] (404 g vs 408 g); Lower price than Uranus Aria X USB-C Docking Station [URA-113-09] ($121.99 vs $344.99)</t>
        </is>
      </c>
      <c r="S1075" s="47" t="inlineStr">
        <is>
          <t>office, remote work, multi-monitor</t>
        </is>
      </c>
      <c r="T1075" s="0" t="inlineStr">
        <is>
          <t>in_stock</t>
        </is>
      </c>
      <c r="U1075" s="0" t="n">
        <v>14</v>
      </c>
      <c r="V1075" s="52" t="n">
        <v>126.99</v>
      </c>
      <c r="W1075" s="0" t="inlineStr">
        <is>
          <t>2026-09-12</t>
        </is>
      </c>
      <c r="X1075" s="0" t="inlineStr">
        <is>
          <t>N/A</t>
        </is>
      </c>
      <c r="Y1075" s="0" t="inlineStr">
        <is>
          <t>N/A</t>
        </is>
      </c>
      <c r="Z1075" s="0" t="inlineStr">
        <is>
          <t>N/A</t>
        </is>
      </c>
      <c r="AA1075" s="0" t="inlineStr">
        <is>
          <t>N/A</t>
        </is>
      </c>
    </row>
    <row r="1076" ht="15.75" customHeight="1" s="51">
      <c r="A1076" s="47" t="inlineStr">
        <is>
          <t>BIA-107-04</t>
        </is>
      </c>
      <c r="B1076" s="47" t="inlineStr">
        <is>
          <t>Bia</t>
        </is>
      </c>
      <c r="C1076" s="47" t="inlineStr">
        <is>
          <t>Computer Hardware</t>
        </is>
      </c>
      <c r="D1076" s="47" t="inlineStr">
        <is>
          <t>Storage</t>
        </is>
      </c>
      <c r="E1076" s="48" t="inlineStr">
        <is>
          <t>Bia Aria Max 2TB NVMe SSD</t>
        </is>
      </c>
      <c r="F1076" s="49" t="n">
        <v>155.99</v>
      </c>
      <c r="G1076" s="47" t="inlineStr">
        <is>
          <t>the Aria Max; Bia Aria Max; Biia Aria Max; Aria Max storage</t>
        </is>
      </c>
      <c r="H1076" s="47" t="inlineStr">
        <is>
          <t>5 year limited</t>
        </is>
      </c>
      <c r="I1076" s="47" t="inlineStr">
        <is>
          <t>FCC, CE, RoHS</t>
        </is>
      </c>
      <c r="J1076" s="47" t="inlineStr">
        <is>
          <t>Controller: Phison E21T</t>
        </is>
      </c>
      <c r="K1076" s="47" t="inlineStr">
        <is>
          <t>N/A</t>
        </is>
      </c>
      <c r="L1076" s="47" t="inlineStr">
        <is>
          <t>N/A</t>
        </is>
      </c>
      <c r="M1076" s="47" t="inlineStr">
        <is>
          <t>N/A</t>
        </is>
      </c>
      <c r="N1076" s="47" t="inlineStr">
        <is>
          <t>M.2 2280, PCIe 4.0 x4 NVMe</t>
        </is>
      </c>
      <c r="O1076" s="47" t="inlineStr">
        <is>
          <t>N/A</t>
        </is>
      </c>
      <c r="P1076" s="47" t="inlineStr">
        <is>
          <t>N/A</t>
        </is>
      </c>
      <c r="Q1076" s="50" t="n">
        <v>14</v>
      </c>
      <c r="R1076" s="47" t="inlineStr">
        <is>
          <t>Lighter than Geras Prism Pro 2TB NVMe SSD [GER-133-04] (14 g vs 19 g); Lower price than Hestia Echo 2TB NVMe SSD [HES-116-09] ($155.99 vs $260.99)</t>
        </is>
      </c>
      <c r="S1076" s="47" t="inlineStr">
        <is>
          <t>gaming, fast boot, content creation</t>
        </is>
      </c>
      <c r="T1076" s="0" t="inlineStr">
        <is>
          <t>in_stock</t>
        </is>
      </c>
      <c r="U1076" s="0" t="n">
        <v>14</v>
      </c>
      <c r="V1076" s="52" t="n">
        <v>173.99</v>
      </c>
      <c r="W1076" s="0" t="inlineStr">
        <is>
          <t>2026-08-30</t>
        </is>
      </c>
      <c r="X1076" s="0" t="inlineStr">
        <is>
          <t>N/A</t>
        </is>
      </c>
      <c r="Y1076" s="0" t="inlineStr">
        <is>
          <t>N/A</t>
        </is>
      </c>
      <c r="Z1076" s="0" t="inlineStr">
        <is>
          <t>N/A</t>
        </is>
      </c>
      <c r="AA1076" s="0" t="inlineStr">
        <is>
          <t>N/A</t>
        </is>
      </c>
    </row>
    <row r="1077" ht="15.75" customHeight="1" s="51">
      <c r="A1077" s="47" t="inlineStr">
        <is>
          <t>BIA-107-05</t>
        </is>
      </c>
      <c r="B1077" s="47" t="inlineStr">
        <is>
          <t>Bia</t>
        </is>
      </c>
      <c r="C1077" s="47" t="inlineStr">
        <is>
          <t>Computer Hardware</t>
        </is>
      </c>
      <c r="D1077" s="47" t="inlineStr">
        <is>
          <t>Webcam</t>
        </is>
      </c>
      <c r="E1077" s="48" t="inlineStr">
        <is>
          <t>Bia Apex Ultra 4K Webcam</t>
        </is>
      </c>
      <c r="F1077" s="49" t="n">
        <v>185.99</v>
      </c>
      <c r="G1077" s="47" t="inlineStr">
        <is>
          <t>the Apex Ultra; Bia Apex Ultra; Biia Apex Ultra; Apex Ultra webcam</t>
        </is>
      </c>
      <c r="H1077" s="47" t="inlineStr">
        <is>
          <t>2 year limited</t>
        </is>
      </c>
      <c r="I1077" s="47" t="inlineStr">
        <is>
          <t>FCC, CE, RoHS, USB-IF Certified</t>
        </is>
      </c>
      <c r="J1077" s="47" t="inlineStr">
        <is>
          <t>N/A</t>
        </is>
      </c>
      <c r="K1077" s="47" t="inlineStr">
        <is>
          <t>N/A</t>
        </is>
      </c>
      <c r="L1077" s="47" t="inlineStr">
        <is>
          <t>N/A</t>
        </is>
      </c>
      <c r="M1077" s="47" t="inlineStr">
        <is>
          <t>3840x2160 @ 30fps, 1080p @ 60fps</t>
        </is>
      </c>
      <c r="N1077" s="47" t="inlineStr">
        <is>
          <t>USB-C (USB 3.0)</t>
        </is>
      </c>
      <c r="O1077" s="47" t="inlineStr">
        <is>
          <t>N/A</t>
        </is>
      </c>
      <c r="P1077" s="47" t="inlineStr">
        <is>
          <t>N/A</t>
        </is>
      </c>
      <c r="Q1077" s="50" t="n">
        <v>121</v>
      </c>
      <c r="R1077" s="47" t="inlineStr">
        <is>
          <t>Lighter than Geras Lumen X 4K Webcam [GER-133-02] (121 g vs 143 g); Lower price than Ceto Nova Pro 4K Webcam [CET-131-07] ($185.99 vs $208.99)</t>
        </is>
      </c>
      <c r="S1077" s="47" t="inlineStr">
        <is>
          <t>video calls, streaming, remote work</t>
        </is>
      </c>
      <c r="T1077" s="0" t="inlineStr">
        <is>
          <t>in_stock</t>
        </is>
      </c>
      <c r="U1077" s="0" t="n">
        <v>14</v>
      </c>
      <c r="V1077" s="52" t="n">
        <v>208.99</v>
      </c>
      <c r="W1077" s="0" t="inlineStr">
        <is>
          <t>2026-08-22</t>
        </is>
      </c>
      <c r="X1077" s="0" t="inlineStr">
        <is>
          <t>N/A</t>
        </is>
      </c>
      <c r="Y1077" s="0" t="inlineStr">
        <is>
          <t>N/A</t>
        </is>
      </c>
      <c r="Z1077" s="0" t="inlineStr">
        <is>
          <t>N/A</t>
        </is>
      </c>
      <c r="AA1077" s="0" t="inlineStr">
        <is>
          <t>N/A</t>
        </is>
      </c>
    </row>
    <row r="1078" ht="15.75" customHeight="1" s="51">
      <c r="A1078" s="47" t="inlineStr">
        <is>
          <t>BIA-107-06</t>
        </is>
      </c>
      <c r="B1078" s="47" t="inlineStr">
        <is>
          <t>Bia</t>
        </is>
      </c>
      <c r="C1078" s="47" t="inlineStr">
        <is>
          <t>Computer Hardware</t>
        </is>
      </c>
      <c r="D1078" s="47" t="inlineStr">
        <is>
          <t>Keyboard</t>
        </is>
      </c>
      <c r="E1078" s="48" t="inlineStr">
        <is>
          <t>Bia Vertex X Mechanical Keyboard</t>
        </is>
      </c>
      <c r="F1078" s="49" t="n">
        <v>186.99</v>
      </c>
      <c r="G1078" s="47" t="inlineStr">
        <is>
          <t>the Vertex X; Bia Vertex X; Biia Vertex X; Vertex X keyboard</t>
        </is>
      </c>
      <c r="H1078" s="47" t="inlineStr">
        <is>
          <t>2 year limited</t>
        </is>
      </c>
      <c r="I1078" s="47" t="inlineStr">
        <is>
          <t>FCC, CE, RoHS, Bluetooth SIG Qualified</t>
        </is>
      </c>
      <c r="J1078" s="47" t="inlineStr">
        <is>
          <t>N/A</t>
        </is>
      </c>
      <c r="K1078" s="47" t="inlineStr">
        <is>
          <t>N/A</t>
        </is>
      </c>
      <c r="L1078" s="47" t="inlineStr">
        <is>
          <t>N/A</t>
        </is>
      </c>
      <c r="M1078" s="47" t="inlineStr">
        <is>
          <t>N/A</t>
        </is>
      </c>
      <c r="N1078" s="47" t="inlineStr">
        <is>
          <t>USB-C, 2.4GHz dongle, Bluetooth 5.1</t>
        </is>
      </c>
      <c r="O1078" s="47" t="inlineStr">
        <is>
          <t>N/A</t>
        </is>
      </c>
      <c r="P1078" s="47" t="n">
        <v>309</v>
      </c>
      <c r="Q1078" s="50" t="n">
        <v>834</v>
      </c>
      <c r="R1078" s="47" t="inlineStr">
        <is>
          <t>Lighter than Aphrodite Pulse Mechanical Keyboard [APH-141-02] (834 g vs 944 g); Longer battery than Artemis Volt Plus Mechanical Keyboard [ART-150-02] (309 vs 256 hrs)</t>
        </is>
      </c>
      <c r="S1078" s="47" t="inlineStr">
        <is>
          <t>gaming, typing, office</t>
        </is>
      </c>
      <c r="T1078" s="0" t="inlineStr">
        <is>
          <t>in_stock</t>
        </is>
      </c>
      <c r="U1078" s="0" t="n">
        <v>14</v>
      </c>
      <c r="V1078" s="52" t="n">
        <v>194.99</v>
      </c>
      <c r="W1078" s="0" t="inlineStr">
        <is>
          <t>2026-09-21</t>
        </is>
      </c>
      <c r="X1078" s="0" t="inlineStr">
        <is>
          <t>N/A</t>
        </is>
      </c>
      <c r="Y1078" s="0" t="inlineStr">
        <is>
          <t>N/A</t>
        </is>
      </c>
      <c r="Z1078" s="0" t="inlineStr">
        <is>
          <t>N/A</t>
        </is>
      </c>
      <c r="AA1078" s="0" t="inlineStr">
        <is>
          <t>N/A</t>
        </is>
      </c>
    </row>
    <row r="1079" ht="15.75" customHeight="1" s="51">
      <c r="A1079" s="47" t="inlineStr">
        <is>
          <t>BIA-107-07</t>
        </is>
      </c>
      <c r="B1079" s="47" t="inlineStr">
        <is>
          <t>Bia</t>
        </is>
      </c>
      <c r="C1079" s="47" t="inlineStr">
        <is>
          <t>Computer Hardware</t>
        </is>
      </c>
      <c r="D1079" s="47" t="inlineStr">
        <is>
          <t>Processor</t>
        </is>
      </c>
      <c r="E1079" s="48" t="inlineStr">
        <is>
          <t>Bia Vibe Desktop CPU</t>
        </is>
      </c>
      <c r="F1079" s="49" t="n">
        <v>191.99</v>
      </c>
      <c r="G1079" s="47" t="inlineStr">
        <is>
          <t>the Vibe; Bia Vibe; Biia Vibe; Vibe processor</t>
        </is>
      </c>
      <c r="H1079" s="47" t="inlineStr">
        <is>
          <t>3 year limited</t>
        </is>
      </c>
      <c r="I1079" s="47" t="inlineStr">
        <is>
          <t>FCC, CE, RoHS</t>
        </is>
      </c>
      <c r="J1079" s="47" t="inlineStr">
        <is>
          <t>Bia Vibe 6-core / 12-thread, up to 4.7 GHz</t>
        </is>
      </c>
      <c r="K1079" s="47" t="inlineStr">
        <is>
          <t>Integrated graphics</t>
        </is>
      </c>
      <c r="L1079" s="47" t="inlineStr">
        <is>
          <t>N/A</t>
        </is>
      </c>
      <c r="M1079" s="47" t="inlineStr">
        <is>
          <t>N/A</t>
        </is>
      </c>
      <c r="N1079" s="47" t="inlineStr">
        <is>
          <t>N/A</t>
        </is>
      </c>
      <c r="O1079" s="47" t="inlineStr">
        <is>
          <t>N/A</t>
        </is>
      </c>
      <c r="P1079" s="47" t="inlineStr">
        <is>
          <t>N/A</t>
        </is>
      </c>
      <c r="Q1079" s="50" t="n">
        <v>41</v>
      </c>
      <c r="R1079" s="47" t="inlineStr">
        <is>
          <t>Lower price than Palaemon Aria Desktop CPU [PAL-127-08] ($191.99 vs $277.99); Lighter than Hestia Nimbus SE Desktop CPU [HES-116-10] (41 g vs 42 g)</t>
        </is>
      </c>
      <c r="S1079" s="47" t="inlineStr">
        <is>
          <t>gaming, content creation, workstation builds</t>
        </is>
      </c>
      <c r="T1079" s="0" t="inlineStr">
        <is>
          <t>out_of_stock</t>
        </is>
      </c>
      <c r="U1079" s="0" t="n">
        <v>14</v>
      </c>
      <c r="V1079" s="52" t="n">
        <v>202.99</v>
      </c>
      <c r="W1079" s="0" t="inlineStr">
        <is>
          <t>2026-08-05</t>
        </is>
      </c>
      <c r="X1079" s="0" t="inlineStr">
        <is>
          <t>N/A</t>
        </is>
      </c>
      <c r="Y1079" s="0" t="inlineStr">
        <is>
          <t>N/A</t>
        </is>
      </c>
      <c r="Z1079" s="0" t="inlineStr">
        <is>
          <t>N/A</t>
        </is>
      </c>
      <c r="AA1079" s="0" t="inlineStr">
        <is>
          <t>N/A</t>
        </is>
      </c>
    </row>
    <row r="1080" ht="15.75" customHeight="1" s="51">
      <c r="A1080" s="47" t="inlineStr">
        <is>
          <t>BIA-107-08</t>
        </is>
      </c>
      <c r="B1080" s="47" t="inlineStr">
        <is>
          <t>Bia</t>
        </is>
      </c>
      <c r="C1080" s="47" t="inlineStr">
        <is>
          <t>Computer Hardware</t>
        </is>
      </c>
      <c r="D1080" s="47" t="inlineStr">
        <is>
          <t>Cooling</t>
        </is>
      </c>
      <c r="E1080" s="48" t="inlineStr">
        <is>
          <t>Bia Echo Max 360mm AIO CPU Cooler</t>
        </is>
      </c>
      <c r="F1080" s="49" t="n">
        <v>202.99</v>
      </c>
      <c r="G1080" s="47" t="inlineStr">
        <is>
          <t>the Echo Max; Bia Echo Max; Biia Echo Max; Echo Max cooling</t>
        </is>
      </c>
      <c r="H1080" s="47" t="inlineStr">
        <is>
          <t>6 year limited</t>
        </is>
      </c>
      <c r="I1080" s="47" t="inlineStr">
        <is>
          <t>FCC, CE, RoHS</t>
        </is>
      </c>
      <c r="J1080" s="47" t="inlineStr">
        <is>
          <t>N/A</t>
        </is>
      </c>
      <c r="K1080" s="47" t="inlineStr">
        <is>
          <t>N/A</t>
        </is>
      </c>
      <c r="L1080" s="47" t="inlineStr">
        <is>
          <t>N/A</t>
        </is>
      </c>
      <c r="M1080" s="47" t="inlineStr">
        <is>
          <t>N/A</t>
        </is>
      </c>
      <c r="N1080" s="47" t="inlineStr">
        <is>
          <t>3x 4-pin PWM fans, 3-pin pump header, ARGB 5V; LGA1700/LGA1851/AM5 mounts</t>
        </is>
      </c>
      <c r="O1080" s="47" t="inlineStr">
        <is>
          <t>N/A</t>
        </is>
      </c>
      <c r="P1080" s="47" t="inlineStr">
        <is>
          <t>N/A</t>
        </is>
      </c>
      <c r="Q1080" s="50" t="n">
        <v>2006</v>
      </c>
      <c r="R1080" s="47" t="inlineStr">
        <is>
          <t>Lower price than Enyo Quanta Air 360mm AIO CPU Cooler [ENY-114-07] ($202.99 vs $256.99); Lighter than Euterpe Drift Lite 360mm AIO CPU Cooler [EUT-120-05] (2,006 g vs 2,018 g)</t>
        </is>
      </c>
      <c r="S1080" s="47" t="inlineStr">
        <is>
          <t>overclocking, gaming, quiet builds</t>
        </is>
      </c>
      <c r="T1080" s="0" t="inlineStr">
        <is>
          <t>low_stock</t>
        </is>
      </c>
      <c r="U1080" s="0" t="n">
        <v>14</v>
      </c>
      <c r="V1080" s="52" t="n">
        <v>220.99</v>
      </c>
      <c r="W1080" s="0" t="inlineStr">
        <is>
          <t>2026-08-06</t>
        </is>
      </c>
      <c r="X1080" s="0" t="inlineStr">
        <is>
          <t>N/A</t>
        </is>
      </c>
      <c r="Y1080" s="0" t="inlineStr">
        <is>
          <t>N/A</t>
        </is>
      </c>
      <c r="Z1080" s="0" t="inlineStr">
        <is>
          <t>N/A</t>
        </is>
      </c>
      <c r="AA1080" s="0" t="inlineStr">
        <is>
          <t>N/A</t>
        </is>
      </c>
    </row>
    <row r="1081" ht="15.75" customHeight="1" s="51">
      <c r="A1081" s="47" t="inlineStr">
        <is>
          <t>BIA-107-09</t>
        </is>
      </c>
      <c r="B1081" s="47" t="inlineStr">
        <is>
          <t>Bia</t>
        </is>
      </c>
      <c r="C1081" s="47" t="inlineStr">
        <is>
          <t>Computer Hardware</t>
        </is>
      </c>
      <c r="D1081" s="47" t="inlineStr">
        <is>
          <t>Monitor</t>
        </is>
      </c>
      <c r="E1081" s="48" t="inlineStr">
        <is>
          <t>Bia Aeon Max 27" 1440p Monitor</t>
        </is>
      </c>
      <c r="F1081" s="49" t="n">
        <v>423.99</v>
      </c>
      <c r="G1081" s="47" t="inlineStr">
        <is>
          <t>the Aeon Max; Bia Aeon Max; Biaa Aeon Max; Aeon Max monitor</t>
        </is>
      </c>
      <c r="H1081" s="47" t="inlineStr">
        <is>
          <t>3 year limited</t>
        </is>
      </c>
      <c r="I1081" s="47" t="inlineStr">
        <is>
          <t>FCC, CE, RoHS, Energy Star, TUV Rheinland Low Blue Light, VESA DisplayHDR 600</t>
        </is>
      </c>
      <c r="J1081" s="47" t="inlineStr">
        <is>
          <t>N/A</t>
        </is>
      </c>
      <c r="K1081" s="47" t="inlineStr">
        <is>
          <t>N/A</t>
        </is>
      </c>
      <c r="L1081" s="47" t="inlineStr">
        <is>
          <t>IPS, 180Hz</t>
        </is>
      </c>
      <c r="M1081" s="47" t="inlineStr">
        <is>
          <t>2560x1440</t>
        </is>
      </c>
      <c r="N1081" s="47" t="inlineStr">
        <is>
          <t>2x HDMI 2.1, 1x DisplayPort 1.4</t>
        </is>
      </c>
      <c r="O1081" s="47" t="inlineStr">
        <is>
          <t>N/A</t>
        </is>
      </c>
      <c r="P1081" s="47" t="inlineStr">
        <is>
          <t>N/A</t>
        </is>
      </c>
      <c r="Q1081" s="50" t="n">
        <v>6015</v>
      </c>
      <c r="R1081" s="47" t="inlineStr">
        <is>
          <t>Lighter than Hyperion Arc Ultra 27" 1440p Monitor [HYP-123-10] (6,015 g vs 6,938 g); Lower price than Themis Zen SE 27" 1440p Monitor [THE-145-10] ($423.99 vs $607.99)</t>
        </is>
      </c>
      <c r="S1081" s="47" t="inlineStr">
        <is>
          <t>gaming, office, content creation</t>
        </is>
      </c>
      <c r="T1081" s="0" t="inlineStr">
        <is>
          <t>in_stock</t>
        </is>
      </c>
      <c r="U1081" s="0" t="n">
        <v>14</v>
      </c>
      <c r="V1081" s="52" t="n">
        <v>460.99</v>
      </c>
      <c r="W1081" s="0" t="inlineStr">
        <is>
          <t>2026-08-21</t>
        </is>
      </c>
      <c r="X1081" s="0" t="inlineStr">
        <is>
          <t>N/A</t>
        </is>
      </c>
      <c r="Y1081" s="0" t="inlineStr">
        <is>
          <t>N/A</t>
        </is>
      </c>
      <c r="Z1081" s="0" t="inlineStr">
        <is>
          <t>N/A</t>
        </is>
      </c>
      <c r="AA1081" s="0" t="inlineStr">
        <is>
          <t>N/A</t>
        </is>
      </c>
    </row>
    <row r="1082" ht="15.75" customHeight="1" s="51">
      <c r="A1082" s="47" t="inlineStr">
        <is>
          <t>BIA-107-10</t>
        </is>
      </c>
      <c r="B1082" s="47" t="inlineStr">
        <is>
          <t>Bia</t>
        </is>
      </c>
      <c r="C1082" s="47" t="inlineStr">
        <is>
          <t>Computer Hardware</t>
        </is>
      </c>
      <c r="D1082" s="47" t="inlineStr">
        <is>
          <t>Motherboard</t>
        </is>
      </c>
      <c r="E1082" s="48" t="inlineStr">
        <is>
          <t>Bia Nimbus Air ATX Motherboard</t>
        </is>
      </c>
      <c r="F1082" s="49" t="n">
        <v>578.99</v>
      </c>
      <c r="G1082" s="47" t="inlineStr">
        <is>
          <t>the Nimbus Air; Bia Nimbus Air; Biaa Nimbus Air; Nimbus Air motherboard</t>
        </is>
      </c>
      <c r="H1082" s="47" t="inlineStr">
        <is>
          <t>3 year limited</t>
        </is>
      </c>
      <c r="I1082" s="47" t="inlineStr">
        <is>
          <t>FCC, CE, RoHS</t>
        </is>
      </c>
      <c r="J1082" s="47" t="inlineStr">
        <is>
          <t>Supports AMD Ryzen 7000/8000/9000 (Socket AM5)</t>
        </is>
      </c>
      <c r="K1082" s="47" t="inlineStr">
        <is>
          <t>N/A</t>
        </is>
      </c>
      <c r="L1082" s="47" t="inlineStr">
        <is>
          <t>N/A</t>
        </is>
      </c>
      <c r="M1082" s="47" t="inlineStr">
        <is>
          <t>N/A</t>
        </is>
      </c>
      <c r="N1082" s="47" t="inlineStr">
        <is>
          <t>Rear I/O: USB4 (2x USB-C 40Gbps), 10x USB-A, 10GbE + 2.5GbE, Wi-Fi 7</t>
        </is>
      </c>
      <c r="O1082" s="47" t="inlineStr">
        <is>
          <t>N/A</t>
        </is>
      </c>
      <c r="P1082" s="47" t="inlineStr">
        <is>
          <t>N/A</t>
        </is>
      </c>
      <c r="Q1082" s="50" t="n">
        <v>1365</v>
      </c>
      <c r="R1082" s="47" t="inlineStr">
        <is>
          <t>Lighter than Gaia Nimbus X ATX Motherboard [GAI-125-06] (1,365 g vs 1,780 g); Lower price than Eos Aria Pro ATX Motherboard [EOS-111-08] ($578.99 vs $596.99)</t>
        </is>
      </c>
      <c r="S1082" s="47" t="inlineStr">
        <is>
          <t>PC building, gaming, workstation builds</t>
        </is>
      </c>
      <c r="T1082" s="0" t="inlineStr">
        <is>
          <t>in_stock</t>
        </is>
      </c>
      <c r="U1082" s="0" t="n">
        <v>14</v>
      </c>
      <c r="V1082" s="52" t="n">
        <v>635.99</v>
      </c>
      <c r="W1082" s="0" t="inlineStr">
        <is>
          <t>2026-09-03</t>
        </is>
      </c>
      <c r="X1082" s="0" t="inlineStr">
        <is>
          <t>N/A</t>
        </is>
      </c>
      <c r="Y1082" s="0" t="inlineStr">
        <is>
          <t>N/A</t>
        </is>
      </c>
      <c r="Z1082" s="0" t="inlineStr">
        <is>
          <t>N/A</t>
        </is>
      </c>
      <c r="AA1082" s="0" t="inlineStr">
        <is>
          <t>N/A</t>
        </is>
      </c>
    </row>
    <row r="1083" ht="15.75" customHeight="1" s="51">
      <c r="A1083" s="47" t="inlineStr">
        <is>
          <t>NOT-108-01</t>
        </is>
      </c>
      <c r="B1083" s="47" t="inlineStr">
        <is>
          <t>Notus</t>
        </is>
      </c>
      <c r="C1083" s="47" t="inlineStr">
        <is>
          <t>Computer Hardware</t>
        </is>
      </c>
      <c r="D1083" s="47" t="inlineStr">
        <is>
          <t>Mouse</t>
        </is>
      </c>
      <c r="E1083" s="48" t="inlineStr">
        <is>
          <t>Notus Nimbus Air Gaming Mouse</t>
        </is>
      </c>
      <c r="F1083" s="49" t="n">
        <v>40.99</v>
      </c>
      <c r="G1083" s="47" t="inlineStr">
        <is>
          <t>the Nimbus Air; Notus Nimbus Air; Nootus Nimbus Air; Nimbus Air mouse</t>
        </is>
      </c>
      <c r="H1083" s="47" t="inlineStr">
        <is>
          <t>2 year limited</t>
        </is>
      </c>
      <c r="I1083" s="47" t="inlineStr">
        <is>
          <t>FCC, CE, RoHS</t>
        </is>
      </c>
      <c r="J1083" s="47" t="inlineStr">
        <is>
          <t>Sensor: 12K DPI optical</t>
        </is>
      </c>
      <c r="K1083" s="47" t="inlineStr">
        <is>
          <t>N/A</t>
        </is>
      </c>
      <c r="L1083" s="47" t="inlineStr">
        <is>
          <t>N/A</t>
        </is>
      </c>
      <c r="M1083" s="47" t="inlineStr">
        <is>
          <t>N/A</t>
        </is>
      </c>
      <c r="N1083" s="47" t="inlineStr">
        <is>
          <t>USB-C wired</t>
        </is>
      </c>
      <c r="O1083" s="47" t="inlineStr">
        <is>
          <t>N/A</t>
        </is>
      </c>
      <c r="P1083" s="47" t="inlineStr">
        <is>
          <t>N/A</t>
        </is>
      </c>
      <c r="Q1083" s="50" t="n">
        <v>80</v>
      </c>
      <c r="R1083" s="47" t="inlineStr">
        <is>
          <t>Lighter than Hyperion Quanta Air Gaming Mouse [HYP-123-04] (80 g vs 93 g); Lower price than Euterpe Axis Ultra Gaming Mouse [EUT-120-03] ($40.99 vs $116.99)</t>
        </is>
      </c>
      <c r="S1083" s="47" t="inlineStr">
        <is>
          <t>gaming, esports</t>
        </is>
      </c>
      <c r="T1083" s="0" t="inlineStr">
        <is>
          <t>in_stock</t>
        </is>
      </c>
      <c r="U1083" s="0" t="n">
        <v>30</v>
      </c>
      <c r="V1083" s="52" t="n">
        <v>45.99</v>
      </c>
      <c r="W1083" s="0" t="inlineStr">
        <is>
          <t>2026-09-21</t>
        </is>
      </c>
      <c r="X1083" s="0" t="inlineStr">
        <is>
          <t>N/A</t>
        </is>
      </c>
      <c r="Y1083" s="0" t="inlineStr">
        <is>
          <t>N/A</t>
        </is>
      </c>
      <c r="Z1083" s="0" t="inlineStr">
        <is>
          <t>N/A</t>
        </is>
      </c>
      <c r="AA1083" s="0" t="inlineStr">
        <is>
          <t>N/A</t>
        </is>
      </c>
    </row>
    <row r="1084" ht="15.75" customHeight="1" s="51">
      <c r="A1084" s="47" t="inlineStr">
        <is>
          <t>NOT-108-02</t>
        </is>
      </c>
      <c r="B1084" s="47" t="inlineStr">
        <is>
          <t>Notus</t>
        </is>
      </c>
      <c r="C1084" s="47" t="inlineStr">
        <is>
          <t>Computer Hardware</t>
        </is>
      </c>
      <c r="D1084" s="47" t="inlineStr">
        <is>
          <t>Case Fans</t>
        </is>
      </c>
      <c r="E1084" s="48" t="inlineStr">
        <is>
          <t>Notus Sable Pro RGB Case Fan 3-Pack</t>
        </is>
      </c>
      <c r="F1084" s="49" t="n">
        <v>55.99</v>
      </c>
      <c r="G1084" s="47" t="inlineStr">
        <is>
          <t>the Sable Pro; Notus Sable Pro; Nootus Sable Pro; Sable Pro case fans</t>
        </is>
      </c>
      <c r="H1084" s="47" t="inlineStr">
        <is>
          <t>2 year limited</t>
        </is>
      </c>
      <c r="I1084" s="47" t="inlineStr">
        <is>
          <t>FCC, CE, RoHS</t>
        </is>
      </c>
      <c r="J1084" s="47" t="inlineStr">
        <is>
          <t>N/A</t>
        </is>
      </c>
      <c r="K1084" s="47" t="inlineStr">
        <is>
          <t>N/A</t>
        </is>
      </c>
      <c r="L1084" s="47" t="inlineStr">
        <is>
          <t>N/A</t>
        </is>
      </c>
      <c r="M1084" s="47" t="inlineStr">
        <is>
          <t>N/A</t>
        </is>
      </c>
      <c r="N1084" s="47" t="inlineStr">
        <is>
          <t>4-pin PWM, 3-pin 5V ARGB, daisy-chain connectors</t>
        </is>
      </c>
      <c r="O1084" s="47" t="inlineStr">
        <is>
          <t>N/A</t>
        </is>
      </c>
      <c r="P1084" s="47" t="inlineStr">
        <is>
          <t>N/A</t>
        </is>
      </c>
      <c r="Q1084" s="50" t="n">
        <v>407</v>
      </c>
      <c r="R1084" s="47" t="inlineStr">
        <is>
          <t>Lighter than Eucleia Halo RGB Case Fan 3-Pack [EUC-124-01] (407 g vs 519 g); Lower price than Ceto Echo RGB Case Fan 3-Pack [CET-131-01] ($55.99 vs $70.99)</t>
        </is>
      </c>
      <c r="S1084" s="47" t="inlineStr">
        <is>
          <t>PC building, cooling, RGB builds</t>
        </is>
      </c>
      <c r="T1084" s="0" t="inlineStr">
        <is>
          <t>out_of_stock</t>
        </is>
      </c>
      <c r="U1084" s="0" t="n">
        <v>30</v>
      </c>
      <c r="V1084" s="52" t="n">
        <v>58.99</v>
      </c>
      <c r="W1084" s="0" t="inlineStr">
        <is>
          <t>2026-09-25</t>
        </is>
      </c>
      <c r="X1084" s="0" t="inlineStr">
        <is>
          <t>N/A</t>
        </is>
      </c>
      <c r="Y1084" s="0" t="inlineStr">
        <is>
          <t>N/A</t>
        </is>
      </c>
      <c r="Z1084" s="0" t="inlineStr">
        <is>
          <t>N/A</t>
        </is>
      </c>
      <c r="AA1084" s="0" t="inlineStr">
        <is>
          <t>N/A</t>
        </is>
      </c>
    </row>
    <row r="1085" ht="15.75" customHeight="1" s="51">
      <c r="A1085" s="47" t="inlineStr">
        <is>
          <t>NOT-108-03</t>
        </is>
      </c>
      <c r="B1085" s="47" t="inlineStr">
        <is>
          <t>Notus</t>
        </is>
      </c>
      <c r="C1085" s="47" t="inlineStr">
        <is>
          <t>Computer Hardware</t>
        </is>
      </c>
      <c r="D1085" s="47" t="inlineStr">
        <is>
          <t>PC Case</t>
        </is>
      </c>
      <c r="E1085" s="48" t="inlineStr">
        <is>
          <t>Notus Aria Lite Mid-Tower PC Case</t>
        </is>
      </c>
      <c r="F1085" s="49" t="n">
        <v>109.99</v>
      </c>
      <c r="G1085" s="47" t="inlineStr">
        <is>
          <t>the Aria Lite; Notus Aria Lite; Nottus Aria Lite; Aria Lite pc case</t>
        </is>
      </c>
      <c r="H1085" s="47" t="inlineStr">
        <is>
          <t>2 year limited</t>
        </is>
      </c>
      <c r="I1085" s="47" t="inlineStr">
        <is>
          <t>FCC, CE, RoHS, UL 94 V-0 (materials)</t>
        </is>
      </c>
      <c r="J1085" s="47" t="inlineStr">
        <is>
          <t>N/A</t>
        </is>
      </c>
      <c r="K1085" s="47" t="inlineStr">
        <is>
          <t>N/A</t>
        </is>
      </c>
      <c r="L1085" s="47" t="inlineStr">
        <is>
          <t>N/A</t>
        </is>
      </c>
      <c r="M1085" s="47" t="inlineStr">
        <is>
          <t>N/A</t>
        </is>
      </c>
      <c r="N1085" s="47" t="inlineStr">
        <is>
          <t>Front I/O: 1x USB-C 10Gbps, 2x USB-A 3.0, 3.5mm combo audio</t>
        </is>
      </c>
      <c r="O1085" s="47" t="inlineStr">
        <is>
          <t>N/A</t>
        </is>
      </c>
      <c r="P1085" s="47" t="inlineStr">
        <is>
          <t>N/A</t>
        </is>
      </c>
      <c r="Q1085" s="50" t="n">
        <v>6928</v>
      </c>
      <c r="R1085" s="47" t="inlineStr">
        <is>
          <t>Lighter than Palaemon Volt Ultra Mid-Tower PC Case [PAL-127-02] (6,928 g vs 8,448 g); Lower price than Thalassa Halo Pro Mid-Tower PC Case [THA-126-08] ($109.99 vs $219.99)</t>
        </is>
      </c>
      <c r="S1085" s="47" t="inlineStr">
        <is>
          <t>PC building, gaming</t>
        </is>
      </c>
      <c r="T1085" s="0" t="inlineStr">
        <is>
          <t>in_stock</t>
        </is>
      </c>
      <c r="U1085" s="0" t="n">
        <v>30</v>
      </c>
      <c r="V1085" s="52" t="n">
        <v>119.99</v>
      </c>
      <c r="W1085" s="0" t="inlineStr">
        <is>
          <t>2026-09-07</t>
        </is>
      </c>
      <c r="X1085" s="0" t="inlineStr">
        <is>
          <t>N/A</t>
        </is>
      </c>
      <c r="Y1085" s="0" t="inlineStr">
        <is>
          <t>N/A</t>
        </is>
      </c>
      <c r="Z1085" s="0" t="inlineStr">
        <is>
          <t>N/A</t>
        </is>
      </c>
      <c r="AA1085" s="0" t="inlineStr">
        <is>
          <t>N/A</t>
        </is>
      </c>
    </row>
    <row r="1086" ht="15.75" customHeight="1" s="51">
      <c r="A1086" s="47" t="inlineStr">
        <is>
          <t>NOT-108-04</t>
        </is>
      </c>
      <c r="B1086" s="47" t="inlineStr">
        <is>
          <t>Notus</t>
        </is>
      </c>
      <c r="C1086" s="47" t="inlineStr">
        <is>
          <t>Computer Hardware</t>
        </is>
      </c>
      <c r="D1086" s="47" t="inlineStr">
        <is>
          <t>Keyboard</t>
        </is>
      </c>
      <c r="E1086" s="48" t="inlineStr">
        <is>
          <t>Notus Rift Mechanical Keyboard</t>
        </is>
      </c>
      <c r="F1086" s="49" t="n">
        <v>129.99</v>
      </c>
      <c r="G1086" s="47" t="inlineStr">
        <is>
          <t>the Rift; Notus Rift; Notuss Rift; Rift keyboard</t>
        </is>
      </c>
      <c r="H1086" s="47" t="inlineStr">
        <is>
          <t>2 year limited</t>
        </is>
      </c>
      <c r="I1086" s="47" t="inlineStr">
        <is>
          <t>FCC, CE, RoHS, Bluetooth SIG Qualified</t>
        </is>
      </c>
      <c r="J1086" s="47" t="inlineStr">
        <is>
          <t>N/A</t>
        </is>
      </c>
      <c r="K1086" s="47" t="inlineStr">
        <is>
          <t>N/A</t>
        </is>
      </c>
      <c r="L1086" s="47" t="inlineStr">
        <is>
          <t>N/A</t>
        </is>
      </c>
      <c r="M1086" s="47" t="inlineStr">
        <is>
          <t>N/A</t>
        </is>
      </c>
      <c r="N1086" s="47" t="inlineStr">
        <is>
          <t>USB-C, 2.4GHz dongle, Bluetooth 5.1</t>
        </is>
      </c>
      <c r="O1086" s="47" t="inlineStr">
        <is>
          <t>N/A</t>
        </is>
      </c>
      <c r="P1086" s="47" t="n">
        <v>225</v>
      </c>
      <c r="Q1086" s="50" t="n">
        <v>954</v>
      </c>
      <c r="R1086" s="47" t="inlineStr">
        <is>
          <t>Lighter than Artemis Volt Plus Mechanical Keyboard [ART-150-02] (954 g vs 993 g); Lower price than Geras Titan Air Mechanical Keyboard [GER-133-06] ($129.99 vs $148.99)</t>
        </is>
      </c>
      <c r="S1086" s="47" t="inlineStr">
        <is>
          <t>gaming, typing, office</t>
        </is>
      </c>
      <c r="T1086" s="0" t="inlineStr">
        <is>
          <t>low_stock</t>
        </is>
      </c>
      <c r="U1086" s="0" t="n">
        <v>30</v>
      </c>
      <c r="V1086" s="52" t="n">
        <v>146.99</v>
      </c>
      <c r="W1086" s="0" t="inlineStr">
        <is>
          <t>2026-09-18</t>
        </is>
      </c>
      <c r="X1086" s="0" t="inlineStr">
        <is>
          <t>N/A</t>
        </is>
      </c>
      <c r="Y1086" s="0" t="inlineStr">
        <is>
          <t>N/A</t>
        </is>
      </c>
      <c r="Z1086" s="0" t="inlineStr">
        <is>
          <t>N/A</t>
        </is>
      </c>
      <c r="AA1086" s="0" t="inlineStr">
        <is>
          <t>N/A</t>
        </is>
      </c>
    </row>
    <row r="1087" ht="15.75" customHeight="1" s="51">
      <c r="A1087" s="47" t="inlineStr">
        <is>
          <t>NOT-108-05</t>
        </is>
      </c>
      <c r="B1087" s="47" t="inlineStr">
        <is>
          <t>Notus</t>
        </is>
      </c>
      <c r="C1087" s="47" t="inlineStr">
        <is>
          <t>Computer Hardware</t>
        </is>
      </c>
      <c r="D1087" s="47" t="inlineStr">
        <is>
          <t>Storage</t>
        </is>
      </c>
      <c r="E1087" s="48" t="inlineStr">
        <is>
          <t>Notus Echo SE 2TB NVMe SSD</t>
        </is>
      </c>
      <c r="F1087" s="49" t="n">
        <v>130.99</v>
      </c>
      <c r="G1087" s="47" t="inlineStr">
        <is>
          <t>the Echo SE; Notus Echo SE; Notuus Echo SE; Echo SE storage</t>
        </is>
      </c>
      <c r="H1087" s="47" t="inlineStr">
        <is>
          <t>5 year limited</t>
        </is>
      </c>
      <c r="I1087" s="47" t="inlineStr">
        <is>
          <t>FCC, CE, RoHS</t>
        </is>
      </c>
      <c r="J1087" s="47" t="inlineStr">
        <is>
          <t>Controller: Phison E21T</t>
        </is>
      </c>
      <c r="K1087" s="47" t="inlineStr">
        <is>
          <t>N/A</t>
        </is>
      </c>
      <c r="L1087" s="47" t="inlineStr">
        <is>
          <t>N/A</t>
        </is>
      </c>
      <c r="M1087" s="47" t="inlineStr">
        <is>
          <t>N/A</t>
        </is>
      </c>
      <c r="N1087" s="47" t="inlineStr">
        <is>
          <t>M.2 2280, PCIe 4.0 x4 NVMe</t>
        </is>
      </c>
      <c r="O1087" s="47" t="inlineStr">
        <is>
          <t>N/A</t>
        </is>
      </c>
      <c r="P1087" s="47" t="inlineStr">
        <is>
          <t>N/A</t>
        </is>
      </c>
      <c r="Q1087" s="50" t="n">
        <v>18</v>
      </c>
      <c r="R1087" s="47" t="inlineStr">
        <is>
          <t>Lower price than Harmonia Prism 2TB NVMe SSD [HAR-106-08] ($130.99 vs $261.99); Lighter than Dionysus Orbit Max 2TB NVMe SSD [DIO-118-08] (18 g vs 23 g)</t>
        </is>
      </c>
      <c r="S1087" s="47" t="inlineStr">
        <is>
          <t>gaming, fast boot, content creation</t>
        </is>
      </c>
      <c r="T1087" s="0" t="inlineStr">
        <is>
          <t>in_stock</t>
        </is>
      </c>
      <c r="U1087" s="0" t="n">
        <v>30</v>
      </c>
      <c r="V1087" s="52" t="n">
        <v>139.99</v>
      </c>
      <c r="W1087" s="0" t="inlineStr">
        <is>
          <t>2026-08-26</t>
        </is>
      </c>
      <c r="X1087" s="0" t="inlineStr">
        <is>
          <t>N/A</t>
        </is>
      </c>
      <c r="Y1087" s="0" t="inlineStr">
        <is>
          <t>N/A</t>
        </is>
      </c>
      <c r="Z1087" s="0" t="inlineStr">
        <is>
          <t>N/A</t>
        </is>
      </c>
      <c r="AA1087" s="0" t="inlineStr">
        <is>
          <t>N/A</t>
        </is>
      </c>
    </row>
    <row r="1088" ht="15.75" customHeight="1" s="51">
      <c r="A1088" s="47" t="inlineStr">
        <is>
          <t>NOT-108-06</t>
        </is>
      </c>
      <c r="B1088" s="47" t="inlineStr">
        <is>
          <t>Notus</t>
        </is>
      </c>
      <c r="C1088" s="47" t="inlineStr">
        <is>
          <t>Computer Hardware</t>
        </is>
      </c>
      <c r="D1088" s="47" t="inlineStr">
        <is>
          <t>Cooling</t>
        </is>
      </c>
      <c r="E1088" s="48" t="inlineStr">
        <is>
          <t>Notus Wave Lite 360mm AIO CPU Cooler</t>
        </is>
      </c>
      <c r="F1088" s="49" t="n">
        <v>202.99</v>
      </c>
      <c r="G1088" s="47" t="inlineStr">
        <is>
          <t>the Wave Lite; Notus Wave Lite; Notuss Wave Lite; Wave Lite cooling</t>
        </is>
      </c>
      <c r="H1088" s="47" t="inlineStr">
        <is>
          <t>6 year limited</t>
        </is>
      </c>
      <c r="I1088" s="47" t="inlineStr">
        <is>
          <t>FCC, CE, RoHS</t>
        </is>
      </c>
      <c r="J1088" s="47" t="inlineStr">
        <is>
          <t>N/A</t>
        </is>
      </c>
      <c r="K1088" s="47" t="inlineStr">
        <is>
          <t>N/A</t>
        </is>
      </c>
      <c r="L1088" s="47" t="inlineStr">
        <is>
          <t>N/A</t>
        </is>
      </c>
      <c r="M1088" s="47" t="inlineStr">
        <is>
          <t>N/A</t>
        </is>
      </c>
      <c r="N1088" s="47" t="inlineStr">
        <is>
          <t>3x 4-pin PWM fans, 3-pin pump header, ARGB 5V; LGA1700/LGA1851/AM5 mounts</t>
        </is>
      </c>
      <c r="O1088" s="47" t="inlineStr">
        <is>
          <t>N/A</t>
        </is>
      </c>
      <c r="P1088" s="47" t="inlineStr">
        <is>
          <t>N/A</t>
        </is>
      </c>
      <c r="Q1088" s="50" t="n">
        <v>1645</v>
      </c>
      <c r="R1088" s="47" t="inlineStr">
        <is>
          <t>Lower price than Iris Aria Plus 360mm AIO CPU Cooler [IRI-130-06] ($202.99 vs $220.99); Lighter than Aphrodite Halo Plus 360mm AIO CPU Cooler [APH-141-08] (1,645 g vs 1,868 g)</t>
        </is>
      </c>
      <c r="S1088" s="47" t="inlineStr">
        <is>
          <t>overclocking, gaming, quiet builds</t>
        </is>
      </c>
      <c r="T1088" s="0" t="inlineStr">
        <is>
          <t>in_stock</t>
        </is>
      </c>
      <c r="U1088" s="0" t="n">
        <v>30</v>
      </c>
      <c r="V1088" s="52" t="n">
        <v>210.99</v>
      </c>
      <c r="W1088" s="0" t="inlineStr">
        <is>
          <t>2026-08-16</t>
        </is>
      </c>
      <c r="X1088" s="0" t="inlineStr">
        <is>
          <t>N/A</t>
        </is>
      </c>
      <c r="Y1088" s="0" t="inlineStr">
        <is>
          <t>N/A</t>
        </is>
      </c>
      <c r="Z1088" s="0" t="inlineStr">
        <is>
          <t>N/A</t>
        </is>
      </c>
      <c r="AA1088" s="0" t="inlineStr">
        <is>
          <t>N/A</t>
        </is>
      </c>
    </row>
    <row r="1089" ht="15.75" customHeight="1" s="51">
      <c r="A1089" s="47" t="inlineStr">
        <is>
          <t>NOT-108-07</t>
        </is>
      </c>
      <c r="B1089" s="47" t="inlineStr">
        <is>
          <t>Notus</t>
        </is>
      </c>
      <c r="C1089" s="47" t="inlineStr">
        <is>
          <t>Computer Hardware</t>
        </is>
      </c>
      <c r="D1089" s="47" t="inlineStr">
        <is>
          <t>Processor</t>
        </is>
      </c>
      <c r="E1089" s="48" t="inlineStr">
        <is>
          <t>Notus Apex SE Desktop CPU</t>
        </is>
      </c>
      <c r="F1089" s="49" t="n">
        <v>208.99</v>
      </c>
      <c r="G1089" s="47" t="inlineStr">
        <is>
          <t>the Apex SE; Notus Apex SE; Nouts Apex SE; Apex SE processor</t>
        </is>
      </c>
      <c r="H1089" s="47" t="inlineStr">
        <is>
          <t>3 year limited</t>
        </is>
      </c>
      <c r="I1089" s="47" t="inlineStr">
        <is>
          <t>FCC, CE, RoHS</t>
        </is>
      </c>
      <c r="J1089" s="47" t="inlineStr">
        <is>
          <t>Notus Apex 6-core / 12-thread, up to 4.8 GHz</t>
        </is>
      </c>
      <c r="K1089" s="47" t="inlineStr">
        <is>
          <t>Integrated graphics</t>
        </is>
      </c>
      <c r="L1089" s="47" t="inlineStr">
        <is>
          <t>N/A</t>
        </is>
      </c>
      <c r="M1089" s="47" t="inlineStr">
        <is>
          <t>N/A</t>
        </is>
      </c>
      <c r="N1089" s="47" t="inlineStr">
        <is>
          <t>N/A</t>
        </is>
      </c>
      <c r="O1089" s="47" t="inlineStr">
        <is>
          <t>N/A</t>
        </is>
      </c>
      <c r="P1089" s="47" t="inlineStr">
        <is>
          <t>N/A</t>
        </is>
      </c>
      <c r="Q1089" s="50" t="n">
        <v>58</v>
      </c>
      <c r="R1089" s="47" t="inlineStr">
        <is>
          <t>Lower price than Euterpe Quanta Desktop CPU [EUT-120-09] ($208.99 vs $402.99); Lighter than Ceto Pulse Ultra Desktop CPU [CET-131-09] (58 g vs 59 g)</t>
        </is>
      </c>
      <c r="S1089" s="47" t="inlineStr">
        <is>
          <t>gaming, content creation, workstation builds</t>
        </is>
      </c>
      <c r="T1089" s="0" t="inlineStr">
        <is>
          <t>in_stock</t>
        </is>
      </c>
      <c r="U1089" s="0" t="n">
        <v>30</v>
      </c>
      <c r="V1089" s="52" t="n">
        <v>230.99</v>
      </c>
      <c r="W1089" s="0" t="inlineStr">
        <is>
          <t>2026-09-02</t>
        </is>
      </c>
      <c r="X1089" s="0" t="inlineStr">
        <is>
          <t>N/A</t>
        </is>
      </c>
      <c r="Y1089" s="0" t="inlineStr">
        <is>
          <t>N/A</t>
        </is>
      </c>
      <c r="Z1089" s="0" t="inlineStr">
        <is>
          <t>N/A</t>
        </is>
      </c>
      <c r="AA1089" s="0" t="inlineStr">
        <is>
          <t>N/A</t>
        </is>
      </c>
    </row>
    <row r="1090" ht="15.75" customHeight="1" s="51">
      <c r="A1090" s="47" t="inlineStr">
        <is>
          <t>NOT-108-08</t>
        </is>
      </c>
      <c r="B1090" s="47" t="inlineStr">
        <is>
          <t>Notus</t>
        </is>
      </c>
      <c r="C1090" s="47" t="inlineStr">
        <is>
          <t>Computer Hardware</t>
        </is>
      </c>
      <c r="D1090" s="47" t="inlineStr">
        <is>
          <t>Motherboard</t>
        </is>
      </c>
      <c r="E1090" s="48" t="inlineStr">
        <is>
          <t>Notus Titan Plus ATX Motherboard</t>
        </is>
      </c>
      <c r="F1090" s="49" t="n">
        <v>351.99</v>
      </c>
      <c r="G1090" s="47" t="inlineStr">
        <is>
          <t>the Titan Plus; Notus Titan Plus; Nootus Titan Plus; Titan Plus motherboard</t>
        </is>
      </c>
      <c r="H1090" s="47" t="inlineStr">
        <is>
          <t>3 year limited</t>
        </is>
      </c>
      <c r="I1090" s="47" t="inlineStr">
        <is>
          <t>FCC, CE, RoHS</t>
        </is>
      </c>
      <c r="J1090" s="47" t="inlineStr">
        <is>
          <t>Supports Intel Core Ultra 200S (LGA1851)</t>
        </is>
      </c>
      <c r="K1090" s="47" t="inlineStr">
        <is>
          <t>N/A</t>
        </is>
      </c>
      <c r="L1090" s="47" t="inlineStr">
        <is>
          <t>N/A</t>
        </is>
      </c>
      <c r="M1090" s="47" t="inlineStr">
        <is>
          <t>N/A</t>
        </is>
      </c>
      <c r="N1090" s="47" t="inlineStr">
        <is>
          <t>Rear I/O: 1x HDMI, 1x DisplayPort, 8x USB-A, 2x USB-C 20Gbps, 2.5GbE, Wi-Fi 7</t>
        </is>
      </c>
      <c r="O1090" s="47" t="inlineStr">
        <is>
          <t>N/A</t>
        </is>
      </c>
      <c r="P1090" s="47" t="inlineStr">
        <is>
          <t>N/A</t>
        </is>
      </c>
      <c r="Q1090" s="50" t="n">
        <v>1458</v>
      </c>
      <c r="R1090" s="47" t="inlineStr">
        <is>
          <t>Lower price than Themis Nimbus X ATX Motherboard [THE-145-09] ($351.99 vs $374.99); Lighter than Eos Aria Pro ATX Motherboard [EOS-111-08] (1,458 g vs 1,754 g)</t>
        </is>
      </c>
      <c r="S1090" s="47" t="inlineStr">
        <is>
          <t>PC building, gaming, workstation builds</t>
        </is>
      </c>
      <c r="T1090" s="0" t="inlineStr">
        <is>
          <t>in_stock</t>
        </is>
      </c>
      <c r="U1090" s="0" t="n">
        <v>30</v>
      </c>
      <c r="V1090" s="52" t="n">
        <v>371.99</v>
      </c>
      <c r="W1090" s="0" t="inlineStr">
        <is>
          <t>2026-08-09</t>
        </is>
      </c>
      <c r="X1090" s="0" t="inlineStr">
        <is>
          <t>N/A</t>
        </is>
      </c>
      <c r="Y1090" s="0" t="inlineStr">
        <is>
          <t>N/A</t>
        </is>
      </c>
      <c r="Z1090" s="0" t="inlineStr">
        <is>
          <t>N/A</t>
        </is>
      </c>
      <c r="AA1090" s="0" t="inlineStr">
        <is>
          <t>N/A</t>
        </is>
      </c>
    </row>
    <row r="1091" ht="15.75" customHeight="1" s="51">
      <c r="A1091" s="47" t="inlineStr">
        <is>
          <t>NOT-108-09</t>
        </is>
      </c>
      <c r="B1091" s="47" t="inlineStr">
        <is>
          <t>Notus</t>
        </is>
      </c>
      <c r="C1091" s="47" t="inlineStr">
        <is>
          <t>Computer Hardware</t>
        </is>
      </c>
      <c r="D1091" s="47" t="inlineStr">
        <is>
          <t>Monitor</t>
        </is>
      </c>
      <c r="E1091" s="48" t="inlineStr">
        <is>
          <t>Notus Core Air 27" 1440p Monitor</t>
        </is>
      </c>
      <c r="F1091" s="49" t="n">
        <v>636.99</v>
      </c>
      <c r="G1091" s="47" t="inlineStr">
        <is>
          <t>the Core Air; Notus Core Air; Nootus Core Air; Core Air monitor</t>
        </is>
      </c>
      <c r="H1091" s="47" t="inlineStr">
        <is>
          <t>3 year limited</t>
        </is>
      </c>
      <c r="I1091" s="47" t="inlineStr">
        <is>
          <t>FCC, CE, RoHS, Energy Star, TUV Rheinland Low Blue Light, VESA DisplayHDR True Black 400</t>
        </is>
      </c>
      <c r="J1091" s="47" t="inlineStr">
        <is>
          <t>N/A</t>
        </is>
      </c>
      <c r="K1091" s="47" t="inlineStr">
        <is>
          <t>N/A</t>
        </is>
      </c>
      <c r="L1091" s="47" t="inlineStr">
        <is>
          <t>QD-OLED, 360Hz</t>
        </is>
      </c>
      <c r="M1091" s="47" t="inlineStr">
        <is>
          <t>2560x1440</t>
        </is>
      </c>
      <c r="N1091" s="47" t="inlineStr">
        <is>
          <t>2x HDMI 2.1, 1x DisplayPort 1.4, USB-C 90W, USB hub</t>
        </is>
      </c>
      <c r="O1091" s="47" t="inlineStr">
        <is>
          <t>N/A</t>
        </is>
      </c>
      <c r="P1091" s="47" t="inlineStr">
        <is>
          <t>N/A</t>
        </is>
      </c>
      <c r="Q1091" s="50" t="n">
        <v>7125</v>
      </c>
      <c r="R1091" s="47" t="inlineStr">
        <is>
          <t>Lower price than Astraeus Core Pro 27" 1440p Monitor [AST-146-10] ($636.99 vs $644.99)</t>
        </is>
      </c>
      <c r="S1091" s="47" t="inlineStr">
        <is>
          <t>gaming, office, content creation</t>
        </is>
      </c>
      <c r="T1091" s="0" t="inlineStr">
        <is>
          <t>low_stock</t>
        </is>
      </c>
      <c r="U1091" s="0" t="n">
        <v>30</v>
      </c>
      <c r="V1091" s="52" t="n">
        <v>684.99</v>
      </c>
      <c r="W1091" s="0" t="inlineStr">
        <is>
          <t>2026-09-24</t>
        </is>
      </c>
      <c r="X1091" s="0" t="inlineStr">
        <is>
          <t>N/A</t>
        </is>
      </c>
      <c r="Y1091" s="0" t="inlineStr">
        <is>
          <t>N/A</t>
        </is>
      </c>
      <c r="Z1091" s="0" t="inlineStr">
        <is>
          <t>N/A</t>
        </is>
      </c>
      <c r="AA1091" s="0" t="inlineStr">
        <is>
          <t>N/A</t>
        </is>
      </c>
    </row>
    <row r="1092" ht="15.75" customHeight="1" s="51">
      <c r="A1092" s="47" t="inlineStr">
        <is>
          <t>NOT-108-10</t>
        </is>
      </c>
      <c r="B1092" s="47" t="inlineStr">
        <is>
          <t>Notus</t>
        </is>
      </c>
      <c r="C1092" s="47" t="inlineStr">
        <is>
          <t>Computer Hardware</t>
        </is>
      </c>
      <c r="D1092" s="47" t="inlineStr">
        <is>
          <t>Graphics Card</t>
        </is>
      </c>
      <c r="E1092" s="48" t="inlineStr">
        <is>
          <t>Notus Crest Max Graphics Card</t>
        </is>
      </c>
      <c r="F1092" s="49" t="n">
        <v>1956.99</v>
      </c>
      <c r="G1092" s="47" t="inlineStr">
        <is>
          <t>the Crest Max; Notus Crest Max; Nottus Crest Max; Crest Max graphics card</t>
        </is>
      </c>
      <c r="H1092" s="47" t="inlineStr">
        <is>
          <t>3 year limited</t>
        </is>
      </c>
      <c r="I1092" s="47" t="inlineStr">
        <is>
          <t>FCC, CE, RoHS</t>
        </is>
      </c>
      <c r="J1092" s="47" t="inlineStr">
        <is>
          <t>N/A</t>
        </is>
      </c>
      <c r="K1092" s="47" t="inlineStr">
        <is>
          <t>AMD Radeon RX 7900 XTX 24GB (Notus Crest edition)</t>
        </is>
      </c>
      <c r="L1092" s="47" t="inlineStr">
        <is>
          <t>N/A</t>
        </is>
      </c>
      <c r="M1092" s="47" t="inlineStr">
        <is>
          <t>N/A</t>
        </is>
      </c>
      <c r="N1092" s="47" t="inlineStr">
        <is>
          <t>2x DisplayPort 2.1, 1x HDMI 2.1, 1x USB-C</t>
        </is>
      </c>
      <c r="O1092" s="47" t="inlineStr">
        <is>
          <t>N/A</t>
        </is>
      </c>
      <c r="P1092" s="47" t="inlineStr">
        <is>
          <t>N/A</t>
        </is>
      </c>
      <c r="Q1092" s="50" t="n">
        <v>1508</v>
      </c>
      <c r="R1092" s="47" t="inlineStr">
        <is>
          <t>Lower price than Eucleia Nimbus Pro Graphics Card [EUC-124-10] ($1,956.99 vs $1,993.99); Lighter than Enyo Strata Lite Graphics Card [ENY-114-10] (1,508 g vs 2,102 g)</t>
        </is>
      </c>
      <c r="S1092" s="47" t="inlineStr">
        <is>
          <t>gaming, 3D rendering, AI workloads</t>
        </is>
      </c>
      <c r="T1092" s="0" t="inlineStr">
        <is>
          <t>in_stock</t>
        </is>
      </c>
      <c r="U1092" s="0" t="n">
        <v>30</v>
      </c>
      <c r="V1092" s="52" t="n">
        <v>2118.99</v>
      </c>
      <c r="W1092" s="0" t="inlineStr">
        <is>
          <t>2026-09-16</t>
        </is>
      </c>
      <c r="X1092" s="0" t="inlineStr">
        <is>
          <t>N/A</t>
        </is>
      </c>
      <c r="Y1092" s="0" t="inlineStr">
        <is>
          <t>N/A</t>
        </is>
      </c>
      <c r="Z1092" s="0" t="inlineStr">
        <is>
          <t>N/A</t>
        </is>
      </c>
      <c r="AA1092" s="0" t="inlineStr">
        <is>
          <t>N/A</t>
        </is>
      </c>
    </row>
    <row r="1093" ht="15.75" customHeight="1" s="51">
      <c r="A1093" s="47" t="inlineStr">
        <is>
          <t>APO-109-01</t>
        </is>
      </c>
      <c r="B1093" s="47" t="inlineStr">
        <is>
          <t>Apollo</t>
        </is>
      </c>
      <c r="C1093" s="47" t="inlineStr">
        <is>
          <t>Computer Hardware</t>
        </is>
      </c>
      <c r="D1093" s="47" t="inlineStr">
        <is>
          <t>Case Fans</t>
        </is>
      </c>
      <c r="E1093" s="48" t="inlineStr">
        <is>
          <t>Apollo Rift RGB Case Fan 3-Pack</t>
        </is>
      </c>
      <c r="F1093" s="49" t="n">
        <v>40.99</v>
      </c>
      <c r="G1093" s="47" t="inlineStr">
        <is>
          <t>the Rift; Apollo Rift; Appollo Rift; Rift case fans</t>
        </is>
      </c>
      <c r="H1093" s="47" t="inlineStr">
        <is>
          <t>2 year limited</t>
        </is>
      </c>
      <c r="I1093" s="47" t="inlineStr">
        <is>
          <t>FCC, CE, RoHS</t>
        </is>
      </c>
      <c r="J1093" s="47" t="inlineStr">
        <is>
          <t>N/A</t>
        </is>
      </c>
      <c r="K1093" s="47" t="inlineStr">
        <is>
          <t>N/A</t>
        </is>
      </c>
      <c r="L1093" s="47" t="inlineStr">
        <is>
          <t>N/A</t>
        </is>
      </c>
      <c r="M1093" s="47" t="inlineStr">
        <is>
          <t>N/A</t>
        </is>
      </c>
      <c r="N1093" s="47" t="inlineStr">
        <is>
          <t>4-pin PWM, 3-pin 5V ARGB, daisy-chain connectors</t>
        </is>
      </c>
      <c r="O1093" s="47" t="inlineStr">
        <is>
          <t>N/A</t>
        </is>
      </c>
      <c r="P1093" s="47" t="inlineStr">
        <is>
          <t>N/A</t>
        </is>
      </c>
      <c r="Q1093" s="50" t="n">
        <v>400</v>
      </c>
      <c r="R1093" s="47" t="inlineStr">
        <is>
          <t>Lower price than Kratos Lumen RGB Case Fan 3-Pack [KRA-147-03] ($40.99 vs $76.99); Lighter than Dionysus Aeon SE RGB Case Fan 3-Pack [DIO-118-02] (400 g vs 454 g)</t>
        </is>
      </c>
      <c r="S1093" s="47" t="inlineStr">
        <is>
          <t>PC building, cooling, RGB builds</t>
        </is>
      </c>
      <c r="T1093" s="0" t="inlineStr">
        <is>
          <t>in_stock</t>
        </is>
      </c>
      <c r="U1093" s="0" t="n">
        <v>30</v>
      </c>
      <c r="V1093" s="52" t="n">
        <v>43.99</v>
      </c>
      <c r="W1093" s="0" t="inlineStr">
        <is>
          <t>2026-08-20</t>
        </is>
      </c>
      <c r="X1093" s="0" t="inlineStr">
        <is>
          <t>N/A</t>
        </is>
      </c>
      <c r="Y1093" s="0" t="inlineStr">
        <is>
          <t>N/A</t>
        </is>
      </c>
      <c r="Z1093" s="0" t="inlineStr">
        <is>
          <t>N/A</t>
        </is>
      </c>
      <c r="AA1093" s="0" t="inlineStr">
        <is>
          <t>N/A</t>
        </is>
      </c>
    </row>
    <row r="1094" ht="15.75" customHeight="1" s="51">
      <c r="A1094" s="47" t="inlineStr">
        <is>
          <t>APO-109-02</t>
        </is>
      </c>
      <c r="B1094" s="47" t="inlineStr">
        <is>
          <t>Apollo</t>
        </is>
      </c>
      <c r="C1094" s="47" t="inlineStr">
        <is>
          <t>Computer Hardware</t>
        </is>
      </c>
      <c r="D1094" s="47" t="inlineStr">
        <is>
          <t>Networking</t>
        </is>
      </c>
      <c r="E1094" s="48" t="inlineStr">
        <is>
          <t>Apollo Core SE Wi-Fi 7 PCIe Card</t>
        </is>
      </c>
      <c r="F1094" s="49" t="n">
        <v>90.98999999999999</v>
      </c>
      <c r="G1094" s="47" t="inlineStr">
        <is>
          <t>the Core SE; Apollo Core SE; Apoollo Core SE; Core SE networking</t>
        </is>
      </c>
      <c r="H1094" s="47" t="inlineStr">
        <is>
          <t>2 year limited</t>
        </is>
      </c>
      <c r="I1094" s="47" t="inlineStr">
        <is>
          <t>FCC, CE, RoHS, Wi-Fi CERTIFIED 7, Bluetooth SIG Qualified</t>
        </is>
      </c>
      <c r="J1094" s="47" t="inlineStr">
        <is>
          <t>Chipset: Qualcomm FastConnect 7800</t>
        </is>
      </c>
      <c r="K1094" s="47" t="inlineStr">
        <is>
          <t>N/A</t>
        </is>
      </c>
      <c r="L1094" s="47" t="inlineStr">
        <is>
          <t>N/A</t>
        </is>
      </c>
      <c r="M1094" s="47" t="inlineStr">
        <is>
          <t>N/A</t>
        </is>
      </c>
      <c r="N1094" s="47" t="inlineStr">
        <is>
          <t>PCIe x1, internal USB 2.0 header (Bluetooth 5.4), 2x external antennas</t>
        </is>
      </c>
      <c r="O1094" s="47" t="inlineStr">
        <is>
          <t>N/A</t>
        </is>
      </c>
      <c r="P1094" s="47" t="inlineStr">
        <is>
          <t>N/A</t>
        </is>
      </c>
      <c r="Q1094" s="50" t="n">
        <v>70</v>
      </c>
      <c r="R1094" s="47" t="inlineStr">
        <is>
          <t>Lighter than Dionysus Titan Max Wi-Fi 7 PCIe Card [DIO-118-01] (70 g vs 83 g); Lower price than Hestia Sable Wi-Fi 7 PCIe Card [HES-116-02] ($90.99 vs $100.99)</t>
        </is>
      </c>
      <c r="S1094" s="47" t="inlineStr">
        <is>
          <t>gaming, streaming, PC building</t>
        </is>
      </c>
      <c r="T1094" s="0" t="inlineStr">
        <is>
          <t>out_of_stock</t>
        </is>
      </c>
      <c r="U1094" s="0" t="n">
        <v>30</v>
      </c>
      <c r="V1094" s="52" t="n">
        <v>101.99</v>
      </c>
      <c r="W1094" s="0" t="inlineStr">
        <is>
          <t>2026-08-14</t>
        </is>
      </c>
      <c r="X1094" s="0" t="inlineStr">
        <is>
          <t>N/A</t>
        </is>
      </c>
      <c r="Y1094" s="0" t="inlineStr">
        <is>
          <t>N/A</t>
        </is>
      </c>
      <c r="Z1094" s="0" t="inlineStr">
        <is>
          <t>N/A</t>
        </is>
      </c>
      <c r="AA1094" s="0" t="inlineStr">
        <is>
          <t>N/A</t>
        </is>
      </c>
    </row>
    <row r="1095" ht="15.75" customHeight="1" s="51">
      <c r="A1095" s="47" t="inlineStr">
        <is>
          <t>APO-109-03</t>
        </is>
      </c>
      <c r="B1095" s="47" t="inlineStr">
        <is>
          <t>Apollo</t>
        </is>
      </c>
      <c r="C1095" s="47" t="inlineStr">
        <is>
          <t>Computer Hardware</t>
        </is>
      </c>
      <c r="D1095" s="47" t="inlineStr">
        <is>
          <t>Storage</t>
        </is>
      </c>
      <c r="E1095" s="48" t="inlineStr">
        <is>
          <t>Apollo Nimbus Plus 4TB External Hard Drive</t>
        </is>
      </c>
      <c r="F1095" s="49" t="n">
        <v>92.98999999999999</v>
      </c>
      <c r="G1095" s="47" t="inlineStr">
        <is>
          <t>the Nimbus Plus; Apollo Nimbus Plus; Aopllo Nimbus Plus; Nimbus Plus storage</t>
        </is>
      </c>
      <c r="H1095" s="47" t="inlineStr">
        <is>
          <t>2 year limited</t>
        </is>
      </c>
      <c r="I1095" s="47" t="inlineStr">
        <is>
          <t>FCC, CE, RoHS, USB-IF Certified</t>
        </is>
      </c>
      <c r="J1095" s="47" t="inlineStr">
        <is>
          <t>N/A</t>
        </is>
      </c>
      <c r="K1095" s="47" t="inlineStr">
        <is>
          <t>N/A</t>
        </is>
      </c>
      <c r="L1095" s="47" t="inlineStr">
        <is>
          <t>N/A</t>
        </is>
      </c>
      <c r="M1095" s="47" t="inlineStr">
        <is>
          <t>N/A</t>
        </is>
      </c>
      <c r="N1095" s="47" t="inlineStr">
        <is>
          <t>USB-C (USB 3.2 Gen 1)</t>
        </is>
      </c>
      <c r="O1095" s="47" t="inlineStr">
        <is>
          <t>N/A</t>
        </is>
      </c>
      <c r="P1095" s="47" t="inlineStr">
        <is>
          <t>N/A</t>
        </is>
      </c>
      <c r="Q1095" s="50" t="n">
        <v>229</v>
      </c>
      <c r="R1095" s="47" t="inlineStr">
        <is>
          <t>Lower price than Dione Axis Plus 4TB External Hard Drive [DIO-128-06] ($92.99 vs $169.99); Lighter than Uranus Strata X 4TB External Hard Drive [URA-113-07] (229 g vs 231 g)</t>
        </is>
      </c>
      <c r="S1095" s="47" t="inlineStr">
        <is>
          <t>backup, media storage</t>
        </is>
      </c>
      <c r="T1095" s="0" t="inlineStr">
        <is>
          <t>low_stock</t>
        </is>
      </c>
      <c r="U1095" s="0" t="n">
        <v>30</v>
      </c>
      <c r="V1095" s="52" t="n">
        <v>100.99</v>
      </c>
      <c r="W1095" s="0" t="inlineStr">
        <is>
          <t>2026-08-01</t>
        </is>
      </c>
      <c r="X1095" s="0" t="inlineStr">
        <is>
          <t>N/A</t>
        </is>
      </c>
      <c r="Y1095" s="0" t="inlineStr">
        <is>
          <t>N/A</t>
        </is>
      </c>
      <c r="Z1095" s="0" t="inlineStr">
        <is>
          <t>N/A</t>
        </is>
      </c>
      <c r="AA1095" s="0" t="inlineStr">
        <is>
          <t>N/A</t>
        </is>
      </c>
    </row>
    <row r="1096" ht="15.75" customHeight="1" s="51">
      <c r="A1096" s="47" t="inlineStr">
        <is>
          <t>APO-109-04</t>
        </is>
      </c>
      <c r="B1096" s="47" t="inlineStr">
        <is>
          <t>Apollo</t>
        </is>
      </c>
      <c r="C1096" s="47" t="inlineStr">
        <is>
          <t>Computer Hardware</t>
        </is>
      </c>
      <c r="D1096" s="47" t="inlineStr">
        <is>
          <t>Keyboard</t>
        </is>
      </c>
      <c r="E1096" s="48" t="inlineStr">
        <is>
          <t>Apollo Nimbus Lite Mechanical Keyboard</t>
        </is>
      </c>
      <c r="F1096" s="49" t="n">
        <v>118.99</v>
      </c>
      <c r="G1096" s="47" t="inlineStr">
        <is>
          <t>the Nimbus Lite; Apollo Nimbus Lite; Appollo Nimbus Lite; Nimbus Lite keyboard</t>
        </is>
      </c>
      <c r="H1096" s="47" t="inlineStr">
        <is>
          <t>2 year limited</t>
        </is>
      </c>
      <c r="I1096" s="47" t="inlineStr">
        <is>
          <t>FCC, CE, RoHS</t>
        </is>
      </c>
      <c r="J1096" s="47" t="inlineStr">
        <is>
          <t>N/A</t>
        </is>
      </c>
      <c r="K1096" s="47" t="inlineStr">
        <is>
          <t>N/A</t>
        </is>
      </c>
      <c r="L1096" s="47" t="inlineStr">
        <is>
          <t>N/A</t>
        </is>
      </c>
      <c r="M1096" s="47" t="inlineStr">
        <is>
          <t>N/A</t>
        </is>
      </c>
      <c r="N1096" s="47" t="inlineStr">
        <is>
          <t>USB-C wired</t>
        </is>
      </c>
      <c r="O1096" s="47" t="inlineStr">
        <is>
          <t>N/A</t>
        </is>
      </c>
      <c r="P1096" s="47" t="inlineStr">
        <is>
          <t>N/A</t>
        </is>
      </c>
      <c r="Q1096" s="50" t="n">
        <v>908</v>
      </c>
      <c r="R1096" s="47" t="inlineStr">
        <is>
          <t>Lower price than Eris Aeon Lite Mechanical Keyboard [ERI-148-02] ($118.99 vs $119.99); Lighter than Themis Onyx Pro Mechanical Keyboard [THE-145-05] (908 g vs 950 g)</t>
        </is>
      </c>
      <c r="S1096" s="47" t="inlineStr">
        <is>
          <t>gaming, typing, office</t>
        </is>
      </c>
      <c r="T1096" s="0" t="inlineStr">
        <is>
          <t>low_stock</t>
        </is>
      </c>
      <c r="U1096" s="0" t="n">
        <v>30</v>
      </c>
      <c r="V1096" s="52" t="n">
        <v>128.99</v>
      </c>
      <c r="W1096" s="0" t="inlineStr">
        <is>
          <t>2026-09-01</t>
        </is>
      </c>
      <c r="X1096" s="0" t="inlineStr">
        <is>
          <t>N/A</t>
        </is>
      </c>
      <c r="Y1096" s="0" t="inlineStr">
        <is>
          <t>N/A</t>
        </is>
      </c>
      <c r="Z1096" s="0" t="inlineStr">
        <is>
          <t>N/A</t>
        </is>
      </c>
      <c r="AA1096" s="0" t="inlineStr">
        <is>
          <t>N/A</t>
        </is>
      </c>
    </row>
    <row r="1097" ht="15.75" customHeight="1" s="51">
      <c r="A1097" s="47" t="inlineStr">
        <is>
          <t>APO-109-05</t>
        </is>
      </c>
      <c r="B1097" s="47" t="inlineStr">
        <is>
          <t>Apollo</t>
        </is>
      </c>
      <c r="C1097" s="47" t="inlineStr">
        <is>
          <t>Computer Hardware</t>
        </is>
      </c>
      <c r="D1097" s="47" t="inlineStr">
        <is>
          <t>Docking Station</t>
        </is>
      </c>
      <c r="E1097" s="48" t="inlineStr">
        <is>
          <t>Apollo Sable Max USB-C Docking Station</t>
        </is>
      </c>
      <c r="F1097" s="49" t="n">
        <v>129.99</v>
      </c>
      <c r="G1097" s="47" t="inlineStr">
        <is>
          <t>the Sable Max; Apollo Sable Max; Aopllo Sable Max; Sable Max docking station</t>
        </is>
      </c>
      <c r="H1097" s="47" t="inlineStr">
        <is>
          <t>2 year limited</t>
        </is>
      </c>
      <c r="I1097" s="47" t="inlineStr">
        <is>
          <t>FCC, CE, RoHS, USB-IF Certified, UL Listed</t>
        </is>
      </c>
      <c r="J1097" s="47" t="inlineStr">
        <is>
          <t>N/A</t>
        </is>
      </c>
      <c r="K1097" s="47" t="inlineStr">
        <is>
          <t>N/A</t>
        </is>
      </c>
      <c r="L1097" s="47" t="inlineStr">
        <is>
          <t>N/A</t>
        </is>
      </c>
      <c r="M1097" s="47" t="inlineStr">
        <is>
          <t>N/A</t>
        </is>
      </c>
      <c r="N1097" s="47" t="inlineStr">
        <is>
          <t>1x HDMI 2.0, 2x USB-A, 1x USB-C, SD card, 100W PD pass-through</t>
        </is>
      </c>
      <c r="O1097" s="47" t="inlineStr">
        <is>
          <t>N/A</t>
        </is>
      </c>
      <c r="P1097" s="47" t="inlineStr">
        <is>
          <t>N/A</t>
        </is>
      </c>
      <c r="Q1097" s="50" t="n">
        <v>306</v>
      </c>
      <c r="R1097" s="47" t="inlineStr">
        <is>
          <t>Lower price than Eros Blaze X USB-C Docking Station [ERO-134-06] ($129.99 vs $179.99); Lighter than Psyche Core Lite USB-C Docking Station [PSY-144-01] (306 g vs 408 g)</t>
        </is>
      </c>
      <c r="S1097" s="47" t="inlineStr">
        <is>
          <t>office, remote work, multi-monitor</t>
        </is>
      </c>
      <c r="T1097" s="0" t="inlineStr">
        <is>
          <t>in_stock</t>
        </is>
      </c>
      <c r="U1097" s="0" t="n">
        <v>30</v>
      </c>
      <c r="V1097" s="52" t="n">
        <v>147.99</v>
      </c>
      <c r="W1097" s="0" t="inlineStr">
        <is>
          <t>2026-09-20</t>
        </is>
      </c>
      <c r="X1097" s="0" t="inlineStr">
        <is>
          <t>N/A</t>
        </is>
      </c>
      <c r="Y1097" s="0" t="inlineStr">
        <is>
          <t>N/A</t>
        </is>
      </c>
      <c r="Z1097" s="0" t="inlineStr">
        <is>
          <t>N/A</t>
        </is>
      </c>
      <c r="AA1097" s="0" t="inlineStr">
        <is>
          <t>N/A</t>
        </is>
      </c>
    </row>
    <row r="1098" ht="15.75" customHeight="1" s="51">
      <c r="A1098" s="47" t="inlineStr">
        <is>
          <t>APO-109-06</t>
        </is>
      </c>
      <c r="B1098" s="47" t="inlineStr">
        <is>
          <t>Apollo</t>
        </is>
      </c>
      <c r="C1098" s="47" t="inlineStr">
        <is>
          <t>Computer Hardware</t>
        </is>
      </c>
      <c r="D1098" s="47" t="inlineStr">
        <is>
          <t>Mouse</t>
        </is>
      </c>
      <c r="E1098" s="48" t="inlineStr">
        <is>
          <t>Apollo Lumen X Gaming Mouse</t>
        </is>
      </c>
      <c r="F1098" s="49" t="n">
        <v>142.99</v>
      </c>
      <c r="G1098" s="47" t="inlineStr">
        <is>
          <t>the Lumen X; Apollo Lumen X; Apolllo Lumen X; Lumen X mouse</t>
        </is>
      </c>
      <c r="H1098" s="47" t="inlineStr">
        <is>
          <t>2 year limited</t>
        </is>
      </c>
      <c r="I1098" s="47" t="inlineStr">
        <is>
          <t>FCC, CE, RoHS, Bluetooth SIG Qualified</t>
        </is>
      </c>
      <c r="J1098" s="47" t="inlineStr">
        <is>
          <t>Sensor: 36K DPI optical</t>
        </is>
      </c>
      <c r="K1098" s="47" t="inlineStr">
        <is>
          <t>N/A</t>
        </is>
      </c>
      <c r="L1098" s="47" t="inlineStr">
        <is>
          <t>N/A</t>
        </is>
      </c>
      <c r="M1098" s="47" t="inlineStr">
        <is>
          <t>N/A</t>
        </is>
      </c>
      <c r="N1098" s="47" t="inlineStr">
        <is>
          <t>USB-C, 2.4GHz dongle, Bluetooth 5.1</t>
        </is>
      </c>
      <c r="O1098" s="47" t="inlineStr">
        <is>
          <t>N/A</t>
        </is>
      </c>
      <c r="P1098" s="47" t="n">
        <v>91</v>
      </c>
      <c r="Q1098" s="50" t="n">
        <v>56</v>
      </c>
      <c r="R1098" s="47" t="inlineStr">
        <is>
          <t>Lighter than Iris Core Air Gaming Mouse [IRI-130-02] (56 g vs 86 g); Lower price than Cronus Quanta Gaming Mouse [CRO-105-05] ($142.99 vs $158.99)</t>
        </is>
      </c>
      <c r="S1098" s="47" t="inlineStr">
        <is>
          <t>gaming, esports</t>
        </is>
      </c>
      <c r="T1098" s="0" t="inlineStr">
        <is>
          <t>in_stock</t>
        </is>
      </c>
      <c r="U1098" s="0" t="n">
        <v>30</v>
      </c>
      <c r="V1098" s="52" t="n">
        <v>157.99</v>
      </c>
      <c r="W1098" s="0" t="inlineStr">
        <is>
          <t>2026-09-11</t>
        </is>
      </c>
      <c r="X1098" s="0" t="inlineStr">
        <is>
          <t>N/A</t>
        </is>
      </c>
      <c r="Y1098" s="0" t="inlineStr">
        <is>
          <t>N/A</t>
        </is>
      </c>
      <c r="Z1098" s="0" t="inlineStr">
        <is>
          <t>N/A</t>
        </is>
      </c>
      <c r="AA1098" s="0" t="inlineStr">
        <is>
          <t>N/A</t>
        </is>
      </c>
    </row>
    <row r="1099" ht="15.75" customHeight="1" s="51">
      <c r="A1099" s="47" t="inlineStr">
        <is>
          <t>APO-109-07</t>
        </is>
      </c>
      <c r="B1099" s="47" t="inlineStr">
        <is>
          <t>Apollo</t>
        </is>
      </c>
      <c r="C1099" s="47" t="inlineStr">
        <is>
          <t>Computer Hardware</t>
        </is>
      </c>
      <c r="D1099" s="47" t="inlineStr">
        <is>
          <t>Webcam</t>
        </is>
      </c>
      <c r="E1099" s="48" t="inlineStr">
        <is>
          <t>Apollo Vibe Lite 4K Webcam</t>
        </is>
      </c>
      <c r="F1099" s="49" t="n">
        <v>154.99</v>
      </c>
      <c r="G1099" s="47" t="inlineStr">
        <is>
          <t>the Vibe Lite; Apollo Vibe Lite; Apoollo Vibe Lite; Vibe Lite webcam</t>
        </is>
      </c>
      <c r="H1099" s="47" t="inlineStr">
        <is>
          <t>2 year limited</t>
        </is>
      </c>
      <c r="I1099" s="47" t="inlineStr">
        <is>
          <t>FCC, CE, RoHS, USB-IF Certified</t>
        </is>
      </c>
      <c r="J1099" s="47" t="inlineStr">
        <is>
          <t>N/A</t>
        </is>
      </c>
      <c r="K1099" s="47" t="inlineStr">
        <is>
          <t>N/A</t>
        </is>
      </c>
      <c r="L1099" s="47" t="inlineStr">
        <is>
          <t>N/A</t>
        </is>
      </c>
      <c r="M1099" s="47" t="inlineStr">
        <is>
          <t>3840x2160 @ 30fps, 1080p @ 60fps</t>
        </is>
      </c>
      <c r="N1099" s="47" t="inlineStr">
        <is>
          <t>USB-C (USB 3.0)</t>
        </is>
      </c>
      <c r="O1099" s="47" t="inlineStr">
        <is>
          <t>N/A</t>
        </is>
      </c>
      <c r="P1099" s="47" t="inlineStr">
        <is>
          <t>N/A</t>
        </is>
      </c>
      <c r="Q1099" s="50" t="n">
        <v>115</v>
      </c>
      <c r="R1099" s="47" t="inlineStr">
        <is>
          <t>Lower price than Hades Nova 4K Webcam [HAD-119-06] ($154.99 vs $178.99); Lighter than Harmonia Vibe 4K Webcam [HAR-106-06] (115 g vs 152 g)</t>
        </is>
      </c>
      <c r="S1099" s="47" t="inlineStr">
        <is>
          <t>video calls, streaming, remote work</t>
        </is>
      </c>
      <c r="T1099" s="0" t="inlineStr">
        <is>
          <t>low_stock</t>
        </is>
      </c>
      <c r="U1099" s="0" t="n">
        <v>30</v>
      </c>
      <c r="V1099" s="52" t="n">
        <v>177.99</v>
      </c>
      <c r="W1099" s="0" t="inlineStr">
        <is>
          <t>2026-09-16</t>
        </is>
      </c>
      <c r="X1099" s="0" t="inlineStr">
        <is>
          <t>N/A</t>
        </is>
      </c>
      <c r="Y1099" s="0" t="inlineStr">
        <is>
          <t>N/A</t>
        </is>
      </c>
      <c r="Z1099" s="0" t="inlineStr">
        <is>
          <t>N/A</t>
        </is>
      </c>
      <c r="AA1099" s="0" t="inlineStr">
        <is>
          <t>N/A</t>
        </is>
      </c>
    </row>
    <row r="1100" ht="15.75" customHeight="1" s="51">
      <c r="A1100" s="47" t="inlineStr">
        <is>
          <t>APO-109-08</t>
        </is>
      </c>
      <c r="B1100" s="47" t="inlineStr">
        <is>
          <t>Apollo</t>
        </is>
      </c>
      <c r="C1100" s="47" t="inlineStr">
        <is>
          <t>Computer Hardware</t>
        </is>
      </c>
      <c r="D1100" s="47" t="inlineStr">
        <is>
          <t>PC Case</t>
        </is>
      </c>
      <c r="E1100" s="48" t="inlineStr">
        <is>
          <t>Apollo Crest SE Mid-Tower PC Case</t>
        </is>
      </c>
      <c r="F1100" s="49" t="n">
        <v>216.99</v>
      </c>
      <c r="G1100" s="47" t="inlineStr">
        <is>
          <t>the Crest SE; Apollo Crest SE; Aopllo Crest SE; Crest SE pc case</t>
        </is>
      </c>
      <c r="H1100" s="47" t="inlineStr">
        <is>
          <t>2 year limited</t>
        </is>
      </c>
      <c r="I1100" s="47" t="inlineStr">
        <is>
          <t>FCC, CE, RoHS, UL 94 V-0 (materials)</t>
        </is>
      </c>
      <c r="J1100" s="47" t="inlineStr">
        <is>
          <t>N/A</t>
        </is>
      </c>
      <c r="K1100" s="47" t="inlineStr">
        <is>
          <t>N/A</t>
        </is>
      </c>
      <c r="L1100" s="47" t="inlineStr">
        <is>
          <t>N/A</t>
        </is>
      </c>
      <c r="M1100" s="47" t="inlineStr">
        <is>
          <t>N/A</t>
        </is>
      </c>
      <c r="N1100" s="47" t="inlineStr">
        <is>
          <t>Front I/O: 1x USB-C 10Gbps, 2x USB-A 3.0, 3.5mm combo audio</t>
        </is>
      </c>
      <c r="O1100" s="47" t="inlineStr">
        <is>
          <t>N/A</t>
        </is>
      </c>
      <c r="P1100" s="47" t="inlineStr">
        <is>
          <t>N/A</t>
        </is>
      </c>
      <c r="Q1100" s="50" t="n">
        <v>8765</v>
      </c>
      <c r="R1100" s="47" t="inlineStr">
        <is>
          <t>Lighter than Hermes Blaze Max Mid-Tower PC Case [HER-103-05] (8,765 g vs 9,367 g); Lower price than Thalassa Halo Pro Mid-Tower PC Case [THA-126-08] ($216.99 vs $219.99)</t>
        </is>
      </c>
      <c r="S1100" s="47" t="inlineStr">
        <is>
          <t>PC building, gaming</t>
        </is>
      </c>
      <c r="T1100" s="0" t="inlineStr">
        <is>
          <t>low_stock</t>
        </is>
      </c>
      <c r="U1100" s="0" t="n">
        <v>30</v>
      </c>
      <c r="V1100" s="52" t="n">
        <v>235.99</v>
      </c>
      <c r="W1100" s="0" t="inlineStr">
        <is>
          <t>2026-08-24</t>
        </is>
      </c>
      <c r="X1100" s="0" t="inlineStr">
        <is>
          <t>N/A</t>
        </is>
      </c>
      <c r="Y1100" s="0" t="inlineStr">
        <is>
          <t>N/A</t>
        </is>
      </c>
      <c r="Z1100" s="0" t="inlineStr">
        <is>
          <t>N/A</t>
        </is>
      </c>
      <c r="AA1100" s="0" t="inlineStr">
        <is>
          <t>N/A</t>
        </is>
      </c>
    </row>
    <row r="1101" ht="15.75" customHeight="1" s="51">
      <c r="A1101" s="47" t="inlineStr">
        <is>
          <t>APO-109-09</t>
        </is>
      </c>
      <c r="B1101" s="47" t="inlineStr">
        <is>
          <t>Apollo</t>
        </is>
      </c>
      <c r="C1101" s="47" t="inlineStr">
        <is>
          <t>Computer Hardware</t>
        </is>
      </c>
      <c r="D1101" s="47" t="inlineStr">
        <is>
          <t>Monitor</t>
        </is>
      </c>
      <c r="E1101" s="48" t="inlineStr">
        <is>
          <t>Apollo Echo Lite 27" 1440p Monitor</t>
        </is>
      </c>
      <c r="F1101" s="49" t="n">
        <v>440.99</v>
      </c>
      <c r="G1101" s="47" t="inlineStr">
        <is>
          <t>the Echo Lite; Apollo Echo Lite; Aplolo Echo Lite; Echo Lite monitor</t>
        </is>
      </c>
      <c r="H1101" s="47" t="inlineStr">
        <is>
          <t>3 year limited</t>
        </is>
      </c>
      <c r="I1101" s="47" t="inlineStr">
        <is>
          <t>FCC, CE, RoHS, Energy Star, TUV Rheinland Low Blue Light, VESA DisplayHDR 600</t>
        </is>
      </c>
      <c r="J1101" s="47" t="inlineStr">
        <is>
          <t>N/A</t>
        </is>
      </c>
      <c r="K1101" s="47" t="inlineStr">
        <is>
          <t>N/A</t>
        </is>
      </c>
      <c r="L1101" s="47" t="inlineStr">
        <is>
          <t>IPS, 180Hz</t>
        </is>
      </c>
      <c r="M1101" s="47" t="inlineStr">
        <is>
          <t>2560x1440</t>
        </is>
      </c>
      <c r="N1101" s="47" t="inlineStr">
        <is>
          <t>2x HDMI 2.1, 1x DisplayPort 1.4</t>
        </is>
      </c>
      <c r="O1101" s="47" t="inlineStr">
        <is>
          <t>N/A</t>
        </is>
      </c>
      <c r="P1101" s="47" t="inlineStr">
        <is>
          <t>N/A</t>
        </is>
      </c>
      <c r="Q1101" s="50" t="n">
        <v>6418</v>
      </c>
      <c r="R1101" s="47" t="inlineStr">
        <is>
          <t>Lower price than Urania Wave Air 27" 1440p Monitor [URA-136-09] ($440.99 vs $548.99); Lighter than Geras Blaze Plus 27" 1440p Monitor [GER-133-09] (6,418 g vs 6,489 g)</t>
        </is>
      </c>
      <c r="S1101" s="47" t="inlineStr">
        <is>
          <t>gaming, office, content creation</t>
        </is>
      </c>
      <c r="T1101" s="0" t="inlineStr">
        <is>
          <t>low_stock</t>
        </is>
      </c>
      <c r="U1101" s="0" t="n">
        <v>30</v>
      </c>
      <c r="V1101" s="52" t="n">
        <v>495.99</v>
      </c>
      <c r="W1101" s="0" t="inlineStr">
        <is>
          <t>2026-09-13</t>
        </is>
      </c>
      <c r="X1101" s="0" t="inlineStr">
        <is>
          <t>N/A</t>
        </is>
      </c>
      <c r="Y1101" s="0" t="inlineStr">
        <is>
          <t>N/A</t>
        </is>
      </c>
      <c r="Z1101" s="0" t="inlineStr">
        <is>
          <t>N/A</t>
        </is>
      </c>
      <c r="AA1101" s="0" t="inlineStr">
        <is>
          <t>N/A</t>
        </is>
      </c>
    </row>
    <row r="1102" ht="15.75" customHeight="1" s="51">
      <c r="A1102" s="47" t="inlineStr">
        <is>
          <t>APO-109-10</t>
        </is>
      </c>
      <c r="B1102" s="47" t="inlineStr">
        <is>
          <t>Apollo</t>
        </is>
      </c>
      <c r="C1102" s="47" t="inlineStr">
        <is>
          <t>Computer Hardware</t>
        </is>
      </c>
      <c r="D1102" s="47" t="inlineStr">
        <is>
          <t>Graphics Card</t>
        </is>
      </c>
      <c r="E1102" s="48" t="inlineStr">
        <is>
          <t>Apollo Quanta Plus Graphics Card</t>
        </is>
      </c>
      <c r="F1102" s="49" t="n">
        <v>1344.99</v>
      </c>
      <c r="G1102" s="47" t="inlineStr">
        <is>
          <t>the Quanta Plus; Apollo Quanta Plus; Apoollo Quanta Plus; Quanta Plus graphics card</t>
        </is>
      </c>
      <c r="H1102" s="47" t="inlineStr">
        <is>
          <t>3 year limited</t>
        </is>
      </c>
      <c r="I1102" s="47" t="inlineStr">
        <is>
          <t>FCC, CE, RoHS</t>
        </is>
      </c>
      <c r="J1102" s="47" t="inlineStr">
        <is>
          <t>N/A</t>
        </is>
      </c>
      <c r="K1102" s="47" t="inlineStr">
        <is>
          <t>AMD Radeon RX 7900 XTX 24GB (Apollo Quanta edition)</t>
        </is>
      </c>
      <c r="L1102" s="47" t="inlineStr">
        <is>
          <t>N/A</t>
        </is>
      </c>
      <c r="M1102" s="47" t="inlineStr">
        <is>
          <t>N/A</t>
        </is>
      </c>
      <c r="N1102" s="47" t="inlineStr">
        <is>
          <t>2x DisplayPort 2.1, 1x HDMI 2.1, 1x USB-C</t>
        </is>
      </c>
      <c r="O1102" s="47" t="inlineStr">
        <is>
          <t>N/A</t>
        </is>
      </c>
      <c r="P1102" s="47" t="inlineStr">
        <is>
          <t>N/A</t>
        </is>
      </c>
      <c r="Q1102" s="50" t="n">
        <v>1064</v>
      </c>
      <c r="R1102" s="47" t="inlineStr">
        <is>
          <t>Lower price than Phanes Spark Ultra Graphics Card [PHA-138-10] ($1,344.99 vs $1,630.99); Lighter than Palaemon Sable Lite Graphics Card [PAL-127-10] (1,064 g vs 1,945 g)</t>
        </is>
      </c>
      <c r="S1102" s="47" t="inlineStr">
        <is>
          <t>gaming, 3D rendering, AI workloads</t>
        </is>
      </c>
      <c r="T1102" s="0" t="inlineStr">
        <is>
          <t>in_stock</t>
        </is>
      </c>
      <c r="U1102" s="0" t="n">
        <v>30</v>
      </c>
      <c r="V1102" s="52" t="n">
        <v>1401.99</v>
      </c>
      <c r="W1102" s="0" t="inlineStr">
        <is>
          <t>2026-08-04</t>
        </is>
      </c>
      <c r="X1102" s="0" t="inlineStr">
        <is>
          <t>N/A</t>
        </is>
      </c>
      <c r="Y1102" s="0" t="inlineStr">
        <is>
          <t>N/A</t>
        </is>
      </c>
      <c r="Z1102" s="0" t="inlineStr">
        <is>
          <t>N/A</t>
        </is>
      </c>
      <c r="AA1102" s="0" t="inlineStr">
        <is>
          <t>N/A</t>
        </is>
      </c>
    </row>
    <row r="1103" ht="15.75" customHeight="1" s="51">
      <c r="A1103" s="47" t="inlineStr">
        <is>
          <t>APA-110-01</t>
        </is>
      </c>
      <c r="B1103" s="47" t="inlineStr">
        <is>
          <t>Apate</t>
        </is>
      </c>
      <c r="C1103" s="47" t="inlineStr">
        <is>
          <t>Computer Hardware</t>
        </is>
      </c>
      <c r="D1103" s="47" t="inlineStr">
        <is>
          <t>Networking</t>
        </is>
      </c>
      <c r="E1103" s="48" t="inlineStr">
        <is>
          <t>Apate Vibe Max Wi-Fi 7 PCIe Card</t>
        </is>
      </c>
      <c r="F1103" s="49" t="n">
        <v>67.98999999999999</v>
      </c>
      <c r="G1103" s="47" t="inlineStr">
        <is>
          <t>the Vibe Max; Apate Vibe Max; Apatee Vibe Max; Vibe Max networking</t>
        </is>
      </c>
      <c r="H1103" s="47" t="inlineStr">
        <is>
          <t>2 year limited</t>
        </is>
      </c>
      <c r="I1103" s="47" t="inlineStr">
        <is>
          <t>FCC, CE, RoHS, Wi-Fi CERTIFIED 7, Bluetooth SIG Qualified</t>
        </is>
      </c>
      <c r="J1103" s="47" t="inlineStr">
        <is>
          <t>Chipset: Intel BE200</t>
        </is>
      </c>
      <c r="K1103" s="47" t="inlineStr">
        <is>
          <t>N/A</t>
        </is>
      </c>
      <c r="L1103" s="47" t="inlineStr">
        <is>
          <t>N/A</t>
        </is>
      </c>
      <c r="M1103" s="47" t="inlineStr">
        <is>
          <t>N/A</t>
        </is>
      </c>
      <c r="N1103" s="47" t="inlineStr">
        <is>
          <t>PCIe x1, internal USB 2.0 header (Bluetooth 5.4), 2x external antennas</t>
        </is>
      </c>
      <c r="O1103" s="47" t="inlineStr">
        <is>
          <t>N/A</t>
        </is>
      </c>
      <c r="P1103" s="47" t="inlineStr">
        <is>
          <t>N/A</t>
        </is>
      </c>
      <c r="Q1103" s="50" t="n">
        <v>82</v>
      </c>
      <c r="R1103" s="47" t="inlineStr">
        <is>
          <t>Lower price than Thalassa Volt Lite Wi-Fi 7 PCIe Card [THA-126-03] ($67.99 vs $125.99); Lighter than Phoebe Orbit Air Wi-Fi 7 PCIe Card [PHO-143-04] (82 g vs 88 g)</t>
        </is>
      </c>
      <c r="S1103" s="47" t="inlineStr">
        <is>
          <t>gaming, streaming, PC building</t>
        </is>
      </c>
      <c r="T1103" s="0" t="inlineStr">
        <is>
          <t>low_stock</t>
        </is>
      </c>
      <c r="U1103" s="0" t="n">
        <v>45</v>
      </c>
      <c r="V1103" s="52" t="n">
        <v>75.98999999999999</v>
      </c>
      <c r="W1103" s="0" t="inlineStr">
        <is>
          <t>2026-09-20</t>
        </is>
      </c>
      <c r="X1103" s="0" t="inlineStr">
        <is>
          <t>N/A</t>
        </is>
      </c>
      <c r="Y1103" s="0" t="inlineStr">
        <is>
          <t>N/A</t>
        </is>
      </c>
      <c r="Z1103" s="0" t="inlineStr">
        <is>
          <t>N/A</t>
        </is>
      </c>
      <c r="AA1103" s="0" t="inlineStr">
        <is>
          <t>N/A</t>
        </is>
      </c>
    </row>
    <row r="1104" ht="15.75" customHeight="1" s="51">
      <c r="A1104" s="47" t="inlineStr">
        <is>
          <t>APA-110-02</t>
        </is>
      </c>
      <c r="B1104" s="47" t="inlineStr">
        <is>
          <t>Apate</t>
        </is>
      </c>
      <c r="C1104" s="47" t="inlineStr">
        <is>
          <t>Computer Hardware</t>
        </is>
      </c>
      <c r="D1104" s="47" t="inlineStr">
        <is>
          <t>Case Fans</t>
        </is>
      </c>
      <c r="E1104" s="48" t="inlineStr">
        <is>
          <t>Apate Onyx Plus RGB Case Fan 3-Pack</t>
        </is>
      </c>
      <c r="F1104" s="49" t="n">
        <v>84.98999999999999</v>
      </c>
      <c r="G1104" s="47" t="inlineStr">
        <is>
          <t>the Onyx Plus; Apate Onyx Plus; Apatee Onyx Plus; Onyx Plus case fans</t>
        </is>
      </c>
      <c r="H1104" s="47" t="inlineStr">
        <is>
          <t>2 year limited</t>
        </is>
      </c>
      <c r="I1104" s="47" t="inlineStr">
        <is>
          <t>FCC, CE, RoHS</t>
        </is>
      </c>
      <c r="J1104" s="47" t="inlineStr">
        <is>
          <t>N/A</t>
        </is>
      </c>
      <c r="K1104" s="47" t="inlineStr">
        <is>
          <t>N/A</t>
        </is>
      </c>
      <c r="L1104" s="47" t="inlineStr">
        <is>
          <t>N/A</t>
        </is>
      </c>
      <c r="M1104" s="47" t="inlineStr">
        <is>
          <t>N/A</t>
        </is>
      </c>
      <c r="N1104" s="47" t="inlineStr">
        <is>
          <t>4-pin PWM, 3-pin 5V ARGB, daisy-chain connectors</t>
        </is>
      </c>
      <c r="O1104" s="47" t="inlineStr">
        <is>
          <t>N/A</t>
        </is>
      </c>
      <c r="P1104" s="47" t="inlineStr">
        <is>
          <t>N/A</t>
        </is>
      </c>
      <c r="Q1104" s="50" t="n">
        <v>421</v>
      </c>
      <c r="R1104" s="47" t="inlineStr">
        <is>
          <t>Lower price than Kairos Core Max RGB Case Fan 3-Pack [KAI-142-02] ($84.99 vs $89.99); Lighter than Cronus Axis RGB Case Fan 3-Pack [CRO-105-02] (421 g vs 455 g)</t>
        </is>
      </c>
      <c r="S1104" s="47" t="inlineStr">
        <is>
          <t>PC building, cooling, RGB builds</t>
        </is>
      </c>
      <c r="T1104" s="0" t="inlineStr">
        <is>
          <t>in_stock</t>
        </is>
      </c>
      <c r="U1104" s="0" t="n">
        <v>45</v>
      </c>
      <c r="V1104" s="52" t="n">
        <v>92.98999999999999</v>
      </c>
      <c r="W1104" s="0" t="inlineStr">
        <is>
          <t>2026-09-05</t>
        </is>
      </c>
      <c r="X1104" s="0" t="inlineStr">
        <is>
          <t>N/A</t>
        </is>
      </c>
      <c r="Y1104" s="0" t="inlineStr">
        <is>
          <t>N/A</t>
        </is>
      </c>
      <c r="Z1104" s="0" t="inlineStr">
        <is>
          <t>N/A</t>
        </is>
      </c>
      <c r="AA1104" s="0" t="inlineStr">
        <is>
          <t>N/A</t>
        </is>
      </c>
    </row>
    <row r="1105" ht="15.75" customHeight="1" s="51">
      <c r="A1105" s="47" t="inlineStr">
        <is>
          <t>APA-110-03</t>
        </is>
      </c>
      <c r="B1105" s="47" t="inlineStr">
        <is>
          <t>Apate</t>
        </is>
      </c>
      <c r="C1105" s="47" t="inlineStr">
        <is>
          <t>Computer Hardware</t>
        </is>
      </c>
      <c r="D1105" s="47" t="inlineStr">
        <is>
          <t>Webcam</t>
        </is>
      </c>
      <c r="E1105" s="48" t="inlineStr">
        <is>
          <t>Apate Rift SE 4K Webcam</t>
        </is>
      </c>
      <c r="F1105" s="49" t="n">
        <v>102.99</v>
      </c>
      <c r="G1105" s="47" t="inlineStr">
        <is>
          <t>the Rift SE; Apate Rift SE; Apatee Rift SE; Rift SE webcam</t>
        </is>
      </c>
      <c r="H1105" s="47" t="inlineStr">
        <is>
          <t>2 year limited</t>
        </is>
      </c>
      <c r="I1105" s="47" t="inlineStr">
        <is>
          <t>FCC, CE, RoHS, USB-IF Certified</t>
        </is>
      </c>
      <c r="J1105" s="47" t="inlineStr">
        <is>
          <t>N/A</t>
        </is>
      </c>
      <c r="K1105" s="47" t="inlineStr">
        <is>
          <t>N/A</t>
        </is>
      </c>
      <c r="L1105" s="47" t="inlineStr">
        <is>
          <t>N/A</t>
        </is>
      </c>
      <c r="M1105" s="47" t="inlineStr">
        <is>
          <t>3840x2160 @ 30fps, 1080p @ 60fps</t>
        </is>
      </c>
      <c r="N1105" s="47" t="inlineStr">
        <is>
          <t>USB-C (USB 3.0)</t>
        </is>
      </c>
      <c r="O1105" s="47" t="inlineStr">
        <is>
          <t>N/A</t>
        </is>
      </c>
      <c r="P1105" s="47" t="inlineStr">
        <is>
          <t>N/A</t>
        </is>
      </c>
      <c r="Q1105" s="50" t="n">
        <v>178</v>
      </c>
      <c r="R1105" s="47" t="inlineStr">
        <is>
          <t>Lower price than Pheme Crest Pro 4K Webcam [PHE-102-04] ($102.99 vs $107.99)</t>
        </is>
      </c>
      <c r="S1105" s="47" t="inlineStr">
        <is>
          <t>video calls, streaming, remote work</t>
        </is>
      </c>
      <c r="T1105" s="0" t="inlineStr">
        <is>
          <t>in_stock</t>
        </is>
      </c>
      <c r="U1105" s="0" t="n">
        <v>45</v>
      </c>
      <c r="V1105" s="52" t="n">
        <v>113.99</v>
      </c>
      <c r="W1105" s="0" t="inlineStr">
        <is>
          <t>2026-08-19</t>
        </is>
      </c>
      <c r="X1105" s="0" t="inlineStr">
        <is>
          <t>N/A</t>
        </is>
      </c>
      <c r="Y1105" s="0" t="inlineStr">
        <is>
          <t>N/A</t>
        </is>
      </c>
      <c r="Z1105" s="0" t="inlineStr">
        <is>
          <t>N/A</t>
        </is>
      </c>
      <c r="AA1105" s="0" t="inlineStr">
        <is>
          <t>N/A</t>
        </is>
      </c>
    </row>
    <row r="1106" ht="15.75" customHeight="1" s="51">
      <c r="A1106" s="47" t="inlineStr">
        <is>
          <t>APA-110-04</t>
        </is>
      </c>
      <c r="B1106" s="47" t="inlineStr">
        <is>
          <t>Apate</t>
        </is>
      </c>
      <c r="C1106" s="47" t="inlineStr">
        <is>
          <t>Computer Hardware</t>
        </is>
      </c>
      <c r="D1106" s="47" t="inlineStr">
        <is>
          <t>Power Supply</t>
        </is>
      </c>
      <c r="E1106" s="48" t="inlineStr">
        <is>
          <t>Apate Halo Ultra 850W Power Supply</t>
        </is>
      </c>
      <c r="F1106" s="49" t="n">
        <v>110.99</v>
      </c>
      <c r="G1106" s="47" t="inlineStr">
        <is>
          <t>the Halo Ultra; Apate Halo Ultra; Apat Halo Ultra; Halo Ultra power supply</t>
        </is>
      </c>
      <c r="H1106" s="47" t="inlineStr">
        <is>
          <t>10 year limited</t>
        </is>
      </c>
      <c r="I1106" s="47" t="inlineStr">
        <is>
          <t>FCC, CE, RoHS, 80 PLUS Gold, UL Listed</t>
        </is>
      </c>
      <c r="J1106" s="47" t="inlineStr">
        <is>
          <t>N/A</t>
        </is>
      </c>
      <c r="K1106" s="47" t="inlineStr">
        <is>
          <t>N/A</t>
        </is>
      </c>
      <c r="L1106" s="47" t="inlineStr">
        <is>
          <t>N/A</t>
        </is>
      </c>
      <c r="M1106" s="47" t="inlineStr">
        <is>
          <t>N/A</t>
        </is>
      </c>
      <c r="N1106" s="47" t="inlineStr">
        <is>
          <t>ATX 3.1, native 12V-2x6 (600W) connector, semi-modular</t>
        </is>
      </c>
      <c r="O1106" s="47" t="inlineStr">
        <is>
          <t>N/A</t>
        </is>
      </c>
      <c r="P1106" s="47" t="inlineStr">
        <is>
          <t>N/A</t>
        </is>
      </c>
      <c r="Q1106" s="50" t="n">
        <v>2007</v>
      </c>
      <c r="R1106" s="47" t="inlineStr">
        <is>
          <t>Lower price than Eucleia Aria Pro 850W Power Supply [EUC-124-07] ($110.99 vs $205.99); Lighter than Aphrodite Vertex Lite 850W Power Supply [APH-141-04] (2,007 g vs 2,141 g)</t>
        </is>
      </c>
      <c r="S1106" s="47" t="inlineStr">
        <is>
          <t>PC building, high-end gaming</t>
        </is>
      </c>
      <c r="T1106" s="0" t="inlineStr">
        <is>
          <t>in_stock</t>
        </is>
      </c>
      <c r="U1106" s="0" t="n">
        <v>45</v>
      </c>
      <c r="V1106" s="52" t="n">
        <v>121.99</v>
      </c>
      <c r="W1106" s="0" t="inlineStr">
        <is>
          <t>2026-08-01</t>
        </is>
      </c>
      <c r="X1106" s="0" t="inlineStr">
        <is>
          <t>N/A</t>
        </is>
      </c>
      <c r="Y1106" s="0" t="inlineStr">
        <is>
          <t>N/A</t>
        </is>
      </c>
      <c r="Z1106" s="0" t="inlineStr">
        <is>
          <t>N/A</t>
        </is>
      </c>
      <c r="AA1106" s="0" t="inlineStr">
        <is>
          <t>N/A</t>
        </is>
      </c>
    </row>
    <row r="1107" ht="15.75" customHeight="1" s="51">
      <c r="A1107" s="47" t="inlineStr">
        <is>
          <t>APA-110-05</t>
        </is>
      </c>
      <c r="B1107" s="47" t="inlineStr">
        <is>
          <t>Apate</t>
        </is>
      </c>
      <c r="C1107" s="47" t="inlineStr">
        <is>
          <t>Computer Hardware</t>
        </is>
      </c>
      <c r="D1107" s="47" t="inlineStr">
        <is>
          <t>Cooling</t>
        </is>
      </c>
      <c r="E1107" s="48" t="inlineStr">
        <is>
          <t>Apate Aria Ultra 360mm AIO CPU Cooler</t>
        </is>
      </c>
      <c r="F1107" s="49" t="n">
        <v>159.99</v>
      </c>
      <c r="G1107" s="47" t="inlineStr">
        <is>
          <t>the Aria Ultra; Apate Aria Ultra; Aapte Aria Ultra; Aria Ultra cooling</t>
        </is>
      </c>
      <c r="H1107" s="47" t="inlineStr">
        <is>
          <t>5 year limited</t>
        </is>
      </c>
      <c r="I1107" s="47" t="inlineStr">
        <is>
          <t>FCC, CE, RoHS</t>
        </is>
      </c>
      <c r="J1107" s="47" t="inlineStr">
        <is>
          <t>N/A</t>
        </is>
      </c>
      <c r="K1107" s="47" t="inlineStr">
        <is>
          <t>N/A</t>
        </is>
      </c>
      <c r="L1107" s="47" t="inlineStr">
        <is>
          <t>N/A</t>
        </is>
      </c>
      <c r="M1107" s="47" t="inlineStr">
        <is>
          <t>N/A</t>
        </is>
      </c>
      <c r="N1107" s="47" t="inlineStr">
        <is>
          <t>3x 4-pin PWM fans, 3-pin pump header, ARGB 5V; LGA1700/LGA1851/AM5 mounts</t>
        </is>
      </c>
      <c r="O1107" s="47" t="inlineStr">
        <is>
          <t>N/A</t>
        </is>
      </c>
      <c r="P1107" s="47" t="inlineStr">
        <is>
          <t>N/A</t>
        </is>
      </c>
      <c r="Q1107" s="50" t="n">
        <v>1987</v>
      </c>
      <c r="R1107" s="47" t="inlineStr">
        <is>
          <t>Lower price than Aphrodite Halo Plus 360mm AIO CPU Cooler [APH-141-08] ($159.99 vs $255.99); Lighter than Enyo Quanta Air 360mm AIO CPU Cooler [ENY-114-07] (1,987 g vs 2,077 g)</t>
        </is>
      </c>
      <c r="S1107" s="47" t="inlineStr">
        <is>
          <t>overclocking, gaming, quiet builds</t>
        </is>
      </c>
      <c r="T1107" s="0" t="inlineStr">
        <is>
          <t>in_stock</t>
        </is>
      </c>
      <c r="U1107" s="0" t="n">
        <v>45</v>
      </c>
      <c r="V1107" s="52" t="n">
        <v>165.99</v>
      </c>
      <c r="W1107" s="0" t="inlineStr">
        <is>
          <t>2026-09-16</t>
        </is>
      </c>
      <c r="X1107" s="0" t="inlineStr">
        <is>
          <t>N/A</t>
        </is>
      </c>
      <c r="Y1107" s="0" t="inlineStr">
        <is>
          <t>N/A</t>
        </is>
      </c>
      <c r="Z1107" s="0" t="inlineStr">
        <is>
          <t>N/A</t>
        </is>
      </c>
      <c r="AA1107" s="0" t="inlineStr">
        <is>
          <t>N/A</t>
        </is>
      </c>
    </row>
    <row r="1108" ht="15.75" customHeight="1" s="51">
      <c r="A1108" s="47" t="inlineStr">
        <is>
          <t>APA-110-06</t>
        </is>
      </c>
      <c r="B1108" s="47" t="inlineStr">
        <is>
          <t>Apate</t>
        </is>
      </c>
      <c r="C1108" s="47" t="inlineStr">
        <is>
          <t>Computer Hardware</t>
        </is>
      </c>
      <c r="D1108" s="47" t="inlineStr">
        <is>
          <t>Storage</t>
        </is>
      </c>
      <c r="E1108" s="48" t="inlineStr">
        <is>
          <t>Apate Blaze SE 2TB NVMe SSD</t>
        </is>
      </c>
      <c r="F1108" s="49" t="n">
        <v>166.99</v>
      </c>
      <c r="G1108" s="47" t="inlineStr">
        <is>
          <t>the Blaze SE; Apate Blaze SE; Apaate Blaze SE; Blaze SE storage</t>
        </is>
      </c>
      <c r="H1108" s="47" t="inlineStr">
        <is>
          <t>5 year limited</t>
        </is>
      </c>
      <c r="I1108" s="47" t="inlineStr">
        <is>
          <t>FCC, CE, RoHS</t>
        </is>
      </c>
      <c r="J1108" s="47" t="inlineStr">
        <is>
          <t>Controller: Phison E27T</t>
        </is>
      </c>
      <c r="K1108" s="47" t="inlineStr">
        <is>
          <t>N/A</t>
        </is>
      </c>
      <c r="L1108" s="47" t="inlineStr">
        <is>
          <t>N/A</t>
        </is>
      </c>
      <c r="M1108" s="47" t="inlineStr">
        <is>
          <t>N/A</t>
        </is>
      </c>
      <c r="N1108" s="47" t="inlineStr">
        <is>
          <t>M.2 2280, PCIe 4.0 x4 NVMe</t>
        </is>
      </c>
      <c r="O1108" s="47" t="inlineStr">
        <is>
          <t>N/A</t>
        </is>
      </c>
      <c r="P1108" s="47" t="inlineStr">
        <is>
          <t>N/A</t>
        </is>
      </c>
      <c r="Q1108" s="50" t="n">
        <v>7</v>
      </c>
      <c r="R1108" s="47" t="inlineStr">
        <is>
          <t>Lower price than Eris Onyx Plus 2TB NVMe SSD [ERI-148-08] ($166.99 vs $277.99); Lighter than Hades Vertex Max 2TB NVMe SSD [HAD-119-08] (7 g vs 28 g)</t>
        </is>
      </c>
      <c r="S1108" s="47" t="inlineStr">
        <is>
          <t>gaming, fast boot, content creation</t>
        </is>
      </c>
      <c r="T1108" s="0" t="inlineStr">
        <is>
          <t>in_stock</t>
        </is>
      </c>
      <c r="U1108" s="0" t="n">
        <v>45</v>
      </c>
      <c r="V1108" s="52" t="n">
        <v>176.99</v>
      </c>
      <c r="W1108" s="0" t="inlineStr">
        <is>
          <t>2026-09-04</t>
        </is>
      </c>
      <c r="X1108" s="0" t="inlineStr">
        <is>
          <t>N/A</t>
        </is>
      </c>
      <c r="Y1108" s="0" t="inlineStr">
        <is>
          <t>N/A</t>
        </is>
      </c>
      <c r="Z1108" s="0" t="inlineStr">
        <is>
          <t>N/A</t>
        </is>
      </c>
      <c r="AA1108" s="0" t="inlineStr">
        <is>
          <t>N/A</t>
        </is>
      </c>
    </row>
    <row r="1109" ht="15.75" customHeight="1" s="51">
      <c r="A1109" s="47" t="inlineStr">
        <is>
          <t>APA-110-07</t>
        </is>
      </c>
      <c r="B1109" s="47" t="inlineStr">
        <is>
          <t>Apate</t>
        </is>
      </c>
      <c r="C1109" s="47" t="inlineStr">
        <is>
          <t>Computer Hardware</t>
        </is>
      </c>
      <c r="D1109" s="47" t="inlineStr">
        <is>
          <t>Docking Station</t>
        </is>
      </c>
      <c r="E1109" s="48" t="inlineStr">
        <is>
          <t>Apate Aria USB-C Docking Station</t>
        </is>
      </c>
      <c r="F1109" s="49" t="n">
        <v>269.99</v>
      </c>
      <c r="G1109" s="47" t="inlineStr">
        <is>
          <t>the Aria; Apate Aria; Aapte Aria; Aria docking station</t>
        </is>
      </c>
      <c r="H1109" s="47" t="inlineStr">
        <is>
          <t>2 year limited</t>
        </is>
      </c>
      <c r="I1109" s="47" t="inlineStr">
        <is>
          <t>FCC, CE, RoHS, USB-IF Certified, UL Listed</t>
        </is>
      </c>
      <c r="J1109" s="47" t="inlineStr">
        <is>
          <t>N/A</t>
        </is>
      </c>
      <c r="K1109" s="47" t="inlineStr">
        <is>
          <t>N/A</t>
        </is>
      </c>
      <c r="L1109" s="47" t="inlineStr">
        <is>
          <t>N/A</t>
        </is>
      </c>
      <c r="M1109" s="47" t="inlineStr">
        <is>
          <t>N/A</t>
        </is>
      </c>
      <c r="N1109" s="47" t="inlineStr">
        <is>
          <t>Thunderbolt 4 host, 2x HDMI 2.1, 4x USB-A, 3x USB-C, 2.5GbE, SD/microSD, 96W PD</t>
        </is>
      </c>
      <c r="O1109" s="47" t="inlineStr">
        <is>
          <t>N/A</t>
        </is>
      </c>
      <c r="P1109" s="47" t="inlineStr">
        <is>
          <t>N/A</t>
        </is>
      </c>
      <c r="Q1109" s="50" t="n">
        <v>292</v>
      </c>
      <c r="R1109" s="47" t="inlineStr">
        <is>
          <t>Lighter than Eros Blaze X USB-C Docking Station [ERO-134-06] (292 g vs 466 g); Lower price than Dione Aria Pro USB-C Docking Station [DIO-128-08] ($269.99 vs $304.99)</t>
        </is>
      </c>
      <c r="S1109" s="47" t="inlineStr">
        <is>
          <t>office, remote work, multi-monitor</t>
        </is>
      </c>
      <c r="T1109" s="0" t="inlineStr">
        <is>
          <t>in_stock</t>
        </is>
      </c>
      <c r="U1109" s="0" t="n">
        <v>45</v>
      </c>
      <c r="V1109" s="52" t="n">
        <v>292.99</v>
      </c>
      <c r="W1109" s="0" t="inlineStr">
        <is>
          <t>2026-09-17</t>
        </is>
      </c>
      <c r="X1109" s="0" t="inlineStr">
        <is>
          <t>N/A</t>
        </is>
      </c>
      <c r="Y1109" s="0" t="inlineStr">
        <is>
          <t>N/A</t>
        </is>
      </c>
      <c r="Z1109" s="0" t="inlineStr">
        <is>
          <t>N/A</t>
        </is>
      </c>
      <c r="AA1109" s="0" t="inlineStr">
        <is>
          <t>N/A</t>
        </is>
      </c>
    </row>
    <row r="1110" ht="15.75" customHeight="1" s="51">
      <c r="A1110" s="47" t="inlineStr">
        <is>
          <t>APA-110-08</t>
        </is>
      </c>
      <c r="B1110" s="47" t="inlineStr">
        <is>
          <t>Apate</t>
        </is>
      </c>
      <c r="C1110" s="47" t="inlineStr">
        <is>
          <t>Computer Hardware</t>
        </is>
      </c>
      <c r="D1110" s="47" t="inlineStr">
        <is>
          <t>Motherboard</t>
        </is>
      </c>
      <c r="E1110" s="48" t="inlineStr">
        <is>
          <t>Apate Sable Lite ATX Motherboard</t>
        </is>
      </c>
      <c r="F1110" s="49" t="n">
        <v>411.99</v>
      </c>
      <c r="G1110" s="47" t="inlineStr">
        <is>
          <t>the Sable Lite; Apate Sable Lite; Appate Sable Lite; Sable Lite motherboard</t>
        </is>
      </c>
      <c r="H1110" s="47" t="inlineStr">
        <is>
          <t>3 year limited</t>
        </is>
      </c>
      <c r="I1110" s="47" t="inlineStr">
        <is>
          <t>FCC, CE, RoHS</t>
        </is>
      </c>
      <c r="J1110" s="47" t="inlineStr">
        <is>
          <t>Supports AMD Ryzen 7000/8000/9000 (Socket AM5)</t>
        </is>
      </c>
      <c r="K1110" s="47" t="inlineStr">
        <is>
          <t>N/A</t>
        </is>
      </c>
      <c r="L1110" s="47" t="inlineStr">
        <is>
          <t>N/A</t>
        </is>
      </c>
      <c r="M1110" s="47" t="inlineStr">
        <is>
          <t>N/A</t>
        </is>
      </c>
      <c r="N1110" s="47" t="inlineStr">
        <is>
          <t>Rear I/O: 1x HDMI, 1x DisplayPort, 8x USB-A, 2x USB-C 20Gbps, 2.5GbE, Wi-Fi 7</t>
        </is>
      </c>
      <c r="O1110" s="47" t="inlineStr">
        <is>
          <t>N/A</t>
        </is>
      </c>
      <c r="P1110" s="47" t="inlineStr">
        <is>
          <t>N/A</t>
        </is>
      </c>
      <c r="Q1110" s="50" t="n">
        <v>1584</v>
      </c>
      <c r="R1110" s="47" t="inlineStr">
        <is>
          <t>Lower price than Hymenaeus Pulse Lite ATX Motherboard [HYM-121-07] ($411.99 vs $461.99); Lighter than Cronus Drift Lite ATX Motherboard [CRO-105-08] (1,584 g vs 1,607 g)</t>
        </is>
      </c>
      <c r="S1110" s="47" t="inlineStr">
        <is>
          <t>PC building, gaming, workstation builds</t>
        </is>
      </c>
      <c r="T1110" s="0" t="inlineStr">
        <is>
          <t>low_stock</t>
        </is>
      </c>
      <c r="U1110" s="0" t="n">
        <v>45</v>
      </c>
      <c r="V1110" s="52" t="n">
        <v>453.99</v>
      </c>
      <c r="W1110" s="0" t="inlineStr">
        <is>
          <t>2026-08-30</t>
        </is>
      </c>
      <c r="X1110" s="0" t="inlineStr">
        <is>
          <t>N/A</t>
        </is>
      </c>
      <c r="Y1110" s="0" t="inlineStr">
        <is>
          <t>N/A</t>
        </is>
      </c>
      <c r="Z1110" s="0" t="inlineStr">
        <is>
          <t>N/A</t>
        </is>
      </c>
      <c r="AA1110" s="0" t="inlineStr">
        <is>
          <t>N/A</t>
        </is>
      </c>
    </row>
    <row r="1111" ht="15.75" customHeight="1" s="51">
      <c r="A1111" s="47" t="inlineStr">
        <is>
          <t>APA-110-09</t>
        </is>
      </c>
      <c r="B1111" s="47" t="inlineStr">
        <is>
          <t>Apate</t>
        </is>
      </c>
      <c r="C1111" s="47" t="inlineStr">
        <is>
          <t>Computer Hardware</t>
        </is>
      </c>
      <c r="D1111" s="47" t="inlineStr">
        <is>
          <t>Monitor</t>
        </is>
      </c>
      <c r="E1111" s="48" t="inlineStr">
        <is>
          <t>Apate Spark Air 27" 1440p Monitor</t>
        </is>
      </c>
      <c r="F1111" s="49" t="n">
        <v>577.99</v>
      </c>
      <c r="G1111" s="47" t="inlineStr">
        <is>
          <t>the Spark Air; Apate Spark Air; Apatee Spark Air; Spark Air monitor</t>
        </is>
      </c>
      <c r="H1111" s="47" t="inlineStr">
        <is>
          <t>3 year limited</t>
        </is>
      </c>
      <c r="I1111" s="47" t="inlineStr">
        <is>
          <t>FCC, CE, RoHS, Energy Star, TUV Rheinland Low Blue Light, VESA DisplayHDR True Black 400</t>
        </is>
      </c>
      <c r="J1111" s="47" t="inlineStr">
        <is>
          <t>N/A</t>
        </is>
      </c>
      <c r="K1111" s="47" t="inlineStr">
        <is>
          <t>N/A</t>
        </is>
      </c>
      <c r="L1111" s="47" t="inlineStr">
        <is>
          <t>Fast IPS, 240Hz</t>
        </is>
      </c>
      <c r="M1111" s="47" t="inlineStr">
        <is>
          <t>2560x1440</t>
        </is>
      </c>
      <c r="N1111" s="47" t="inlineStr">
        <is>
          <t>2x HDMI 2.1, 1x DisplayPort 1.4, USB-C 90W, USB hub</t>
        </is>
      </c>
      <c r="O1111" s="47" t="inlineStr">
        <is>
          <t>N/A</t>
        </is>
      </c>
      <c r="P1111" s="47" t="inlineStr">
        <is>
          <t>N/A</t>
        </is>
      </c>
      <c r="Q1111" s="50" t="n">
        <v>5395</v>
      </c>
      <c r="R1111" s="47" t="inlineStr">
        <is>
          <t>Lower price than Ares Vibe X 27" 1440p Monitor [ARE-140-10] ($577.99 vs $621.99); Lighter than Bia Aeon Max 27" 1440p Monitor [BIA-107-09] (5,395 g vs 6,015 g)</t>
        </is>
      </c>
      <c r="S1111" s="47" t="inlineStr">
        <is>
          <t>gaming, office, content creation</t>
        </is>
      </c>
      <c r="T1111" s="0" t="inlineStr">
        <is>
          <t>in_stock</t>
        </is>
      </c>
      <c r="U1111" s="0" t="n">
        <v>45</v>
      </c>
      <c r="V1111" s="52" t="n">
        <v>609.99</v>
      </c>
      <c r="W1111" s="0" t="inlineStr">
        <is>
          <t>2026-08-07</t>
        </is>
      </c>
      <c r="X1111" s="0" t="inlineStr">
        <is>
          <t>N/A</t>
        </is>
      </c>
      <c r="Y1111" s="0" t="inlineStr">
        <is>
          <t>N/A</t>
        </is>
      </c>
      <c r="Z1111" s="0" t="inlineStr">
        <is>
          <t>N/A</t>
        </is>
      </c>
      <c r="AA1111" s="0" t="inlineStr">
        <is>
          <t>N/A</t>
        </is>
      </c>
    </row>
    <row r="1112" ht="15.75" customHeight="1" s="51">
      <c r="A1112" s="47" t="inlineStr">
        <is>
          <t>APA-110-10</t>
        </is>
      </c>
      <c r="B1112" s="47" t="inlineStr">
        <is>
          <t>Apate</t>
        </is>
      </c>
      <c r="C1112" s="47" t="inlineStr">
        <is>
          <t>Computer Hardware</t>
        </is>
      </c>
      <c r="D1112" s="47" t="inlineStr">
        <is>
          <t>Graphics Card</t>
        </is>
      </c>
      <c r="E1112" s="48" t="inlineStr">
        <is>
          <t>Apate Apex Graphics Card</t>
        </is>
      </c>
      <c r="F1112" s="49" t="n">
        <v>1673.99</v>
      </c>
      <c r="G1112" s="47" t="inlineStr">
        <is>
          <t>the Apex; Apate Apex; Aptae Apex; Apex graphics card</t>
        </is>
      </c>
      <c r="H1112" s="47" t="inlineStr">
        <is>
          <t>3 year limited</t>
        </is>
      </c>
      <c r="I1112" s="47" t="inlineStr">
        <is>
          <t>FCC, CE, RoHS</t>
        </is>
      </c>
      <c r="J1112" s="47" t="inlineStr">
        <is>
          <t>N/A</t>
        </is>
      </c>
      <c r="K1112" s="47" t="inlineStr">
        <is>
          <t>NVIDIA GeForce RTX 4090 24GB (Apate Apex edition)</t>
        </is>
      </c>
      <c r="L1112" s="47" t="inlineStr">
        <is>
          <t>N/A</t>
        </is>
      </c>
      <c r="M1112" s="47" t="inlineStr">
        <is>
          <t>N/A</t>
        </is>
      </c>
      <c r="N1112" s="47" t="inlineStr">
        <is>
          <t>3x DisplayPort 1.4a, 1x HDMI 2.1a</t>
        </is>
      </c>
      <c r="O1112" s="47" t="inlineStr">
        <is>
          <t>N/A</t>
        </is>
      </c>
      <c r="P1112" s="47" t="inlineStr">
        <is>
          <t>N/A</t>
        </is>
      </c>
      <c r="Q1112" s="50" t="n">
        <v>1528</v>
      </c>
      <c r="R1112" s="47" t="inlineStr">
        <is>
          <t>Lighter than Iris Sable Air Graphics Card [IRI-130-10] (1,528 g vs 1,621 g); Lower price than Aidos Prism Ultra Graphics Card [AID-135-10] ($1,673.99 vs $1,834.99)</t>
        </is>
      </c>
      <c r="S1112" s="47" t="inlineStr">
        <is>
          <t>gaming, 3D rendering, AI workloads</t>
        </is>
      </c>
      <c r="T1112" s="0" t="inlineStr">
        <is>
          <t>low_stock</t>
        </is>
      </c>
      <c r="U1112" s="0" t="n">
        <v>45</v>
      </c>
      <c r="V1112" s="52" t="n">
        <v>1871.99</v>
      </c>
      <c r="W1112" s="0" t="inlineStr">
        <is>
          <t>2026-09-22</t>
        </is>
      </c>
      <c r="X1112" s="0" t="inlineStr">
        <is>
          <t>N/A</t>
        </is>
      </c>
      <c r="Y1112" s="0" t="inlineStr">
        <is>
          <t>N/A</t>
        </is>
      </c>
      <c r="Z1112" s="0" t="inlineStr">
        <is>
          <t>N/A</t>
        </is>
      </c>
      <c r="AA1112" s="0" t="inlineStr">
        <is>
          <t>N/A</t>
        </is>
      </c>
    </row>
    <row r="1113" ht="15.75" customHeight="1" s="51">
      <c r="A1113" s="47" t="inlineStr">
        <is>
          <t>EOS-111-01</t>
        </is>
      </c>
      <c r="B1113" s="47" t="inlineStr">
        <is>
          <t>Eos</t>
        </is>
      </c>
      <c r="C1113" s="47" t="inlineStr">
        <is>
          <t>Computer Hardware</t>
        </is>
      </c>
      <c r="D1113" s="47" t="inlineStr">
        <is>
          <t>Case Fans</t>
        </is>
      </c>
      <c r="E1113" s="48" t="inlineStr">
        <is>
          <t>Eos Nimbus RGB Case Fan 3-Pack</t>
        </is>
      </c>
      <c r="F1113" s="49" t="n">
        <v>92.98999999999999</v>
      </c>
      <c r="G1113" s="47" t="inlineStr">
        <is>
          <t>the Nimbus; Eos Nimbus; Eoss Nimbus; Nimbus case fans</t>
        </is>
      </c>
      <c r="H1113" s="47" t="inlineStr">
        <is>
          <t>2 year limited</t>
        </is>
      </c>
      <c r="I1113" s="47" t="inlineStr">
        <is>
          <t>FCC, CE, RoHS</t>
        </is>
      </c>
      <c r="J1113" s="47" t="inlineStr">
        <is>
          <t>N/A</t>
        </is>
      </c>
      <c r="K1113" s="47" t="inlineStr">
        <is>
          <t>N/A</t>
        </is>
      </c>
      <c r="L1113" s="47" t="inlineStr">
        <is>
          <t>N/A</t>
        </is>
      </c>
      <c r="M1113" s="47" t="inlineStr">
        <is>
          <t>N/A</t>
        </is>
      </c>
      <c r="N1113" s="47" t="inlineStr">
        <is>
          <t>4-pin PWM, 3-pin 5V ARGB, daisy-chain connectors</t>
        </is>
      </c>
      <c r="O1113" s="47" t="inlineStr">
        <is>
          <t>N/A</t>
        </is>
      </c>
      <c r="P1113" s="47" t="inlineStr">
        <is>
          <t>N/A</t>
        </is>
      </c>
      <c r="Q1113" s="50" t="n">
        <v>421</v>
      </c>
      <c r="R1113" s="47" t="inlineStr">
        <is>
          <t>Lighter than Eris Strata SE RGB Case Fan 3-Pack [ERI-148-01] (421 g vs 457 g); Lower price than Crius Nimbus X RGB Case Fan 3-Pack [CRI-139-02] ($92.99 vs $94.99)</t>
        </is>
      </c>
      <c r="S1113" s="47" t="inlineStr">
        <is>
          <t>PC building, cooling, RGB builds</t>
        </is>
      </c>
      <c r="T1113" s="0" t="inlineStr">
        <is>
          <t>in_stock</t>
        </is>
      </c>
      <c r="U1113" s="0" t="n">
        <v>30</v>
      </c>
      <c r="V1113" s="52" t="n">
        <v>102.99</v>
      </c>
      <c r="W1113" s="0" t="inlineStr">
        <is>
          <t>2026-08-03</t>
        </is>
      </c>
      <c r="X1113" s="0" t="inlineStr">
        <is>
          <t>N/A</t>
        </is>
      </c>
      <c r="Y1113" s="0" t="inlineStr">
        <is>
          <t>N/A</t>
        </is>
      </c>
      <c r="Z1113" s="0" t="inlineStr">
        <is>
          <t>N/A</t>
        </is>
      </c>
      <c r="AA1113" s="0" t="inlineStr">
        <is>
          <t>N/A</t>
        </is>
      </c>
    </row>
    <row r="1114" ht="15.75" customHeight="1" s="51">
      <c r="A1114" s="47" t="inlineStr">
        <is>
          <t>EOS-111-02</t>
        </is>
      </c>
      <c r="B1114" s="47" t="inlineStr">
        <is>
          <t>Eos</t>
        </is>
      </c>
      <c r="C1114" s="47" t="inlineStr">
        <is>
          <t>Computer Hardware</t>
        </is>
      </c>
      <c r="D1114" s="47" t="inlineStr">
        <is>
          <t>Networking</t>
        </is>
      </c>
      <c r="E1114" s="48" t="inlineStr">
        <is>
          <t>Eos Echo Plus Wi-Fi 7 PCIe Card</t>
        </is>
      </c>
      <c r="F1114" s="49" t="n">
        <v>96.98999999999999</v>
      </c>
      <c r="G1114" s="47" t="inlineStr">
        <is>
          <t>the Echo Plus; Eos Echo Plus; Eoos Echo Plus; Echo Plus networking</t>
        </is>
      </c>
      <c r="H1114" s="47" t="inlineStr">
        <is>
          <t>2 year limited</t>
        </is>
      </c>
      <c r="I1114" s="47" t="inlineStr">
        <is>
          <t>FCC, CE, RoHS, Wi-Fi CERTIFIED 7, Bluetooth SIG Qualified</t>
        </is>
      </c>
      <c r="J1114" s="47" t="inlineStr">
        <is>
          <t>Chipset: MediaTek MT7927</t>
        </is>
      </c>
      <c r="K1114" s="47" t="inlineStr">
        <is>
          <t>N/A</t>
        </is>
      </c>
      <c r="L1114" s="47" t="inlineStr">
        <is>
          <t>N/A</t>
        </is>
      </c>
      <c r="M1114" s="47" t="inlineStr">
        <is>
          <t>N/A</t>
        </is>
      </c>
      <c r="N1114" s="47" t="inlineStr">
        <is>
          <t>PCIe x1, internal USB 2.0 header (Bluetooth 5.4), 2x external antennas</t>
        </is>
      </c>
      <c r="O1114" s="47" t="inlineStr">
        <is>
          <t>N/A</t>
        </is>
      </c>
      <c r="P1114" s="47" t="inlineStr">
        <is>
          <t>N/A</t>
        </is>
      </c>
      <c r="Q1114" s="50" t="n">
        <v>78</v>
      </c>
      <c r="R1114" s="47" t="inlineStr">
        <is>
          <t>Lighter than Eirene Drift SE Wi-Fi 7 PCIe Card [EIR-112-01] (78 g vs 109 g); Lower price than Thalassa Volt Lite Wi-Fi 7 PCIe Card [THA-126-03] ($96.99 vs $125.99)</t>
        </is>
      </c>
      <c r="S1114" s="47" t="inlineStr">
        <is>
          <t>gaming, streaming, PC building</t>
        </is>
      </c>
      <c r="T1114" s="0" t="inlineStr">
        <is>
          <t>low_stock</t>
        </is>
      </c>
      <c r="U1114" s="0" t="n">
        <v>30</v>
      </c>
      <c r="V1114" s="52" t="n">
        <v>106.99</v>
      </c>
      <c r="W1114" s="0" t="inlineStr">
        <is>
          <t>2026-08-20</t>
        </is>
      </c>
      <c r="X1114" s="0" t="inlineStr">
        <is>
          <t>N/A</t>
        </is>
      </c>
      <c r="Y1114" s="0" t="inlineStr">
        <is>
          <t>N/A</t>
        </is>
      </c>
      <c r="Z1114" s="0" t="inlineStr">
        <is>
          <t>N/A</t>
        </is>
      </c>
      <c r="AA1114" s="0" t="inlineStr">
        <is>
          <t>N/A</t>
        </is>
      </c>
    </row>
    <row r="1115" ht="15.75" customHeight="1" s="51">
      <c r="A1115" s="47" t="inlineStr">
        <is>
          <t>EOS-111-03</t>
        </is>
      </c>
      <c r="B1115" s="47" t="inlineStr">
        <is>
          <t>Eos</t>
        </is>
      </c>
      <c r="C1115" s="47" t="inlineStr">
        <is>
          <t>Computer Hardware</t>
        </is>
      </c>
      <c r="D1115" s="47" t="inlineStr">
        <is>
          <t>Storage</t>
        </is>
      </c>
      <c r="E1115" s="48" t="inlineStr">
        <is>
          <t>Eos Arc 2TB NVMe SSD</t>
        </is>
      </c>
      <c r="F1115" s="49" t="n">
        <v>112.99</v>
      </c>
      <c r="G1115" s="47" t="inlineStr">
        <is>
          <t>the Arc; Eos Arc; Eoss Arc; Arc storage</t>
        </is>
      </c>
      <c r="H1115" s="47" t="inlineStr">
        <is>
          <t>5 year limited</t>
        </is>
      </c>
      <c r="I1115" s="47" t="inlineStr">
        <is>
          <t>FCC, CE, RoHS</t>
        </is>
      </c>
      <c r="J1115" s="47" t="inlineStr">
        <is>
          <t>Controller: Phison E21T</t>
        </is>
      </c>
      <c r="K1115" s="47" t="inlineStr">
        <is>
          <t>N/A</t>
        </is>
      </c>
      <c r="L1115" s="47" t="inlineStr">
        <is>
          <t>N/A</t>
        </is>
      </c>
      <c r="M1115" s="47" t="inlineStr">
        <is>
          <t>N/A</t>
        </is>
      </c>
      <c r="N1115" s="47" t="inlineStr">
        <is>
          <t>M.2 2280, PCIe 4.0 x4 NVMe</t>
        </is>
      </c>
      <c r="O1115" s="47" t="inlineStr">
        <is>
          <t>N/A</t>
        </is>
      </c>
      <c r="P1115" s="47" t="inlineStr">
        <is>
          <t>N/A</t>
        </is>
      </c>
      <c r="Q1115" s="50" t="n">
        <v>30</v>
      </c>
      <c r="R1115" s="47" t="inlineStr">
        <is>
          <t>Lower price than Euterpe Flux 2TB NVMe SSD [EUT-120-07] ($112.99 vs $287.99)</t>
        </is>
      </c>
      <c r="S1115" s="47" t="inlineStr">
        <is>
          <t>gaming, fast boot, content creation</t>
        </is>
      </c>
      <c r="T1115" s="0" t="inlineStr">
        <is>
          <t>in_stock</t>
        </is>
      </c>
      <c r="U1115" s="0" t="n">
        <v>30</v>
      </c>
      <c r="V1115" s="52" t="n">
        <v>124.99</v>
      </c>
      <c r="W1115" s="0" t="inlineStr">
        <is>
          <t>2026-08-28</t>
        </is>
      </c>
      <c r="X1115" s="0" t="inlineStr">
        <is>
          <t>N/A</t>
        </is>
      </c>
      <c r="Y1115" s="0" t="inlineStr">
        <is>
          <t>N/A</t>
        </is>
      </c>
      <c r="Z1115" s="0" t="inlineStr">
        <is>
          <t>N/A</t>
        </is>
      </c>
      <c r="AA1115" s="0" t="inlineStr">
        <is>
          <t>N/A</t>
        </is>
      </c>
    </row>
    <row r="1116" ht="15.75" customHeight="1" s="51">
      <c r="A1116" s="47" t="inlineStr">
        <is>
          <t>EOS-111-04</t>
        </is>
      </c>
      <c r="B1116" s="47" t="inlineStr">
        <is>
          <t>Eos</t>
        </is>
      </c>
      <c r="C1116" s="47" t="inlineStr">
        <is>
          <t>Computer Hardware</t>
        </is>
      </c>
      <c r="D1116" s="47" t="inlineStr">
        <is>
          <t>PC Case</t>
        </is>
      </c>
      <c r="E1116" s="48" t="inlineStr">
        <is>
          <t>Eos Aria Ultra Mid-Tower PC Case</t>
        </is>
      </c>
      <c r="F1116" s="49" t="n">
        <v>152.99</v>
      </c>
      <c r="G1116" s="47" t="inlineStr">
        <is>
          <t>the Aria Ultra; Eos Aria Ultra; Eoss Aria Ultra; Aria Ultra pc case</t>
        </is>
      </c>
      <c r="H1116" s="47" t="inlineStr">
        <is>
          <t>2 year limited</t>
        </is>
      </c>
      <c r="I1116" s="47" t="inlineStr">
        <is>
          <t>FCC, CE, RoHS, UL 94 V-0 (materials)</t>
        </is>
      </c>
      <c r="J1116" s="47" t="inlineStr">
        <is>
          <t>N/A</t>
        </is>
      </c>
      <c r="K1116" s="47" t="inlineStr">
        <is>
          <t>N/A</t>
        </is>
      </c>
      <c r="L1116" s="47" t="inlineStr">
        <is>
          <t>N/A</t>
        </is>
      </c>
      <c r="M1116" s="47" t="inlineStr">
        <is>
          <t>N/A</t>
        </is>
      </c>
      <c r="N1116" s="47" t="inlineStr">
        <is>
          <t>Front I/O: 1x USB-C 10Gbps, 2x USB-A 3.0, 3.5mm combo audio</t>
        </is>
      </c>
      <c r="O1116" s="47" t="inlineStr">
        <is>
          <t>N/A</t>
        </is>
      </c>
      <c r="P1116" s="47" t="inlineStr">
        <is>
          <t>N/A</t>
        </is>
      </c>
      <c r="Q1116" s="50" t="n">
        <v>6554</v>
      </c>
      <c r="R1116" s="47" t="inlineStr">
        <is>
          <t>Lighter than Phoebe Blaze SE Mid-Tower PC Case [PHO-143-02] (6,554 g vs 7,917 g); Lower price than Perses Orbit Plus Mid-Tower PC Case [PER-101-05] ($152.99 vs $178.99)</t>
        </is>
      </c>
      <c r="S1116" s="47" t="inlineStr">
        <is>
          <t>PC building, gaming</t>
        </is>
      </c>
      <c r="T1116" s="0" t="inlineStr">
        <is>
          <t>low_stock</t>
        </is>
      </c>
      <c r="U1116" s="0" t="n">
        <v>30</v>
      </c>
      <c r="V1116" s="52" t="n">
        <v>162.99</v>
      </c>
      <c r="W1116" s="0" t="inlineStr">
        <is>
          <t>2026-08-29</t>
        </is>
      </c>
      <c r="X1116" s="0" t="inlineStr">
        <is>
          <t>N/A</t>
        </is>
      </c>
      <c r="Y1116" s="0" t="inlineStr">
        <is>
          <t>N/A</t>
        </is>
      </c>
      <c r="Z1116" s="0" t="inlineStr">
        <is>
          <t>N/A</t>
        </is>
      </c>
      <c r="AA1116" s="0" t="inlineStr">
        <is>
          <t>N/A</t>
        </is>
      </c>
    </row>
    <row r="1117" ht="15.75" customHeight="1" s="51">
      <c r="A1117" s="47" t="inlineStr">
        <is>
          <t>EOS-111-05</t>
        </is>
      </c>
      <c r="B1117" s="47" t="inlineStr">
        <is>
          <t>Eos</t>
        </is>
      </c>
      <c r="C1117" s="47" t="inlineStr">
        <is>
          <t>Computer Hardware</t>
        </is>
      </c>
      <c r="D1117" s="47" t="inlineStr">
        <is>
          <t>Storage</t>
        </is>
      </c>
      <c r="E1117" s="48" t="inlineStr">
        <is>
          <t>Eos Pulse Pro 4TB External Hard Drive</t>
        </is>
      </c>
      <c r="F1117" s="49" t="n">
        <v>175.99</v>
      </c>
      <c r="G1117" s="47" t="inlineStr">
        <is>
          <t>the Pulse Pro; Eos Pulse Pro; Eoss Pulse Pro; Pulse Pro storage</t>
        </is>
      </c>
      <c r="H1117" s="47" t="inlineStr">
        <is>
          <t>2 year limited</t>
        </is>
      </c>
      <c r="I1117" s="47" t="inlineStr">
        <is>
          <t>FCC, CE, RoHS, USB-IF Certified</t>
        </is>
      </c>
      <c r="J1117" s="47" t="inlineStr">
        <is>
          <t>N/A</t>
        </is>
      </c>
      <c r="K1117" s="47" t="inlineStr">
        <is>
          <t>N/A</t>
        </is>
      </c>
      <c r="L1117" s="47" t="inlineStr">
        <is>
          <t>N/A</t>
        </is>
      </c>
      <c r="M1117" s="47" t="inlineStr">
        <is>
          <t>N/A</t>
        </is>
      </c>
      <c r="N1117" s="47" t="inlineStr">
        <is>
          <t>USB-C (USB 3.2 Gen 1)</t>
        </is>
      </c>
      <c r="O1117" s="47" t="inlineStr">
        <is>
          <t>N/A</t>
        </is>
      </c>
      <c r="P1117" s="47" t="inlineStr">
        <is>
          <t>N/A</t>
        </is>
      </c>
      <c r="Q1117" s="50" t="n">
        <v>208</v>
      </c>
      <c r="R1117" s="47" t="inlineStr">
        <is>
          <t>Lighter than Geras Strata Air 4TB External Hard Drive [GER-133-07] (208 g vs 249 g); Lower price than Uranus Strata X 4TB External Hard Drive [URA-113-07] ($175.99 vs $191.99)</t>
        </is>
      </c>
      <c r="S1117" s="47" t="inlineStr">
        <is>
          <t>backup, media storage</t>
        </is>
      </c>
      <c r="T1117" s="0" t="inlineStr">
        <is>
          <t>in_stock</t>
        </is>
      </c>
      <c r="U1117" s="0" t="n">
        <v>30</v>
      </c>
      <c r="V1117" s="52" t="n">
        <v>198.99</v>
      </c>
      <c r="W1117" s="0" t="inlineStr">
        <is>
          <t>2026-08-04</t>
        </is>
      </c>
      <c r="X1117" s="0" t="inlineStr">
        <is>
          <t>N/A</t>
        </is>
      </c>
      <c r="Y1117" s="0" t="inlineStr">
        <is>
          <t>N/A</t>
        </is>
      </c>
      <c r="Z1117" s="0" t="inlineStr">
        <is>
          <t>N/A</t>
        </is>
      </c>
      <c r="AA1117" s="0" t="inlineStr">
        <is>
          <t>N/A</t>
        </is>
      </c>
    </row>
    <row r="1118" ht="15.75" customHeight="1" s="51">
      <c r="A1118" s="47" t="inlineStr">
        <is>
          <t>EOS-111-06</t>
        </is>
      </c>
      <c r="B1118" s="47" t="inlineStr">
        <is>
          <t>Eos</t>
        </is>
      </c>
      <c r="C1118" s="47" t="inlineStr">
        <is>
          <t>Computer Hardware</t>
        </is>
      </c>
      <c r="D1118" s="47" t="inlineStr">
        <is>
          <t>Keyboard</t>
        </is>
      </c>
      <c r="E1118" s="48" t="inlineStr">
        <is>
          <t>Eos Halo Max Mechanical Keyboard</t>
        </is>
      </c>
      <c r="F1118" s="49" t="n">
        <v>228.99</v>
      </c>
      <c r="G1118" s="47" t="inlineStr">
        <is>
          <t>the Halo Max; Eos Halo Max; Eoos Halo Max; Halo Max keyboard</t>
        </is>
      </c>
      <c r="H1118" s="47" t="inlineStr">
        <is>
          <t>2 year limited</t>
        </is>
      </c>
      <c r="I1118" s="47" t="inlineStr">
        <is>
          <t>FCC, CE, RoHS, Bluetooth SIG Qualified</t>
        </is>
      </c>
      <c r="J1118" s="47" t="inlineStr">
        <is>
          <t>N/A</t>
        </is>
      </c>
      <c r="K1118" s="47" t="inlineStr">
        <is>
          <t>N/A</t>
        </is>
      </c>
      <c r="L1118" s="47" t="inlineStr">
        <is>
          <t>N/A</t>
        </is>
      </c>
      <c r="M1118" s="47" t="inlineStr">
        <is>
          <t>N/A</t>
        </is>
      </c>
      <c r="N1118" s="47" t="inlineStr">
        <is>
          <t>USB-C, 2.4GHz dongle, Bluetooth 5.1</t>
        </is>
      </c>
      <c r="O1118" s="47" t="inlineStr">
        <is>
          <t>N/A</t>
        </is>
      </c>
      <c r="P1118" s="47" t="n">
        <v>230</v>
      </c>
      <c r="Q1118" s="50" t="n">
        <v>819</v>
      </c>
      <c r="R1118" s="47" t="inlineStr">
        <is>
          <t>Lighter than Artemis Volt Plus Mechanical Keyboard [ART-150-02] (819 g vs 993 g); Lower price than Kairos Vibe Mechanical Keyboard [KAI-142-08] ($228.99 vs $236.99)</t>
        </is>
      </c>
      <c r="S1118" s="47" t="inlineStr">
        <is>
          <t>gaming, typing, office</t>
        </is>
      </c>
      <c r="T1118" s="0" t="inlineStr">
        <is>
          <t>in_stock</t>
        </is>
      </c>
      <c r="U1118" s="0" t="n">
        <v>30</v>
      </c>
      <c r="V1118" s="52" t="n">
        <v>236.99</v>
      </c>
      <c r="W1118" s="0" t="inlineStr">
        <is>
          <t>2026-08-22</t>
        </is>
      </c>
      <c r="X1118" s="0" t="inlineStr">
        <is>
          <t>N/A</t>
        </is>
      </c>
      <c r="Y1118" s="0" t="inlineStr">
        <is>
          <t>N/A</t>
        </is>
      </c>
      <c r="Z1118" s="0" t="inlineStr">
        <is>
          <t>N/A</t>
        </is>
      </c>
      <c r="AA1118" s="0" t="inlineStr">
        <is>
          <t>N/A</t>
        </is>
      </c>
    </row>
    <row r="1119" ht="15.75" customHeight="1" s="51">
      <c r="A1119" s="47" t="inlineStr">
        <is>
          <t>EOS-111-07</t>
        </is>
      </c>
      <c r="B1119" s="47" t="inlineStr">
        <is>
          <t>Eos</t>
        </is>
      </c>
      <c r="C1119" s="47" t="inlineStr">
        <is>
          <t>Computer Hardware</t>
        </is>
      </c>
      <c r="D1119" s="47" t="inlineStr">
        <is>
          <t>Monitor</t>
        </is>
      </c>
      <c r="E1119" s="48" t="inlineStr">
        <is>
          <t>Eos Wave Ultra 27" 1440p Monitor</t>
        </is>
      </c>
      <c r="F1119" s="49" t="n">
        <v>426.99</v>
      </c>
      <c r="G1119" s="47" t="inlineStr">
        <is>
          <t>the Wave Ultra; Eos Wave Ultra; Eoss Wave Ultra; Wave Ultra monitor</t>
        </is>
      </c>
      <c r="H1119" s="47" t="inlineStr">
        <is>
          <t>3 year limited</t>
        </is>
      </c>
      <c r="I1119" s="47" t="inlineStr">
        <is>
          <t>FCC, CE, RoHS, Energy Star, TUV Rheinland Low Blue Light, VESA DisplayHDR 600</t>
        </is>
      </c>
      <c r="J1119" s="47" t="inlineStr">
        <is>
          <t>N/A</t>
        </is>
      </c>
      <c r="K1119" s="47" t="inlineStr">
        <is>
          <t>N/A</t>
        </is>
      </c>
      <c r="L1119" s="47" t="inlineStr">
        <is>
          <t>IPS, 180Hz</t>
        </is>
      </c>
      <c r="M1119" s="47" t="inlineStr">
        <is>
          <t>2560x1440</t>
        </is>
      </c>
      <c r="N1119" s="47" t="inlineStr">
        <is>
          <t>2x HDMI 2.1, 1x DisplayPort 1.4</t>
        </is>
      </c>
      <c r="O1119" s="47" t="inlineStr">
        <is>
          <t>N/A</t>
        </is>
      </c>
      <c r="P1119" s="47" t="inlineStr">
        <is>
          <t>N/A</t>
        </is>
      </c>
      <c r="Q1119" s="50" t="n">
        <v>6109</v>
      </c>
      <c r="R1119" s="47" t="inlineStr">
        <is>
          <t>Lighter than Dione Lumen Air 27" 1440p Monitor [DIO-128-09] (6,109 g vs 6,218 g); Lower price than Palaemon Nimbus SE 27" 1440p Monitor [PAL-127-09] ($426.99 vs $672.99)</t>
        </is>
      </c>
      <c r="S1119" s="47" t="inlineStr">
        <is>
          <t>gaming, office, content creation</t>
        </is>
      </c>
      <c r="T1119" s="0" t="inlineStr">
        <is>
          <t>in_stock</t>
        </is>
      </c>
      <c r="U1119" s="0" t="n">
        <v>30</v>
      </c>
      <c r="V1119" s="52" t="n">
        <v>462.99</v>
      </c>
      <c r="W1119" s="0" t="inlineStr">
        <is>
          <t>2026-08-18</t>
        </is>
      </c>
      <c r="X1119" s="0" t="inlineStr">
        <is>
          <t>N/A</t>
        </is>
      </c>
      <c r="Y1119" s="0" t="inlineStr">
        <is>
          <t>N/A</t>
        </is>
      </c>
      <c r="Z1119" s="0" t="inlineStr">
        <is>
          <t>N/A</t>
        </is>
      </c>
      <c r="AA1119" s="0" t="inlineStr">
        <is>
          <t>N/A</t>
        </is>
      </c>
    </row>
    <row r="1120" ht="15.75" customHeight="1" s="51">
      <c r="A1120" s="47" t="inlineStr">
        <is>
          <t>EOS-111-08</t>
        </is>
      </c>
      <c r="B1120" s="47" t="inlineStr">
        <is>
          <t>Eos</t>
        </is>
      </c>
      <c r="C1120" s="47" t="inlineStr">
        <is>
          <t>Computer Hardware</t>
        </is>
      </c>
      <c r="D1120" s="47" t="inlineStr">
        <is>
          <t>Motherboard</t>
        </is>
      </c>
      <c r="E1120" s="48" t="inlineStr">
        <is>
          <t>Eos Aria Pro ATX Motherboard</t>
        </is>
      </c>
      <c r="F1120" s="49" t="n">
        <v>596.99</v>
      </c>
      <c r="G1120" s="47" t="inlineStr">
        <is>
          <t>the Aria Pro; Eos Aria Pro; Eoss Aria Pro; Aria Pro motherboard</t>
        </is>
      </c>
      <c r="H1120" s="47" t="inlineStr">
        <is>
          <t>3 year limited</t>
        </is>
      </c>
      <c r="I1120" s="47" t="inlineStr">
        <is>
          <t>FCC, CE, RoHS</t>
        </is>
      </c>
      <c r="J1120" s="47" t="inlineStr">
        <is>
          <t>Supports AMD Ryzen 7000/8000/9000 (Socket AM5)</t>
        </is>
      </c>
      <c r="K1120" s="47" t="inlineStr">
        <is>
          <t>N/A</t>
        </is>
      </c>
      <c r="L1120" s="47" t="inlineStr">
        <is>
          <t>N/A</t>
        </is>
      </c>
      <c r="M1120" s="47" t="inlineStr">
        <is>
          <t>N/A</t>
        </is>
      </c>
      <c r="N1120" s="47" t="inlineStr">
        <is>
          <t>Rear I/O: USB4 (2x USB-C 40Gbps), 10x USB-A, 10GbE + 2.5GbE, Wi-Fi 7</t>
        </is>
      </c>
      <c r="O1120" s="47" t="inlineStr">
        <is>
          <t>N/A</t>
        </is>
      </c>
      <c r="P1120" s="47" t="inlineStr">
        <is>
          <t>N/A</t>
        </is>
      </c>
      <c r="Q1120" s="50" t="n">
        <v>1754</v>
      </c>
      <c r="R1120" s="47" t="inlineStr">
        <is>
          <t>Lighter than Pheme Axis Lite ATX Motherboard [PHE-102-09] (1,754 g vs 1,785 g)</t>
        </is>
      </c>
      <c r="S1120" s="47" t="inlineStr">
        <is>
          <t>PC building, gaming, workstation builds</t>
        </is>
      </c>
      <c r="T1120" s="0" t="inlineStr">
        <is>
          <t>in_stock</t>
        </is>
      </c>
      <c r="U1120" s="0" t="n">
        <v>30</v>
      </c>
      <c r="V1120" s="52" t="n">
        <v>631.99</v>
      </c>
      <c r="W1120" s="0" t="inlineStr">
        <is>
          <t>2026-09-23</t>
        </is>
      </c>
      <c r="X1120" s="0" t="inlineStr">
        <is>
          <t>N/A</t>
        </is>
      </c>
      <c r="Y1120" s="0" t="inlineStr">
        <is>
          <t>N/A</t>
        </is>
      </c>
      <c r="Z1120" s="0" t="inlineStr">
        <is>
          <t>N/A</t>
        </is>
      </c>
      <c r="AA1120" s="0" t="inlineStr">
        <is>
          <t>N/A</t>
        </is>
      </c>
    </row>
    <row r="1121" ht="15.75" customHeight="1" s="51">
      <c r="A1121" s="47" t="inlineStr">
        <is>
          <t>EOS-111-09</t>
        </is>
      </c>
      <c r="B1121" s="47" t="inlineStr">
        <is>
          <t>Eos</t>
        </is>
      </c>
      <c r="C1121" s="47" t="inlineStr">
        <is>
          <t>Computer Hardware</t>
        </is>
      </c>
      <c r="D1121" s="47" t="inlineStr">
        <is>
          <t>Processor</t>
        </is>
      </c>
      <c r="E1121" s="48" t="inlineStr">
        <is>
          <t>Eos Volt Plus Desktop CPU</t>
        </is>
      </c>
      <c r="F1121" s="49" t="n">
        <v>692.99</v>
      </c>
      <c r="G1121" s="47" t="inlineStr">
        <is>
          <t>the Volt Plus; Eos Volt Plus; Eoos Volt Plus; Volt Plus processor</t>
        </is>
      </c>
      <c r="H1121" s="47" t="inlineStr">
        <is>
          <t>3 year limited</t>
        </is>
      </c>
      <c r="I1121" s="47" t="inlineStr">
        <is>
          <t>FCC, CE, RoHS</t>
        </is>
      </c>
      <c r="J1121" s="47" t="inlineStr">
        <is>
          <t>Eos Volt 24-core / 48-thread, up to 5.8 GHz</t>
        </is>
      </c>
      <c r="K1121" s="47" t="inlineStr">
        <is>
          <t>None (discrete GPU required)</t>
        </is>
      </c>
      <c r="L1121" s="47" t="inlineStr">
        <is>
          <t>N/A</t>
        </is>
      </c>
      <c r="M1121" s="47" t="inlineStr">
        <is>
          <t>N/A</t>
        </is>
      </c>
      <c r="N1121" s="47" t="inlineStr">
        <is>
          <t>N/A</t>
        </is>
      </c>
      <c r="O1121" s="47" t="inlineStr">
        <is>
          <t>N/A</t>
        </is>
      </c>
      <c r="P1121" s="47" t="inlineStr">
        <is>
          <t>N/A</t>
        </is>
      </c>
      <c r="Q1121" s="50" t="n">
        <v>50</v>
      </c>
      <c r="R1121" s="47" t="inlineStr">
        <is>
          <t>Lighter than Eirene Rift Lite Desktop CPU [EIR-112-09] (50 g vs 56 g)</t>
        </is>
      </c>
      <c r="S1121" s="47" t="inlineStr">
        <is>
          <t>gaming, content creation, workstation builds</t>
        </is>
      </c>
      <c r="T1121" s="0" t="inlineStr">
        <is>
          <t>in_stock</t>
        </is>
      </c>
      <c r="U1121" s="0" t="n">
        <v>30</v>
      </c>
      <c r="V1121" s="52" t="n">
        <v>791.99</v>
      </c>
      <c r="W1121" s="0" t="inlineStr">
        <is>
          <t>2026-09-04</t>
        </is>
      </c>
      <c r="X1121" s="0" t="inlineStr">
        <is>
          <t>N/A</t>
        </is>
      </c>
      <c r="Y1121" s="0" t="inlineStr">
        <is>
          <t>N/A</t>
        </is>
      </c>
      <c r="Z1121" s="0" t="inlineStr">
        <is>
          <t>N/A</t>
        </is>
      </c>
      <c r="AA1121" s="0" t="inlineStr">
        <is>
          <t>N/A</t>
        </is>
      </c>
    </row>
    <row r="1122" ht="15.75" customHeight="1" s="51">
      <c r="A1122" s="47" t="inlineStr">
        <is>
          <t>EOS-111-10</t>
        </is>
      </c>
      <c r="B1122" s="47" t="inlineStr">
        <is>
          <t>Eos</t>
        </is>
      </c>
      <c r="C1122" s="47" t="inlineStr">
        <is>
          <t>Computer Hardware</t>
        </is>
      </c>
      <c r="D1122" s="47" t="inlineStr">
        <is>
          <t>Graphics Card</t>
        </is>
      </c>
      <c r="E1122" s="48" t="inlineStr">
        <is>
          <t>Eos Spark X Graphics Card</t>
        </is>
      </c>
      <c r="F1122" s="49" t="n">
        <v>1010.99</v>
      </c>
      <c r="G1122" s="47" t="inlineStr">
        <is>
          <t>the Spark X; Eos Spark X; Eoos Spark X; Spark X graphics card</t>
        </is>
      </c>
      <c r="H1122" s="47" t="inlineStr">
        <is>
          <t>3 year limited</t>
        </is>
      </c>
      <c r="I1122" s="47" t="inlineStr">
        <is>
          <t>FCC, CE, RoHS</t>
        </is>
      </c>
      <c r="J1122" s="47" t="inlineStr">
        <is>
          <t>N/A</t>
        </is>
      </c>
      <c r="K1122" s="47" t="inlineStr">
        <is>
          <t>NVIDIA GeForce RTX 4080 Super 16GB (Eos Spark edition)</t>
        </is>
      </c>
      <c r="L1122" s="47" t="inlineStr">
        <is>
          <t>N/A</t>
        </is>
      </c>
      <c r="M1122" s="47" t="inlineStr">
        <is>
          <t>N/A</t>
        </is>
      </c>
      <c r="N1122" s="47" t="inlineStr">
        <is>
          <t>3x DisplayPort 1.4a, 1x HDMI 2.1a</t>
        </is>
      </c>
      <c r="O1122" s="47" t="inlineStr">
        <is>
          <t>N/A</t>
        </is>
      </c>
      <c r="P1122" s="47" t="inlineStr">
        <is>
          <t>N/A</t>
        </is>
      </c>
      <c r="Q1122" s="50" t="n">
        <v>1437</v>
      </c>
      <c r="R1122" s="47" t="inlineStr">
        <is>
          <t>Lower price than Notus Crest Max Graphics Card [NOT-108-10] ($1,010.99 vs $1,956.99); Lighter than Aphrodite Prism X Graphics Card [APH-141-10] (1,437 g vs 1,653 g)</t>
        </is>
      </c>
      <c r="S1122" s="47" t="inlineStr">
        <is>
          <t>gaming, 3D rendering, AI workloads</t>
        </is>
      </c>
      <c r="T1122" s="0" t="inlineStr">
        <is>
          <t>in_stock</t>
        </is>
      </c>
      <c r="U1122" s="0" t="n">
        <v>30</v>
      </c>
      <c r="V1122" s="52" t="n">
        <v>1044.99</v>
      </c>
      <c r="W1122" s="0" t="inlineStr">
        <is>
          <t>2026-09-03</t>
        </is>
      </c>
      <c r="X1122" s="0" t="inlineStr">
        <is>
          <t>N/A</t>
        </is>
      </c>
      <c r="Y1122" s="0" t="inlineStr">
        <is>
          <t>N/A</t>
        </is>
      </c>
      <c r="Z1122" s="0" t="inlineStr">
        <is>
          <t>N/A</t>
        </is>
      </c>
      <c r="AA1122" s="0" t="inlineStr">
        <is>
          <t>N/A</t>
        </is>
      </c>
    </row>
    <row r="1123" ht="15.75" customHeight="1" s="51">
      <c r="A1123" s="47" t="inlineStr">
        <is>
          <t>EIR-112-01</t>
        </is>
      </c>
      <c r="B1123" s="47" t="inlineStr">
        <is>
          <t>Eirene</t>
        </is>
      </c>
      <c r="C1123" s="47" t="inlineStr">
        <is>
          <t>Computer Hardware</t>
        </is>
      </c>
      <c r="D1123" s="47" t="inlineStr">
        <is>
          <t>Networking</t>
        </is>
      </c>
      <c r="E1123" s="48" t="inlineStr">
        <is>
          <t>Eirene Drift SE Wi-Fi 7 PCIe Card</t>
        </is>
      </c>
      <c r="F1123" s="49" t="n">
        <v>72.98999999999999</v>
      </c>
      <c r="G1123" s="47" t="inlineStr">
        <is>
          <t>the Drift SE; Eirene Drift SE; IErene Drift SE; Drift SE networking</t>
        </is>
      </c>
      <c r="H1123" s="47" t="inlineStr">
        <is>
          <t>2 year limited</t>
        </is>
      </c>
      <c r="I1123" s="47" t="inlineStr">
        <is>
          <t>FCC, CE, RoHS, Wi-Fi CERTIFIED 7, Bluetooth SIG Qualified</t>
        </is>
      </c>
      <c r="J1123" s="47" t="inlineStr">
        <is>
          <t>Chipset: Qualcomm FastConnect 7800</t>
        </is>
      </c>
      <c r="K1123" s="47" t="inlineStr">
        <is>
          <t>N/A</t>
        </is>
      </c>
      <c r="L1123" s="47" t="inlineStr">
        <is>
          <t>N/A</t>
        </is>
      </c>
      <c r="M1123" s="47" t="inlineStr">
        <is>
          <t>N/A</t>
        </is>
      </c>
      <c r="N1123" s="47" t="inlineStr">
        <is>
          <t>PCIe x1, internal USB 2.0 header (Bluetooth 5.4), 2x external antennas</t>
        </is>
      </c>
      <c r="O1123" s="47" t="inlineStr">
        <is>
          <t>N/A</t>
        </is>
      </c>
      <c r="P1123" s="47" t="inlineStr">
        <is>
          <t>N/A</t>
        </is>
      </c>
      <c r="Q1123" s="50" t="n">
        <v>109</v>
      </c>
      <c r="R1123" s="47" t="inlineStr">
        <is>
          <t>Lower price than Apollo Core SE Wi-Fi 7 PCIe Card [APO-109-02] ($72.99 vs $90.99)</t>
        </is>
      </c>
      <c r="S1123" s="47" t="inlineStr">
        <is>
          <t>gaming, streaming, PC building</t>
        </is>
      </c>
      <c r="T1123" s="0" t="inlineStr">
        <is>
          <t>in_stock</t>
        </is>
      </c>
      <c r="U1123" s="0" t="n">
        <v>60</v>
      </c>
      <c r="V1123" s="52" t="n">
        <v>76.98999999999999</v>
      </c>
      <c r="W1123" s="0" t="inlineStr">
        <is>
          <t>2026-08-04</t>
        </is>
      </c>
      <c r="X1123" s="0" t="inlineStr">
        <is>
          <t>N/A</t>
        </is>
      </c>
      <c r="Y1123" s="0" t="inlineStr">
        <is>
          <t>N/A</t>
        </is>
      </c>
      <c r="Z1123" s="0" t="inlineStr">
        <is>
          <t>N/A</t>
        </is>
      </c>
      <c r="AA1123" s="0" t="inlineStr">
        <is>
          <t>N/A</t>
        </is>
      </c>
    </row>
    <row r="1124" ht="15.75" customHeight="1" s="51">
      <c r="A1124" s="47" t="inlineStr">
        <is>
          <t>EIR-112-02</t>
        </is>
      </c>
      <c r="B1124" s="47" t="inlineStr">
        <is>
          <t>Eirene</t>
        </is>
      </c>
      <c r="C1124" s="47" t="inlineStr">
        <is>
          <t>Computer Hardware</t>
        </is>
      </c>
      <c r="D1124" s="47" t="inlineStr">
        <is>
          <t>PC Case</t>
        </is>
      </c>
      <c r="E1124" s="48" t="inlineStr">
        <is>
          <t>Eirene Crest Max Mid-Tower PC Case</t>
        </is>
      </c>
      <c r="F1124" s="49" t="n">
        <v>122.99</v>
      </c>
      <c r="G1124" s="47" t="inlineStr">
        <is>
          <t>the Crest Max; Eirene Crest Max; Eirrene Crest Max; Crest Max pc case</t>
        </is>
      </c>
      <c r="H1124" s="47" t="inlineStr">
        <is>
          <t>2 year limited</t>
        </is>
      </c>
      <c r="I1124" s="47" t="inlineStr">
        <is>
          <t>FCC, CE, RoHS, UL 94 V-0 (materials)</t>
        </is>
      </c>
      <c r="J1124" s="47" t="inlineStr">
        <is>
          <t>N/A</t>
        </is>
      </c>
      <c r="K1124" s="47" t="inlineStr">
        <is>
          <t>N/A</t>
        </is>
      </c>
      <c r="L1124" s="47" t="inlineStr">
        <is>
          <t>N/A</t>
        </is>
      </c>
      <c r="M1124" s="47" t="inlineStr">
        <is>
          <t>N/A</t>
        </is>
      </c>
      <c r="N1124" s="47" t="inlineStr">
        <is>
          <t>Front I/O: 1x USB-C 10Gbps, 2x USB-A 3.0, 3.5mm combo audio</t>
        </is>
      </c>
      <c r="O1124" s="47" t="inlineStr">
        <is>
          <t>N/A</t>
        </is>
      </c>
      <c r="P1124" s="47" t="inlineStr">
        <is>
          <t>N/A</t>
        </is>
      </c>
      <c r="Q1124" s="50" t="n">
        <v>7200</v>
      </c>
      <c r="R1124" s="47" t="inlineStr">
        <is>
          <t>Lighter than Phoebe Blaze SE Mid-Tower PC Case [PHO-143-02] (7,200 g vs 7,917 g); Lower price than Thalassa Halo Pro Mid-Tower PC Case [THA-126-08] ($122.99 vs $219.99)</t>
        </is>
      </c>
      <c r="S1124" s="47" t="inlineStr">
        <is>
          <t>PC building, gaming</t>
        </is>
      </c>
      <c r="T1124" s="0" t="inlineStr">
        <is>
          <t>in_stock</t>
        </is>
      </c>
      <c r="U1124" s="0" t="n">
        <v>60</v>
      </c>
      <c r="V1124" s="52" t="n">
        <v>134.99</v>
      </c>
      <c r="W1124" s="0" t="inlineStr">
        <is>
          <t>2026-08-22</t>
        </is>
      </c>
      <c r="X1124" s="0" t="inlineStr">
        <is>
          <t>N/A</t>
        </is>
      </c>
      <c r="Y1124" s="0" t="inlineStr">
        <is>
          <t>N/A</t>
        </is>
      </c>
      <c r="Z1124" s="0" t="inlineStr">
        <is>
          <t>N/A</t>
        </is>
      </c>
      <c r="AA1124" s="0" t="inlineStr">
        <is>
          <t>N/A</t>
        </is>
      </c>
    </row>
    <row r="1125" ht="15.75" customHeight="1" s="51">
      <c r="A1125" s="47" t="inlineStr">
        <is>
          <t>EIR-112-03</t>
        </is>
      </c>
      <c r="B1125" s="47" t="inlineStr">
        <is>
          <t>Eirene</t>
        </is>
      </c>
      <c r="C1125" s="47" t="inlineStr">
        <is>
          <t>Computer Hardware</t>
        </is>
      </c>
      <c r="D1125" s="47" t="inlineStr">
        <is>
          <t>Power Supply</t>
        </is>
      </c>
      <c r="E1125" s="48" t="inlineStr">
        <is>
          <t>Eirene Strata X 850W Power Supply</t>
        </is>
      </c>
      <c r="F1125" s="49" t="n">
        <v>129.99</v>
      </c>
      <c r="G1125" s="47" t="inlineStr">
        <is>
          <t>the Strata X; Eirene Strata X; Eirenee Strata X; Strata X power supply</t>
        </is>
      </c>
      <c r="H1125" s="47" t="inlineStr">
        <is>
          <t>10 year limited</t>
        </is>
      </c>
      <c r="I1125" s="47" t="inlineStr">
        <is>
          <t>FCC, CE, RoHS, 80 PLUS Gold, UL Listed</t>
        </is>
      </c>
      <c r="J1125" s="47" t="inlineStr">
        <is>
          <t>N/A</t>
        </is>
      </c>
      <c r="K1125" s="47" t="inlineStr">
        <is>
          <t>N/A</t>
        </is>
      </c>
      <c r="L1125" s="47" t="inlineStr">
        <is>
          <t>N/A</t>
        </is>
      </c>
      <c r="M1125" s="47" t="inlineStr">
        <is>
          <t>N/A</t>
        </is>
      </c>
      <c r="N1125" s="47" t="inlineStr">
        <is>
          <t>ATX 3.1, native 12V-2x6 (600W) connector, semi-modular</t>
        </is>
      </c>
      <c r="O1125" s="47" t="inlineStr">
        <is>
          <t>N/A</t>
        </is>
      </c>
      <c r="P1125" s="47" t="inlineStr">
        <is>
          <t>N/A</t>
        </is>
      </c>
      <c r="Q1125" s="50" t="n">
        <v>1918</v>
      </c>
      <c r="R1125" s="47" t="inlineStr">
        <is>
          <t>Lower price than Geras Crest Max 850W Power Supply [GER-133-05] ($129.99 vs $144.99); Lighter than Ceto Titan SE 850W Power Supply [CET-131-03] (1,918 g vs 1,969 g)</t>
        </is>
      </c>
      <c r="S1125" s="47" t="inlineStr">
        <is>
          <t>PC building, high-end gaming</t>
        </is>
      </c>
      <c r="T1125" s="0" t="inlineStr">
        <is>
          <t>in_stock</t>
        </is>
      </c>
      <c r="U1125" s="0" t="n">
        <v>60</v>
      </c>
      <c r="V1125" s="52" t="n">
        <v>138.99</v>
      </c>
      <c r="W1125" s="0" t="inlineStr">
        <is>
          <t>2026-08-05</t>
        </is>
      </c>
      <c r="X1125" s="0" t="inlineStr">
        <is>
          <t>N/A</t>
        </is>
      </c>
      <c r="Y1125" s="0" t="inlineStr">
        <is>
          <t>N/A</t>
        </is>
      </c>
      <c r="Z1125" s="0" t="inlineStr">
        <is>
          <t>N/A</t>
        </is>
      </c>
      <c r="AA1125" s="0" t="inlineStr">
        <is>
          <t>N/A</t>
        </is>
      </c>
    </row>
    <row r="1126" ht="15.75" customHeight="1" s="51">
      <c r="A1126" s="47" t="inlineStr">
        <is>
          <t>EIR-112-04</t>
        </is>
      </c>
      <c r="B1126" s="47" t="inlineStr">
        <is>
          <t>Eirene</t>
        </is>
      </c>
      <c r="C1126" s="47" t="inlineStr">
        <is>
          <t>Computer Hardware</t>
        </is>
      </c>
      <c r="D1126" s="47" t="inlineStr">
        <is>
          <t>Storage</t>
        </is>
      </c>
      <c r="E1126" s="48" t="inlineStr">
        <is>
          <t>Eirene Pulse 4TB External Hard Drive</t>
        </is>
      </c>
      <c r="F1126" s="49" t="n">
        <v>153.99</v>
      </c>
      <c r="G1126" s="47" t="inlineStr">
        <is>
          <t>the Pulse; Eirene Pulse; Eirrene Pulse; Pulse storage</t>
        </is>
      </c>
      <c r="H1126" s="47" t="inlineStr">
        <is>
          <t>2 year limited</t>
        </is>
      </c>
      <c r="I1126" s="47" t="inlineStr">
        <is>
          <t>FCC, CE, RoHS, USB-IF Certified</t>
        </is>
      </c>
      <c r="J1126" s="47" t="inlineStr">
        <is>
          <t>N/A</t>
        </is>
      </c>
      <c r="K1126" s="47" t="inlineStr">
        <is>
          <t>N/A</t>
        </is>
      </c>
      <c r="L1126" s="47" t="inlineStr">
        <is>
          <t>N/A</t>
        </is>
      </c>
      <c r="M1126" s="47" t="inlineStr">
        <is>
          <t>N/A</t>
        </is>
      </c>
      <c r="N1126" s="47" t="inlineStr">
        <is>
          <t>USB-C (USB 3.2 Gen 1)</t>
        </is>
      </c>
      <c r="O1126" s="47" t="inlineStr">
        <is>
          <t>N/A</t>
        </is>
      </c>
      <c r="P1126" s="47" t="inlineStr">
        <is>
          <t>N/A</t>
        </is>
      </c>
      <c r="Q1126" s="50" t="n">
        <v>242</v>
      </c>
      <c r="R1126" s="47" t="inlineStr">
        <is>
          <t>Lower price than Artemis Prism Max 4TB External Hard Drive [ART-150-06] ($153.99 vs $171.99); Lighter than Dionysus Crest Lite 4TB External Hard Drive [DIO-118-07] (242 g vs 245 g)</t>
        </is>
      </c>
      <c r="S1126" s="47" t="inlineStr">
        <is>
          <t>backup, media storage</t>
        </is>
      </c>
      <c r="T1126" s="0" t="inlineStr">
        <is>
          <t>in_stock</t>
        </is>
      </c>
      <c r="U1126" s="0" t="n">
        <v>60</v>
      </c>
      <c r="V1126" s="52" t="n">
        <v>166.99</v>
      </c>
      <c r="W1126" s="0" t="inlineStr">
        <is>
          <t>2026-08-26</t>
        </is>
      </c>
      <c r="X1126" s="0" t="inlineStr">
        <is>
          <t>N/A</t>
        </is>
      </c>
      <c r="Y1126" s="0" t="inlineStr">
        <is>
          <t>N/A</t>
        </is>
      </c>
      <c r="Z1126" s="0" t="inlineStr">
        <is>
          <t>N/A</t>
        </is>
      </c>
      <c r="AA1126" s="0" t="inlineStr">
        <is>
          <t>N/A</t>
        </is>
      </c>
    </row>
    <row r="1127" ht="15.75" customHeight="1" s="51">
      <c r="A1127" s="47" t="inlineStr">
        <is>
          <t>EIR-112-05</t>
        </is>
      </c>
      <c r="B1127" s="47" t="inlineStr">
        <is>
          <t>Eirene</t>
        </is>
      </c>
      <c r="C1127" s="47" t="inlineStr">
        <is>
          <t>Computer Hardware</t>
        </is>
      </c>
      <c r="D1127" s="47" t="inlineStr">
        <is>
          <t>Docking Station</t>
        </is>
      </c>
      <c r="E1127" s="48" t="inlineStr">
        <is>
          <t>Eirene Strata Pro USB-C Docking Station</t>
        </is>
      </c>
      <c r="F1127" s="49" t="n">
        <v>187.99</v>
      </c>
      <c r="G1127" s="47" t="inlineStr">
        <is>
          <t>the Strata Pro; Eirene Strata Pro; Eiren Strata Pro; Strata Pro docking station</t>
        </is>
      </c>
      <c r="H1127" s="47" t="inlineStr">
        <is>
          <t>2 year limited</t>
        </is>
      </c>
      <c r="I1127" s="47" t="inlineStr">
        <is>
          <t>FCC, CE, RoHS, USB-IF Certified, UL Listed</t>
        </is>
      </c>
      <c r="J1127" s="47" t="inlineStr">
        <is>
          <t>N/A</t>
        </is>
      </c>
      <c r="K1127" s="47" t="inlineStr">
        <is>
          <t>N/A</t>
        </is>
      </c>
      <c r="L1127" s="47" t="inlineStr">
        <is>
          <t>N/A</t>
        </is>
      </c>
      <c r="M1127" s="47" t="inlineStr">
        <is>
          <t>N/A</t>
        </is>
      </c>
      <c r="N1127" s="47" t="inlineStr">
        <is>
          <t>2x HDMI 2.0, 1x DisplayPort 1.4, 3x USB-A 3.2, 2x USB-C, 2.5GbE, SD card, 100W PD</t>
        </is>
      </c>
      <c r="O1127" s="47" t="inlineStr">
        <is>
          <t>N/A</t>
        </is>
      </c>
      <c r="P1127" s="47" t="inlineStr">
        <is>
          <t>N/A</t>
        </is>
      </c>
      <c r="Q1127" s="50" t="n">
        <v>339</v>
      </c>
      <c r="R1127" s="47" t="inlineStr">
        <is>
          <t>Lighter than Kratos Onyx X USB-C Docking Station [KRA-147-07] (339 g vs 429 g); Lower price than Kairos Sable Plus USB-C Docking Station [KAI-142-09] ($187.99 vs $283.99)</t>
        </is>
      </c>
      <c r="S1127" s="47" t="inlineStr">
        <is>
          <t>office, remote work, multi-monitor</t>
        </is>
      </c>
      <c r="T1127" s="0" t="inlineStr">
        <is>
          <t>in_stock</t>
        </is>
      </c>
      <c r="U1127" s="0" t="n">
        <v>60</v>
      </c>
      <c r="V1127" s="52" t="n">
        <v>209.99</v>
      </c>
      <c r="W1127" s="0" t="inlineStr">
        <is>
          <t>2026-08-10</t>
        </is>
      </c>
      <c r="X1127" s="0" t="inlineStr">
        <is>
          <t>N/A</t>
        </is>
      </c>
      <c r="Y1127" s="0" t="inlineStr">
        <is>
          <t>N/A</t>
        </is>
      </c>
      <c r="Z1127" s="0" t="inlineStr">
        <is>
          <t>N/A</t>
        </is>
      </c>
      <c r="AA1127" s="0" t="inlineStr">
        <is>
          <t>N/A</t>
        </is>
      </c>
    </row>
    <row r="1128" ht="15.75" customHeight="1" s="51">
      <c r="A1128" s="47" t="inlineStr">
        <is>
          <t>EIR-112-06</t>
        </is>
      </c>
      <c r="B1128" s="47" t="inlineStr">
        <is>
          <t>Eirene</t>
        </is>
      </c>
      <c r="C1128" s="47" t="inlineStr">
        <is>
          <t>Computer Hardware</t>
        </is>
      </c>
      <c r="D1128" s="47" t="inlineStr">
        <is>
          <t>Webcam</t>
        </is>
      </c>
      <c r="E1128" s="48" t="inlineStr">
        <is>
          <t>Eirene Wave X 4K Webcam</t>
        </is>
      </c>
      <c r="F1128" s="49" t="n">
        <v>213.99</v>
      </c>
      <c r="G1128" s="47" t="inlineStr">
        <is>
          <t>the Wave X; Eirene Wave X; Eiirene Wave X; Wave X webcam</t>
        </is>
      </c>
      <c r="H1128" s="47" t="inlineStr">
        <is>
          <t>2 year limited</t>
        </is>
      </c>
      <c r="I1128" s="47" t="inlineStr">
        <is>
          <t>FCC, CE, RoHS, USB-IF Certified</t>
        </is>
      </c>
      <c r="J1128" s="47" t="inlineStr">
        <is>
          <t>N/A</t>
        </is>
      </c>
      <c r="K1128" s="47" t="inlineStr">
        <is>
          <t>N/A</t>
        </is>
      </c>
      <c r="L1128" s="47" t="inlineStr">
        <is>
          <t>N/A</t>
        </is>
      </c>
      <c r="M1128" s="47" t="inlineStr">
        <is>
          <t>3840x2160 @ 30fps, 1080p @ 60fps</t>
        </is>
      </c>
      <c r="N1128" s="47" t="inlineStr">
        <is>
          <t>USB-C (USB 3.0)</t>
        </is>
      </c>
      <c r="O1128" s="47" t="inlineStr">
        <is>
          <t>N/A</t>
        </is>
      </c>
      <c r="P1128" s="47" t="inlineStr">
        <is>
          <t>N/A</t>
        </is>
      </c>
      <c r="Q1128" s="50" t="n">
        <v>154</v>
      </c>
      <c r="R1128" s="47" t="inlineStr">
        <is>
          <t>Lighter than Hymenaeus Drift Plus 4K Webcam [HYM-121-03] (154 g vs 172 g); Lower price than Euterpe Zen SE 4K Webcam [EUT-120-04] ($213.99 vs $221.99)</t>
        </is>
      </c>
      <c r="S1128" s="47" t="inlineStr">
        <is>
          <t>video calls, streaming, remote work</t>
        </is>
      </c>
      <c r="T1128" s="0" t="inlineStr">
        <is>
          <t>in_stock</t>
        </is>
      </c>
      <c r="U1128" s="0" t="n">
        <v>60</v>
      </c>
      <c r="V1128" s="52" t="n">
        <v>234.99</v>
      </c>
      <c r="W1128" s="0" t="inlineStr">
        <is>
          <t>2026-08-01</t>
        </is>
      </c>
      <c r="X1128" s="0" t="inlineStr">
        <is>
          <t>N/A</t>
        </is>
      </c>
      <c r="Y1128" s="0" t="inlineStr">
        <is>
          <t>N/A</t>
        </is>
      </c>
      <c r="Z1128" s="0" t="inlineStr">
        <is>
          <t>N/A</t>
        </is>
      </c>
      <c r="AA1128" s="0" t="inlineStr">
        <is>
          <t>N/A</t>
        </is>
      </c>
    </row>
    <row r="1129" ht="15.75" customHeight="1" s="51">
      <c r="A1129" s="47" t="inlineStr">
        <is>
          <t>EIR-112-07</t>
        </is>
      </c>
      <c r="B1129" s="47" t="inlineStr">
        <is>
          <t>Eirene</t>
        </is>
      </c>
      <c r="C1129" s="47" t="inlineStr">
        <is>
          <t>Computer Hardware</t>
        </is>
      </c>
      <c r="D1129" s="47" t="inlineStr">
        <is>
          <t>Keyboard</t>
        </is>
      </c>
      <c r="E1129" s="48" t="inlineStr">
        <is>
          <t>Eirene Axis Max Mechanical Keyboard</t>
        </is>
      </c>
      <c r="F1129" s="49" t="n">
        <v>230.99</v>
      </c>
      <c r="G1129" s="47" t="inlineStr">
        <is>
          <t>the Axis Max; Eirene Axis Max; Eirenee Axis Max; Axis Max keyboard</t>
        </is>
      </c>
      <c r="H1129" s="47" t="inlineStr">
        <is>
          <t>2 year limited</t>
        </is>
      </c>
      <c r="I1129" s="47" t="inlineStr">
        <is>
          <t>FCC, CE, RoHS, Bluetooth SIG Qualified</t>
        </is>
      </c>
      <c r="J1129" s="47" t="inlineStr">
        <is>
          <t>N/A</t>
        </is>
      </c>
      <c r="K1129" s="47" t="inlineStr">
        <is>
          <t>N/A</t>
        </is>
      </c>
      <c r="L1129" s="47" t="inlineStr">
        <is>
          <t>N/A</t>
        </is>
      </c>
      <c r="M1129" s="47" t="inlineStr">
        <is>
          <t>N/A</t>
        </is>
      </c>
      <c r="N1129" s="47" t="inlineStr">
        <is>
          <t>USB-C, 2.4GHz dongle, Bluetooth 5.1</t>
        </is>
      </c>
      <c r="O1129" s="47" t="inlineStr">
        <is>
          <t>N/A</t>
        </is>
      </c>
      <c r="P1129" s="47" t="n">
        <v>335</v>
      </c>
      <c r="Q1129" s="50" t="n">
        <v>1039</v>
      </c>
      <c r="R1129" s="47" t="inlineStr">
        <is>
          <t>Longer battery than Phanes Drift Max Mechanical Keyboard [PHA-138-05] (335 vs 253 hrs); Lighter than Dionysus Aria Mechanical Keyboard [DIO-118-06] (1,039 g vs 1,198 g)</t>
        </is>
      </c>
      <c r="S1129" s="47" t="inlineStr">
        <is>
          <t>gaming, typing, office</t>
        </is>
      </c>
      <c r="T1129" s="0" t="inlineStr">
        <is>
          <t>low_stock</t>
        </is>
      </c>
      <c r="U1129" s="0" t="n">
        <v>60</v>
      </c>
      <c r="V1129" s="52" t="n">
        <v>255.99</v>
      </c>
      <c r="W1129" s="0" t="inlineStr">
        <is>
          <t>2026-09-13</t>
        </is>
      </c>
      <c r="X1129" s="0" t="inlineStr">
        <is>
          <t>N/A</t>
        </is>
      </c>
      <c r="Y1129" s="0" t="inlineStr">
        <is>
          <t>N/A</t>
        </is>
      </c>
      <c r="Z1129" s="0" t="inlineStr">
        <is>
          <t>N/A</t>
        </is>
      </c>
      <c r="AA1129" s="0" t="inlineStr">
        <is>
          <t>N/A</t>
        </is>
      </c>
    </row>
    <row r="1130" ht="15.75" customHeight="1" s="51">
      <c r="A1130" s="47" t="inlineStr">
        <is>
          <t>EIR-112-08</t>
        </is>
      </c>
      <c r="B1130" s="47" t="inlineStr">
        <is>
          <t>Eirene</t>
        </is>
      </c>
      <c r="C1130" s="47" t="inlineStr">
        <is>
          <t>Computer Hardware</t>
        </is>
      </c>
      <c r="D1130" s="47" t="inlineStr">
        <is>
          <t>Storage</t>
        </is>
      </c>
      <c r="E1130" s="48" t="inlineStr">
        <is>
          <t>Eirene Arc Pro 2TB NVMe SSD</t>
        </is>
      </c>
      <c r="F1130" s="49" t="n">
        <v>263.99</v>
      </c>
      <c r="G1130" s="47" t="inlineStr">
        <is>
          <t>the Arc Pro; Eirene Arc Pro; Eirnee Arc Pro; Arc Pro storage</t>
        </is>
      </c>
      <c r="H1130" s="47" t="inlineStr">
        <is>
          <t>5 year limited</t>
        </is>
      </c>
      <c r="I1130" s="47" t="inlineStr">
        <is>
          <t>FCC, CE, RoHS</t>
        </is>
      </c>
      <c r="J1130" s="47" t="inlineStr">
        <is>
          <t>Controller: Phison E26</t>
        </is>
      </c>
      <c r="K1130" s="47" t="inlineStr">
        <is>
          <t>N/A</t>
        </is>
      </c>
      <c r="L1130" s="47" t="inlineStr">
        <is>
          <t>N/A</t>
        </is>
      </c>
      <c r="M1130" s="47" t="inlineStr">
        <is>
          <t>N/A</t>
        </is>
      </c>
      <c r="N1130" s="47" t="inlineStr">
        <is>
          <t>M.2 2280, PCIe 5.0 x4 NVMe</t>
        </is>
      </c>
      <c r="O1130" s="47" t="inlineStr">
        <is>
          <t>N/A</t>
        </is>
      </c>
      <c r="P1130" s="47" t="inlineStr">
        <is>
          <t>N/A</t>
        </is>
      </c>
      <c r="Q1130" s="50" t="n">
        <v>12</v>
      </c>
      <c r="R1130" s="47" t="inlineStr">
        <is>
          <t>Lighter than Perses Lumen Pro 2TB NVMe SSD [PER-101-08] (12 g vs 15 g); Lower price than Themis Zen Ultra 2TB NVMe SSD [THE-145-08] ($263.99 vs $291.99)</t>
        </is>
      </c>
      <c r="S1130" s="47" t="inlineStr">
        <is>
          <t>gaming, fast boot, content creation</t>
        </is>
      </c>
      <c r="T1130" s="0" t="inlineStr">
        <is>
          <t>low_stock</t>
        </is>
      </c>
      <c r="U1130" s="0" t="n">
        <v>60</v>
      </c>
      <c r="V1130" s="52" t="n">
        <v>277.99</v>
      </c>
      <c r="W1130" s="0" t="inlineStr">
        <is>
          <t>2026-09-16</t>
        </is>
      </c>
      <c r="X1130" s="0" t="inlineStr">
        <is>
          <t>N/A</t>
        </is>
      </c>
      <c r="Y1130" s="0" t="inlineStr">
        <is>
          <t>N/A</t>
        </is>
      </c>
      <c r="Z1130" s="0" t="inlineStr">
        <is>
          <t>N/A</t>
        </is>
      </c>
      <c r="AA1130" s="0" t="inlineStr">
        <is>
          <t>N/A</t>
        </is>
      </c>
    </row>
    <row r="1131" ht="15.75" customHeight="1" s="51">
      <c r="A1131" s="47" t="inlineStr">
        <is>
          <t>EIR-112-09</t>
        </is>
      </c>
      <c r="B1131" s="47" t="inlineStr">
        <is>
          <t>Eirene</t>
        </is>
      </c>
      <c r="C1131" s="47" t="inlineStr">
        <is>
          <t>Computer Hardware</t>
        </is>
      </c>
      <c r="D1131" s="47" t="inlineStr">
        <is>
          <t>Processor</t>
        </is>
      </c>
      <c r="E1131" s="48" t="inlineStr">
        <is>
          <t>Eirene Rift Lite Desktop CPU</t>
        </is>
      </c>
      <c r="F1131" s="49" t="n">
        <v>613.99</v>
      </c>
      <c r="G1131" s="47" t="inlineStr">
        <is>
          <t>the Rift Lite; Eirene Rift Lite; Eriene Rift Lite; Rift Lite processor</t>
        </is>
      </c>
      <c r="H1131" s="47" t="inlineStr">
        <is>
          <t>3 year limited</t>
        </is>
      </c>
      <c r="I1131" s="47" t="inlineStr">
        <is>
          <t>FCC, CE, RoHS</t>
        </is>
      </c>
      <c r="J1131" s="47" t="inlineStr">
        <is>
          <t>Eirene Rift 24-core / 48-thread, up to 5.6 GHz</t>
        </is>
      </c>
      <c r="K1131" s="47" t="inlineStr">
        <is>
          <t>None (discrete GPU required)</t>
        </is>
      </c>
      <c r="L1131" s="47" t="inlineStr">
        <is>
          <t>N/A</t>
        </is>
      </c>
      <c r="M1131" s="47" t="inlineStr">
        <is>
          <t>N/A</t>
        </is>
      </c>
      <c r="N1131" s="47" t="inlineStr">
        <is>
          <t>N/A</t>
        </is>
      </c>
      <c r="O1131" s="47" t="inlineStr">
        <is>
          <t>N/A</t>
        </is>
      </c>
      <c r="P1131" s="47" t="inlineStr">
        <is>
          <t>N/A</t>
        </is>
      </c>
      <c r="Q1131" s="50" t="n">
        <v>56</v>
      </c>
      <c r="R1131" s="47" t="inlineStr">
        <is>
          <t>Lighter than Ares Spark Lite Desktop CPU [ARE-140-07] (56 g vs 59 g); Lower price than Eos Volt Plus Desktop CPU [EOS-111-09] ($613.99 vs $692.99)</t>
        </is>
      </c>
      <c r="S1131" s="47" t="inlineStr">
        <is>
          <t>gaming, content creation, workstation builds</t>
        </is>
      </c>
      <c r="T1131" s="0" t="inlineStr">
        <is>
          <t>in_stock</t>
        </is>
      </c>
      <c r="U1131" s="0" t="n">
        <v>60</v>
      </c>
      <c r="V1131" s="52" t="n">
        <v>673.99</v>
      </c>
      <c r="W1131" s="0" t="inlineStr">
        <is>
          <t>2026-09-09</t>
        </is>
      </c>
      <c r="X1131" s="0" t="inlineStr">
        <is>
          <t>N/A</t>
        </is>
      </c>
      <c r="Y1131" s="0" t="inlineStr">
        <is>
          <t>N/A</t>
        </is>
      </c>
      <c r="Z1131" s="0" t="inlineStr">
        <is>
          <t>N/A</t>
        </is>
      </c>
      <c r="AA1131" s="0" t="inlineStr">
        <is>
          <t>N/A</t>
        </is>
      </c>
    </row>
    <row r="1132" ht="15.75" customHeight="1" s="51">
      <c r="A1132" s="47" t="inlineStr">
        <is>
          <t>EIR-112-10</t>
        </is>
      </c>
      <c r="B1132" s="47" t="inlineStr">
        <is>
          <t>Eirene</t>
        </is>
      </c>
      <c r="C1132" s="47" t="inlineStr">
        <is>
          <t>Computer Hardware</t>
        </is>
      </c>
      <c r="D1132" s="47" t="inlineStr">
        <is>
          <t>Graphics Card</t>
        </is>
      </c>
      <c r="E1132" s="48" t="inlineStr">
        <is>
          <t>Eirene Pulse Pro Graphics Card</t>
        </is>
      </c>
      <c r="F1132" s="49" t="n">
        <v>1888.99</v>
      </c>
      <c r="G1132" s="47" t="inlineStr">
        <is>
          <t>the Pulse Pro; Eirene Pulse Pro; Eireene Pulse Pro; Pulse Pro graphics card</t>
        </is>
      </c>
      <c r="H1132" s="47" t="inlineStr">
        <is>
          <t>3 year limited</t>
        </is>
      </c>
      <c r="I1132" s="47" t="inlineStr">
        <is>
          <t>FCC, CE, RoHS</t>
        </is>
      </c>
      <c r="J1132" s="47" t="inlineStr">
        <is>
          <t>N/A</t>
        </is>
      </c>
      <c r="K1132" s="47" t="inlineStr">
        <is>
          <t>NVIDIA GeForce RTX 4090 24GB (Eirene Pulse edition)</t>
        </is>
      </c>
      <c r="L1132" s="47" t="inlineStr">
        <is>
          <t>N/A</t>
        </is>
      </c>
      <c r="M1132" s="47" t="inlineStr">
        <is>
          <t>N/A</t>
        </is>
      </c>
      <c r="N1132" s="47" t="inlineStr">
        <is>
          <t>3x DisplayPort 1.4a, 1x HDMI 2.1a</t>
        </is>
      </c>
      <c r="O1132" s="47" t="inlineStr">
        <is>
          <t>N/A</t>
        </is>
      </c>
      <c r="P1132" s="47" t="inlineStr">
        <is>
          <t>N/A</t>
        </is>
      </c>
      <c r="Q1132" s="50" t="n">
        <v>857</v>
      </c>
      <c r="R1132" s="47" t="inlineStr">
        <is>
          <t>Lighter than Aphrodite Prism X Graphics Card [APH-141-10] (857 g vs 1,653 g); Lower price than Notus Crest Max Graphics Card [NOT-108-10] ($1,888.99 vs $1,956.99)</t>
        </is>
      </c>
      <c r="S1132" s="47" t="inlineStr">
        <is>
          <t>gaming, 3D rendering, AI workloads</t>
        </is>
      </c>
      <c r="T1132" s="0" t="inlineStr">
        <is>
          <t>low_stock</t>
        </is>
      </c>
      <c r="U1132" s="0" t="n">
        <v>60</v>
      </c>
      <c r="V1132" s="52" t="n">
        <v>1976.99</v>
      </c>
      <c r="W1132" s="0" t="inlineStr">
        <is>
          <t>2026-09-19</t>
        </is>
      </c>
      <c r="X1132" s="0" t="inlineStr">
        <is>
          <t>N/A</t>
        </is>
      </c>
      <c r="Y1132" s="0" t="inlineStr">
        <is>
          <t>N/A</t>
        </is>
      </c>
      <c r="Z1132" s="0" t="inlineStr">
        <is>
          <t>N/A</t>
        </is>
      </c>
      <c r="AA1132" s="0" t="inlineStr">
        <is>
          <t>N/A</t>
        </is>
      </c>
    </row>
    <row r="1133" ht="15.75" customHeight="1" s="51">
      <c r="A1133" s="47" t="inlineStr">
        <is>
          <t>URA-113-01</t>
        </is>
      </c>
      <c r="B1133" s="47" t="inlineStr">
        <is>
          <t>Uranus</t>
        </is>
      </c>
      <c r="C1133" s="47" t="inlineStr">
        <is>
          <t>Computer Hardware</t>
        </is>
      </c>
      <c r="D1133" s="47" t="inlineStr">
        <is>
          <t>PC Case</t>
        </is>
      </c>
      <c r="E1133" s="48" t="inlineStr">
        <is>
          <t>Uranus Orbit Plus Mid-Tower PC Case</t>
        </is>
      </c>
      <c r="F1133" s="49" t="n">
        <v>59.99</v>
      </c>
      <c r="G1133" s="47" t="inlineStr">
        <is>
          <t>the Orbit Plus; Uranus Orbit Plus; Uarnus Orbit Plus; Orbit Plus pc case</t>
        </is>
      </c>
      <c r="H1133" s="47" t="inlineStr">
        <is>
          <t>2 year limited</t>
        </is>
      </c>
      <c r="I1133" s="47" t="inlineStr">
        <is>
          <t>FCC, CE, RoHS, UL 94 V-0 (materials)</t>
        </is>
      </c>
      <c r="J1133" s="47" t="inlineStr">
        <is>
          <t>N/A</t>
        </is>
      </c>
      <c r="K1133" s="47" t="inlineStr">
        <is>
          <t>N/A</t>
        </is>
      </c>
      <c r="L1133" s="47" t="inlineStr">
        <is>
          <t>N/A</t>
        </is>
      </c>
      <c r="M1133" s="47" t="inlineStr">
        <is>
          <t>N/A</t>
        </is>
      </c>
      <c r="N1133" s="47" t="inlineStr">
        <is>
          <t>Front I/O: 1x USB-C 10Gbps, 2x USB-A 3.0, 3.5mm combo audio</t>
        </is>
      </c>
      <c r="O1133" s="47" t="inlineStr">
        <is>
          <t>N/A</t>
        </is>
      </c>
      <c r="P1133" s="47" t="inlineStr">
        <is>
          <t>N/A</t>
        </is>
      </c>
      <c r="Q1133" s="50" t="n">
        <v>7573</v>
      </c>
      <c r="R1133" s="47" t="inlineStr">
        <is>
          <t>Lighter than Eileithyia Quanta Air Mid-Tower PC Case [EIL-149-04] (7,573 g vs 9,190 g); Lower price than Thalassa Halo Pro Mid-Tower PC Case [THA-126-08] ($59.99 vs $219.99)</t>
        </is>
      </c>
      <c r="S1133" s="47" t="inlineStr">
        <is>
          <t>PC building, gaming</t>
        </is>
      </c>
      <c r="T1133" s="0" t="inlineStr">
        <is>
          <t>low_stock</t>
        </is>
      </c>
      <c r="U1133" s="0" t="n">
        <v>30</v>
      </c>
      <c r="V1133" s="52" t="n">
        <v>65.98999999999999</v>
      </c>
      <c r="W1133" s="0" t="inlineStr">
        <is>
          <t>2026-09-17</t>
        </is>
      </c>
      <c r="X1133" s="0" t="inlineStr">
        <is>
          <t>N/A</t>
        </is>
      </c>
      <c r="Y1133" s="0" t="inlineStr">
        <is>
          <t>N/A</t>
        </is>
      </c>
      <c r="Z1133" s="0" t="inlineStr">
        <is>
          <t>N/A</t>
        </is>
      </c>
      <c r="AA1133" s="0" t="inlineStr">
        <is>
          <t>N/A</t>
        </is>
      </c>
    </row>
    <row r="1134" ht="15.75" customHeight="1" s="51">
      <c r="A1134" s="47" t="inlineStr">
        <is>
          <t>URA-113-02</t>
        </is>
      </c>
      <c r="B1134" s="47" t="inlineStr">
        <is>
          <t>Uranus</t>
        </is>
      </c>
      <c r="C1134" s="47" t="inlineStr">
        <is>
          <t>Computer Hardware</t>
        </is>
      </c>
      <c r="D1134" s="47" t="inlineStr">
        <is>
          <t>Networking</t>
        </is>
      </c>
      <c r="E1134" s="48" t="inlineStr">
        <is>
          <t>Uranus Vibe Air Wi-Fi 7 PCIe Card</t>
        </is>
      </c>
      <c r="F1134" s="49" t="n">
        <v>62.99</v>
      </c>
      <c r="G1134" s="47" t="inlineStr">
        <is>
          <t>the Vibe Air; Uranus Vibe Air; Uarnus Vibe Air; Vibe Air networking</t>
        </is>
      </c>
      <c r="H1134" s="47" t="inlineStr">
        <is>
          <t>2 year limited</t>
        </is>
      </c>
      <c r="I1134" s="47" t="inlineStr">
        <is>
          <t>FCC, CE, RoHS, Wi-Fi CERTIFIED 7, Bluetooth SIG Qualified</t>
        </is>
      </c>
      <c r="J1134" s="47" t="inlineStr">
        <is>
          <t>Chipset: MediaTek MT7927</t>
        </is>
      </c>
      <c r="K1134" s="47" t="inlineStr">
        <is>
          <t>N/A</t>
        </is>
      </c>
      <c r="L1134" s="47" t="inlineStr">
        <is>
          <t>N/A</t>
        </is>
      </c>
      <c r="M1134" s="47" t="inlineStr">
        <is>
          <t>N/A</t>
        </is>
      </c>
      <c r="N1134" s="47" t="inlineStr">
        <is>
          <t>PCIe x1, internal USB 2.0 header (Bluetooth 5.4), 2x external antennas</t>
        </is>
      </c>
      <c r="O1134" s="47" t="inlineStr">
        <is>
          <t>N/A</t>
        </is>
      </c>
      <c r="P1134" s="47" t="inlineStr">
        <is>
          <t>N/A</t>
        </is>
      </c>
      <c r="Q1134" s="50" t="n">
        <v>76</v>
      </c>
      <c r="R1134" s="47" t="inlineStr">
        <is>
          <t>Lower price than Kairos Volt SE Wi-Fi 7 PCIe Card [KAI-142-05] ($62.99 vs $111.99); Lighter than Geras Wave Lite Wi-Fi 7 PCIe Card [GER-133-03] (76 g vs 99 g)</t>
        </is>
      </c>
      <c r="S1134" s="47" t="inlineStr">
        <is>
          <t>gaming, streaming, PC building</t>
        </is>
      </c>
      <c r="T1134" s="0" t="inlineStr">
        <is>
          <t>in_stock</t>
        </is>
      </c>
      <c r="U1134" s="0" t="n">
        <v>30</v>
      </c>
      <c r="V1134" s="52" t="n">
        <v>66.98999999999999</v>
      </c>
      <c r="W1134" s="0" t="inlineStr">
        <is>
          <t>2026-08-17</t>
        </is>
      </c>
      <c r="X1134" s="0" t="inlineStr">
        <is>
          <t>N/A</t>
        </is>
      </c>
      <c r="Y1134" s="0" t="inlineStr">
        <is>
          <t>N/A</t>
        </is>
      </c>
      <c r="Z1134" s="0" t="inlineStr">
        <is>
          <t>N/A</t>
        </is>
      </c>
      <c r="AA1134" s="0" t="inlineStr">
        <is>
          <t>N/A</t>
        </is>
      </c>
    </row>
    <row r="1135" ht="15.75" customHeight="1" s="51">
      <c r="A1135" s="47" t="inlineStr">
        <is>
          <t>URA-113-03</t>
        </is>
      </c>
      <c r="B1135" s="47" t="inlineStr">
        <is>
          <t>Uranus</t>
        </is>
      </c>
      <c r="C1135" s="47" t="inlineStr">
        <is>
          <t>Computer Hardware</t>
        </is>
      </c>
      <c r="D1135" s="47" t="inlineStr">
        <is>
          <t>Memory</t>
        </is>
      </c>
      <c r="E1135" s="48" t="inlineStr">
        <is>
          <t>Uranus Core Max 32GB DDR5 RAM Kit</t>
        </is>
      </c>
      <c r="F1135" s="49" t="n">
        <v>148.99</v>
      </c>
      <c r="G1135" s="47" t="inlineStr">
        <is>
          <t>the Core Max; Uranus Core Max; Urnaus Core Max; Core Max memory</t>
        </is>
      </c>
      <c r="H1135" s="47" t="inlineStr">
        <is>
          <t>Limited lifetime</t>
        </is>
      </c>
      <c r="I1135" s="47" t="inlineStr">
        <is>
          <t>FCC, CE, RoHS</t>
        </is>
      </c>
      <c r="J1135" s="47" t="inlineStr">
        <is>
          <t>N/A</t>
        </is>
      </c>
      <c r="K1135" s="47" t="inlineStr">
        <is>
          <t>N/A</t>
        </is>
      </c>
      <c r="L1135" s="47" t="inlineStr">
        <is>
          <t>N/A</t>
        </is>
      </c>
      <c r="M1135" s="47" t="inlineStr">
        <is>
          <t>N/A</t>
        </is>
      </c>
      <c r="N1135" s="47" t="inlineStr">
        <is>
          <t>2x 16GB DDR5 288-pin DIMM, 6000 MT/s</t>
        </is>
      </c>
      <c r="O1135" s="47" t="inlineStr">
        <is>
          <t>N/A</t>
        </is>
      </c>
      <c r="P1135" s="47" t="inlineStr">
        <is>
          <t>N/A</t>
        </is>
      </c>
      <c r="Q1135" s="50" t="n">
        <v>77</v>
      </c>
      <c r="R1135" s="47" t="inlineStr">
        <is>
          <t>Lower price than Nyx Crest 32GB DDR5 RAM Kit [NYX-115-06] ($148.99 vs $226.99); Lighter than Eurybia Quanta SE 32GB DDR5 RAM Kit [EUR-104-07] (77 g vs 80 g)</t>
        </is>
      </c>
      <c r="S1135" s="47" t="inlineStr">
        <is>
          <t>gaming, multitasking, PC building</t>
        </is>
      </c>
      <c r="T1135" s="0" t="inlineStr">
        <is>
          <t>in_stock</t>
        </is>
      </c>
      <c r="U1135" s="0" t="n">
        <v>30</v>
      </c>
      <c r="V1135" s="52" t="n">
        <v>169.99</v>
      </c>
      <c r="W1135" s="0" t="inlineStr">
        <is>
          <t>2026-08-29</t>
        </is>
      </c>
      <c r="X1135" s="0" t="inlineStr">
        <is>
          <t>N/A</t>
        </is>
      </c>
      <c r="Y1135" s="0" t="inlineStr">
        <is>
          <t>N/A</t>
        </is>
      </c>
      <c r="Z1135" s="0" t="inlineStr">
        <is>
          <t>N/A</t>
        </is>
      </c>
      <c r="AA1135" s="0" t="inlineStr">
        <is>
          <t>N/A</t>
        </is>
      </c>
    </row>
    <row r="1136" ht="15.75" customHeight="1" s="51">
      <c r="A1136" s="47" t="inlineStr">
        <is>
          <t>URA-113-04</t>
        </is>
      </c>
      <c r="B1136" s="47" t="inlineStr">
        <is>
          <t>Uranus</t>
        </is>
      </c>
      <c r="C1136" s="47" t="inlineStr">
        <is>
          <t>Computer Hardware</t>
        </is>
      </c>
      <c r="D1136" s="47" t="inlineStr">
        <is>
          <t>Webcam</t>
        </is>
      </c>
      <c r="E1136" s="48" t="inlineStr">
        <is>
          <t>Uranus Lumen 4K Webcam</t>
        </is>
      </c>
      <c r="F1136" s="49" t="n">
        <v>149.99</v>
      </c>
      <c r="G1136" s="47" t="inlineStr">
        <is>
          <t>the Lumen; Uranus Lumen; Urauns Lumen; Lumen webcam</t>
        </is>
      </c>
      <c r="H1136" s="47" t="inlineStr">
        <is>
          <t>2 year limited</t>
        </is>
      </c>
      <c r="I1136" s="47" t="inlineStr">
        <is>
          <t>FCC, CE, RoHS, USB-IF Certified</t>
        </is>
      </c>
      <c r="J1136" s="47" t="inlineStr">
        <is>
          <t>N/A</t>
        </is>
      </c>
      <c r="K1136" s="47" t="inlineStr">
        <is>
          <t>N/A</t>
        </is>
      </c>
      <c r="L1136" s="47" t="inlineStr">
        <is>
          <t>N/A</t>
        </is>
      </c>
      <c r="M1136" s="47" t="inlineStr">
        <is>
          <t>3840x2160 @ 30fps, 1080p @ 60fps</t>
        </is>
      </c>
      <c r="N1136" s="47" t="inlineStr">
        <is>
          <t>USB-C (USB 3.0)</t>
        </is>
      </c>
      <c r="O1136" s="47" t="inlineStr">
        <is>
          <t>N/A</t>
        </is>
      </c>
      <c r="P1136" s="47" t="inlineStr">
        <is>
          <t>N/A</t>
        </is>
      </c>
      <c r="Q1136" s="50" t="n">
        <v>154</v>
      </c>
      <c r="R1136" s="47" t="inlineStr">
        <is>
          <t>Lower price than Apollo Vibe Lite 4K Webcam [APO-109-07] ($149.99 vs $154.99); Lighter than Phoebe Spark Ultra 4K Webcam [PHO-143-06] (154 g vs 164 g)</t>
        </is>
      </c>
      <c r="S1136" s="47" t="inlineStr">
        <is>
          <t>video calls, streaming, remote work</t>
        </is>
      </c>
      <c r="T1136" s="0" t="inlineStr">
        <is>
          <t>in_stock</t>
        </is>
      </c>
      <c r="U1136" s="0" t="n">
        <v>30</v>
      </c>
      <c r="V1136" s="52" t="n">
        <v>168.99</v>
      </c>
      <c r="W1136" s="0" t="inlineStr">
        <is>
          <t>2026-08-08</t>
        </is>
      </c>
      <c r="X1136" s="0" t="inlineStr">
        <is>
          <t>N/A</t>
        </is>
      </c>
      <c r="Y1136" s="0" t="inlineStr">
        <is>
          <t>N/A</t>
        </is>
      </c>
      <c r="Z1136" s="0" t="inlineStr">
        <is>
          <t>N/A</t>
        </is>
      </c>
      <c r="AA1136" s="0" t="inlineStr">
        <is>
          <t>N/A</t>
        </is>
      </c>
    </row>
    <row r="1137" ht="15.75" customHeight="1" s="51">
      <c r="A1137" s="47" t="inlineStr">
        <is>
          <t>URA-113-05</t>
        </is>
      </c>
      <c r="B1137" s="47" t="inlineStr">
        <is>
          <t>Uranus</t>
        </is>
      </c>
      <c r="C1137" s="47" t="inlineStr">
        <is>
          <t>Computer Hardware</t>
        </is>
      </c>
      <c r="D1137" s="47" t="inlineStr">
        <is>
          <t>Power Supply</t>
        </is>
      </c>
      <c r="E1137" s="48" t="inlineStr">
        <is>
          <t>Uranus Prism 850W Power Supply</t>
        </is>
      </c>
      <c r="F1137" s="49" t="n">
        <v>160.99</v>
      </c>
      <c r="G1137" s="47" t="inlineStr">
        <is>
          <t>the Prism; Uranus Prism; Urranus Prism; Prism power supply</t>
        </is>
      </c>
      <c r="H1137" s="47" t="inlineStr">
        <is>
          <t>10 year limited</t>
        </is>
      </c>
      <c r="I1137" s="47" t="inlineStr">
        <is>
          <t>FCC, CE, RoHS, 80 PLUS Platinum, UL Listed</t>
        </is>
      </c>
      <c r="J1137" s="47" t="inlineStr">
        <is>
          <t>N/A</t>
        </is>
      </c>
      <c r="K1137" s="47" t="inlineStr">
        <is>
          <t>N/A</t>
        </is>
      </c>
      <c r="L1137" s="47" t="inlineStr">
        <is>
          <t>N/A</t>
        </is>
      </c>
      <c r="M1137" s="47" t="inlineStr">
        <is>
          <t>N/A</t>
        </is>
      </c>
      <c r="N1137" s="47" t="inlineStr">
        <is>
          <t>ATX 3.1, native 12V-2x6 (600W) connector, fully modular</t>
        </is>
      </c>
      <c r="O1137" s="47" t="inlineStr">
        <is>
          <t>N/A</t>
        </is>
      </c>
      <c r="P1137" s="47" t="inlineStr">
        <is>
          <t>N/A</t>
        </is>
      </c>
      <c r="Q1137" s="50" t="n">
        <v>1782</v>
      </c>
      <c r="R1137" s="47" t="inlineStr">
        <is>
          <t>Lighter than Psyche Volt Max 850W Power Supply [PSY-144-07] (1,782 g vs 2,112 g); Lower price than Eris Wave Ultra 850W Power Supply [ERI-148-06] ($160.99 vs $181.99)</t>
        </is>
      </c>
      <c r="S1137" s="47" t="inlineStr">
        <is>
          <t>PC building, high-end gaming</t>
        </is>
      </c>
      <c r="T1137" s="0" t="inlineStr">
        <is>
          <t>in_stock</t>
        </is>
      </c>
      <c r="U1137" s="0" t="n">
        <v>30</v>
      </c>
      <c r="V1137" s="52" t="n">
        <v>181.99</v>
      </c>
      <c r="W1137" s="0" t="inlineStr">
        <is>
          <t>2026-09-14</t>
        </is>
      </c>
      <c r="X1137" s="0" t="inlineStr">
        <is>
          <t>N/A</t>
        </is>
      </c>
      <c r="Y1137" s="0" t="inlineStr">
        <is>
          <t>N/A</t>
        </is>
      </c>
      <c r="Z1137" s="0" t="inlineStr">
        <is>
          <t>N/A</t>
        </is>
      </c>
      <c r="AA1137" s="0" t="inlineStr">
        <is>
          <t>N/A</t>
        </is>
      </c>
    </row>
    <row r="1138" ht="15.75" customHeight="1" s="51">
      <c r="A1138" s="47" t="inlineStr">
        <is>
          <t>URA-113-06</t>
        </is>
      </c>
      <c r="B1138" s="47" t="inlineStr">
        <is>
          <t>Uranus</t>
        </is>
      </c>
      <c r="C1138" s="47" t="inlineStr">
        <is>
          <t>Computer Hardware</t>
        </is>
      </c>
      <c r="D1138" s="47" t="inlineStr">
        <is>
          <t>Storage</t>
        </is>
      </c>
      <c r="E1138" s="48" t="inlineStr">
        <is>
          <t>Uranus Drift Plus 2TB NVMe SSD</t>
        </is>
      </c>
      <c r="F1138" s="49" t="n">
        <v>168.99</v>
      </c>
      <c r="G1138" s="47" t="inlineStr">
        <is>
          <t>the Drift Plus; Uranus Drift Plus; Uranuss Drift Plus; Drift Plus storage</t>
        </is>
      </c>
      <c r="H1138" s="47" t="inlineStr">
        <is>
          <t>5 year limited</t>
        </is>
      </c>
      <c r="I1138" s="47" t="inlineStr">
        <is>
          <t>FCC, CE, RoHS</t>
        </is>
      </c>
      <c r="J1138" s="47" t="inlineStr">
        <is>
          <t>Controller: Phison E27T</t>
        </is>
      </c>
      <c r="K1138" s="47" t="inlineStr">
        <is>
          <t>N/A</t>
        </is>
      </c>
      <c r="L1138" s="47" t="inlineStr">
        <is>
          <t>N/A</t>
        </is>
      </c>
      <c r="M1138" s="47" t="inlineStr">
        <is>
          <t>N/A</t>
        </is>
      </c>
      <c r="N1138" s="47" t="inlineStr">
        <is>
          <t>M.2 2280, PCIe 4.0 x4 NVMe</t>
        </is>
      </c>
      <c r="O1138" s="47" t="inlineStr">
        <is>
          <t>N/A</t>
        </is>
      </c>
      <c r="P1138" s="47" t="inlineStr">
        <is>
          <t>N/A</t>
        </is>
      </c>
      <c r="Q1138" s="50" t="n">
        <v>29</v>
      </c>
      <c r="R1138" s="47" t="inlineStr">
        <is>
          <t>Lower price than Pheme Flux Air 2TB NVMe SSD [PHE-102-08] ($168.99 vs $296.99); Lighter than Eos Arc 2TB NVMe SSD [EOS-111-03] (29 g vs 30 g)</t>
        </is>
      </c>
      <c r="S1138" s="47" t="inlineStr">
        <is>
          <t>gaming, fast boot, content creation</t>
        </is>
      </c>
      <c r="T1138" s="0" t="inlineStr">
        <is>
          <t>out_of_stock</t>
        </is>
      </c>
      <c r="U1138" s="0" t="n">
        <v>30</v>
      </c>
      <c r="V1138" s="52" t="n">
        <v>175.99</v>
      </c>
      <c r="W1138" s="0" t="inlineStr">
        <is>
          <t>2026-08-21</t>
        </is>
      </c>
      <c r="X1138" s="0" t="inlineStr">
        <is>
          <t>N/A</t>
        </is>
      </c>
      <c r="Y1138" s="0" t="inlineStr">
        <is>
          <t>N/A</t>
        </is>
      </c>
      <c r="Z1138" s="0" t="inlineStr">
        <is>
          <t>N/A</t>
        </is>
      </c>
      <c r="AA1138" s="0" t="inlineStr">
        <is>
          <t>N/A</t>
        </is>
      </c>
    </row>
    <row r="1139" ht="15.75" customHeight="1" s="51">
      <c r="A1139" s="47" t="inlineStr">
        <is>
          <t>URA-113-07</t>
        </is>
      </c>
      <c r="B1139" s="47" t="inlineStr">
        <is>
          <t>Uranus</t>
        </is>
      </c>
      <c r="C1139" s="47" t="inlineStr">
        <is>
          <t>Computer Hardware</t>
        </is>
      </c>
      <c r="D1139" s="47" t="inlineStr">
        <is>
          <t>Storage</t>
        </is>
      </c>
      <c r="E1139" s="48" t="inlineStr">
        <is>
          <t>Uranus Strata X 4TB External Hard Drive</t>
        </is>
      </c>
      <c r="F1139" s="49" t="n">
        <v>191.99</v>
      </c>
      <c r="G1139" s="47" t="inlineStr">
        <is>
          <t>the Strata X; Uranus Strata X; Urranus Strata X; Strata X storage</t>
        </is>
      </c>
      <c r="H1139" s="47" t="inlineStr">
        <is>
          <t>2 year limited</t>
        </is>
      </c>
      <c r="I1139" s="47" t="inlineStr">
        <is>
          <t>FCC, CE, RoHS, USB-IF Certified</t>
        </is>
      </c>
      <c r="J1139" s="47" t="inlineStr">
        <is>
          <t>N/A</t>
        </is>
      </c>
      <c r="K1139" s="47" t="inlineStr">
        <is>
          <t>N/A</t>
        </is>
      </c>
      <c r="L1139" s="47" t="inlineStr">
        <is>
          <t>N/A</t>
        </is>
      </c>
      <c r="M1139" s="47" t="inlineStr">
        <is>
          <t>N/A</t>
        </is>
      </c>
      <c r="N1139" s="47" t="inlineStr">
        <is>
          <t>USB-C (USB 3.2 Gen 1)</t>
        </is>
      </c>
      <c r="O1139" s="47" t="inlineStr">
        <is>
          <t>N/A</t>
        </is>
      </c>
      <c r="P1139" s="47" t="inlineStr">
        <is>
          <t>N/A</t>
        </is>
      </c>
      <c r="Q1139" s="50" t="n">
        <v>231</v>
      </c>
      <c r="R1139" s="47" t="inlineStr">
        <is>
          <t>Lower price than Urania Sable X 4TB External Hard Drive [URA-136-07] ($191.99 vs $196.99); Lighter than Zelus Echo Plus 4TB External Hard Drive [ZEL-137-02] (231 g vs 238 g)</t>
        </is>
      </c>
      <c r="S1139" s="47" t="inlineStr">
        <is>
          <t>backup, media storage</t>
        </is>
      </c>
      <c r="T1139" s="0" t="inlineStr">
        <is>
          <t>in_stock</t>
        </is>
      </c>
      <c r="U1139" s="0" t="n">
        <v>30</v>
      </c>
      <c r="V1139" s="52" t="n">
        <v>210.99</v>
      </c>
      <c r="W1139" s="0" t="inlineStr">
        <is>
          <t>2026-09-01</t>
        </is>
      </c>
      <c r="X1139" s="0" t="inlineStr">
        <is>
          <t>N/A</t>
        </is>
      </c>
      <c r="Y1139" s="0" t="inlineStr">
        <is>
          <t>N/A</t>
        </is>
      </c>
      <c r="Z1139" s="0" t="inlineStr">
        <is>
          <t>N/A</t>
        </is>
      </c>
      <c r="AA1139" s="0" t="inlineStr">
        <is>
          <t>N/A</t>
        </is>
      </c>
    </row>
    <row r="1140" ht="15.75" customHeight="1" s="51">
      <c r="A1140" s="47" t="inlineStr">
        <is>
          <t>URA-113-08</t>
        </is>
      </c>
      <c r="B1140" s="47" t="inlineStr">
        <is>
          <t>Uranus</t>
        </is>
      </c>
      <c r="C1140" s="47" t="inlineStr">
        <is>
          <t>Computer Hardware</t>
        </is>
      </c>
      <c r="D1140" s="47" t="inlineStr">
        <is>
          <t>Cooling</t>
        </is>
      </c>
      <c r="E1140" s="48" t="inlineStr">
        <is>
          <t>Uranus Nova Plus 360mm AIO CPU Cooler</t>
        </is>
      </c>
      <c r="F1140" s="49" t="n">
        <v>211.99</v>
      </c>
      <c r="G1140" s="47" t="inlineStr">
        <is>
          <t>the Nova Plus; Uranus Nova Plus; Urannus Nova Plus; Nova Plus cooling</t>
        </is>
      </c>
      <c r="H1140" s="47" t="inlineStr">
        <is>
          <t>5 year limited</t>
        </is>
      </c>
      <c r="I1140" s="47" t="inlineStr">
        <is>
          <t>FCC, CE, RoHS</t>
        </is>
      </c>
      <c r="J1140" s="47" t="inlineStr">
        <is>
          <t>N/A</t>
        </is>
      </c>
      <c r="K1140" s="47" t="inlineStr">
        <is>
          <t>N/A</t>
        </is>
      </c>
      <c r="L1140" s="47" t="inlineStr">
        <is>
          <t>IPS pump-head screen</t>
        </is>
      </c>
      <c r="M1140" s="47" t="inlineStr">
        <is>
          <t>480x480</t>
        </is>
      </c>
      <c r="N1140" s="47" t="inlineStr">
        <is>
          <t>3x 4-pin PWM fans, 3-pin pump header, ARGB 5V; LGA1700/LGA1851/AM5 mounts</t>
        </is>
      </c>
      <c r="O1140" s="47" t="inlineStr">
        <is>
          <t>N/A</t>
        </is>
      </c>
      <c r="P1140" s="47" t="inlineStr">
        <is>
          <t>N/A</t>
        </is>
      </c>
      <c r="Q1140" s="50" t="n">
        <v>1696</v>
      </c>
      <c r="R1140" s="47" t="inlineStr">
        <is>
          <t>Lighter than Gaia Quanta Plus 360mm AIO CPU Cooler [GAI-125-08] (1,696 g vs 1,824 g); Lower price than Eileithyia Wave 360mm AIO CPU Cooler [EIL-149-07] ($211.99 vs $264.99)</t>
        </is>
      </c>
      <c r="S1140" s="47" t="inlineStr">
        <is>
          <t>overclocking, gaming, quiet builds</t>
        </is>
      </c>
      <c r="T1140" s="0" t="inlineStr">
        <is>
          <t>in_stock</t>
        </is>
      </c>
      <c r="U1140" s="0" t="n">
        <v>30</v>
      </c>
      <c r="V1140" s="52" t="n">
        <v>239.99</v>
      </c>
      <c r="W1140" s="0" t="inlineStr">
        <is>
          <t>2026-08-31</t>
        </is>
      </c>
      <c r="X1140" s="0" t="inlineStr">
        <is>
          <t>N/A</t>
        </is>
      </c>
      <c r="Y1140" s="0" t="inlineStr">
        <is>
          <t>N/A</t>
        </is>
      </c>
      <c r="Z1140" s="0" t="inlineStr">
        <is>
          <t>N/A</t>
        </is>
      </c>
      <c r="AA1140" s="0" t="inlineStr">
        <is>
          <t>N/A</t>
        </is>
      </c>
    </row>
    <row r="1141" ht="15.75" customHeight="1" s="51">
      <c r="A1141" s="47" t="inlineStr">
        <is>
          <t>URA-113-09</t>
        </is>
      </c>
      <c r="B1141" s="47" t="inlineStr">
        <is>
          <t>Uranus</t>
        </is>
      </c>
      <c r="C1141" s="47" t="inlineStr">
        <is>
          <t>Computer Hardware</t>
        </is>
      </c>
      <c r="D1141" s="47" t="inlineStr">
        <is>
          <t>Docking Station</t>
        </is>
      </c>
      <c r="E1141" s="48" t="inlineStr">
        <is>
          <t>Uranus Aria X USB-C Docking Station</t>
        </is>
      </c>
      <c r="F1141" s="49" t="n">
        <v>344.99</v>
      </c>
      <c r="G1141" s="47" t="inlineStr">
        <is>
          <t>the Aria X; Uranus Aria X; Uraanus Aria X; Aria X docking station</t>
        </is>
      </c>
      <c r="H1141" s="47" t="inlineStr">
        <is>
          <t>2 year limited</t>
        </is>
      </c>
      <c r="I1141" s="47" t="inlineStr">
        <is>
          <t>FCC, CE, RoHS, USB-IF Certified, UL Listed</t>
        </is>
      </c>
      <c r="J1141" s="47" t="inlineStr">
        <is>
          <t>N/A</t>
        </is>
      </c>
      <c r="K1141" s="47" t="inlineStr">
        <is>
          <t>N/A</t>
        </is>
      </c>
      <c r="L1141" s="47" t="inlineStr">
        <is>
          <t>N/A</t>
        </is>
      </c>
      <c r="M1141" s="47" t="inlineStr">
        <is>
          <t>N/A</t>
        </is>
      </c>
      <c r="N1141" s="47" t="inlineStr">
        <is>
          <t>Thunderbolt 4 host, 2x HDMI 2.1, 4x USB-A, 3x USB-C, 2.5GbE, SD/microSD, 96W PD</t>
        </is>
      </c>
      <c r="O1141" s="47" t="inlineStr">
        <is>
          <t>N/A</t>
        </is>
      </c>
      <c r="P1141" s="47" t="inlineStr">
        <is>
          <t>N/A</t>
        </is>
      </c>
      <c r="Q1141" s="50" t="n">
        <v>403</v>
      </c>
      <c r="R1141" s="47" t="inlineStr">
        <is>
          <t>Lighter than Gaia Nimbus Plus USB-C Docking Station [GAI-125-07] (403 g vs 420 g)</t>
        </is>
      </c>
      <c r="S1141" s="47" t="inlineStr">
        <is>
          <t>office, remote work, multi-monitor</t>
        </is>
      </c>
      <c r="T1141" s="0" t="inlineStr">
        <is>
          <t>in_stock</t>
        </is>
      </c>
      <c r="U1141" s="0" t="n">
        <v>30</v>
      </c>
      <c r="V1141" s="52" t="n">
        <v>368.99</v>
      </c>
      <c r="W1141" s="0" t="inlineStr">
        <is>
          <t>2026-08-20</t>
        </is>
      </c>
      <c r="X1141" s="0" t="inlineStr">
        <is>
          <t>N/A</t>
        </is>
      </c>
      <c r="Y1141" s="0" t="inlineStr">
        <is>
          <t>N/A</t>
        </is>
      </c>
      <c r="Z1141" s="0" t="inlineStr">
        <is>
          <t>N/A</t>
        </is>
      </c>
      <c r="AA1141" s="0" t="inlineStr">
        <is>
          <t>N/A</t>
        </is>
      </c>
    </row>
    <row r="1142" ht="15.75" customHeight="1" s="51">
      <c r="A1142" s="47" t="inlineStr">
        <is>
          <t>URA-113-10</t>
        </is>
      </c>
      <c r="B1142" s="47" t="inlineStr">
        <is>
          <t>Uranus</t>
        </is>
      </c>
      <c r="C1142" s="47" t="inlineStr">
        <is>
          <t>Computer Hardware</t>
        </is>
      </c>
      <c r="D1142" s="47" t="inlineStr">
        <is>
          <t>Monitor</t>
        </is>
      </c>
      <c r="E1142" s="48" t="inlineStr">
        <is>
          <t>Uranus Arc 27" 1440p Monitor</t>
        </is>
      </c>
      <c r="F1142" s="49" t="n">
        <v>589.99</v>
      </c>
      <c r="G1142" s="47" t="inlineStr">
        <is>
          <t>the Arc; Uranus Arc; Urranus Arc; Arc monitor</t>
        </is>
      </c>
      <c r="H1142" s="47" t="inlineStr">
        <is>
          <t>3 year limited</t>
        </is>
      </c>
      <c r="I1142" s="47" t="inlineStr">
        <is>
          <t>FCC, CE, RoHS, Energy Star, TUV Rheinland Low Blue Light, VESA DisplayHDR True Black 400</t>
        </is>
      </c>
      <c r="J1142" s="47" t="inlineStr">
        <is>
          <t>N/A</t>
        </is>
      </c>
      <c r="K1142" s="47" t="inlineStr">
        <is>
          <t>N/A</t>
        </is>
      </c>
      <c r="L1142" s="47" t="inlineStr">
        <is>
          <t>Fast IPS, 240Hz</t>
        </is>
      </c>
      <c r="M1142" s="47" t="inlineStr">
        <is>
          <t>2560x1440</t>
        </is>
      </c>
      <c r="N1142" s="47" t="inlineStr">
        <is>
          <t>2x HDMI 2.1, 1x DisplayPort 1.4, USB-C 90W, USB hub</t>
        </is>
      </c>
      <c r="O1142" s="47" t="inlineStr">
        <is>
          <t>N/A</t>
        </is>
      </c>
      <c r="P1142" s="47" t="inlineStr">
        <is>
          <t>N/A</t>
        </is>
      </c>
      <c r="Q1142" s="50" t="n">
        <v>6399</v>
      </c>
      <c r="R1142" s="47" t="inlineStr">
        <is>
          <t>Lighter than Eris Crest Plus 27" 1440p Monitor [ERI-148-10] (6,399 g vs 7,023 g); Lower price than Hermes Wave SE 27" 1440p Monitor [HER-103-10] ($589.99 vs $615.99)</t>
        </is>
      </c>
      <c r="S1142" s="47" t="inlineStr">
        <is>
          <t>gaming, office, content creation</t>
        </is>
      </c>
      <c r="T1142" s="0" t="inlineStr">
        <is>
          <t>in_stock</t>
        </is>
      </c>
      <c r="U1142" s="0" t="n">
        <v>30</v>
      </c>
      <c r="V1142" s="52" t="n">
        <v>609.99</v>
      </c>
      <c r="W1142" s="0" t="inlineStr">
        <is>
          <t>2026-09-21</t>
        </is>
      </c>
      <c r="X1142" s="0" t="inlineStr">
        <is>
          <t>N/A</t>
        </is>
      </c>
      <c r="Y1142" s="0" t="inlineStr">
        <is>
          <t>N/A</t>
        </is>
      </c>
      <c r="Z1142" s="0" t="inlineStr">
        <is>
          <t>N/A</t>
        </is>
      </c>
      <c r="AA1142" s="0" t="inlineStr">
        <is>
          <t>N/A</t>
        </is>
      </c>
    </row>
    <row r="1143" ht="15.75" customHeight="1" s="51">
      <c r="A1143" s="47" t="inlineStr">
        <is>
          <t>ENY-114-01</t>
        </is>
      </c>
      <c r="B1143" s="47" t="inlineStr">
        <is>
          <t>Enyo</t>
        </is>
      </c>
      <c r="C1143" s="47" t="inlineStr">
        <is>
          <t>Computer Hardware</t>
        </is>
      </c>
      <c r="D1143" s="47" t="inlineStr">
        <is>
          <t>Power Supply</t>
        </is>
      </c>
      <c r="E1143" s="48" t="inlineStr">
        <is>
          <t>Enyo Zen Pro 850W Power Supply</t>
        </is>
      </c>
      <c r="F1143" s="49" t="n">
        <v>136.99</v>
      </c>
      <c r="G1143" s="47" t="inlineStr">
        <is>
          <t>the Zen Pro; Enyo Zen Pro; Enio Zen Pro; Zen Pro power supply</t>
        </is>
      </c>
      <c r="H1143" s="47" t="inlineStr">
        <is>
          <t>10 year limited</t>
        </is>
      </c>
      <c r="I1143" s="47" t="inlineStr">
        <is>
          <t>FCC, CE, RoHS, 80 PLUS Gold, UL Listed</t>
        </is>
      </c>
      <c r="J1143" s="47" t="inlineStr">
        <is>
          <t>N/A</t>
        </is>
      </c>
      <c r="K1143" s="47" t="inlineStr">
        <is>
          <t>N/A</t>
        </is>
      </c>
      <c r="L1143" s="47" t="inlineStr">
        <is>
          <t>N/A</t>
        </is>
      </c>
      <c r="M1143" s="47" t="inlineStr">
        <is>
          <t>N/A</t>
        </is>
      </c>
      <c r="N1143" s="47" t="inlineStr">
        <is>
          <t>ATX 3.1, native 12V-2x6 (600W) connector, fully modular</t>
        </is>
      </c>
      <c r="O1143" s="47" t="inlineStr">
        <is>
          <t>N/A</t>
        </is>
      </c>
      <c r="P1143" s="47" t="inlineStr">
        <is>
          <t>N/A</t>
        </is>
      </c>
      <c r="Q1143" s="50" t="n">
        <v>1848</v>
      </c>
      <c r="R1143" s="47" t="inlineStr">
        <is>
          <t>Lower price than Geras Crest Max 850W Power Supply [GER-133-05] ($136.99 vs $144.99); Lighter than Psyche Volt Max 850W Power Supply [PSY-144-07] (1,848 g vs 2,112 g)</t>
        </is>
      </c>
      <c r="S1143" s="47" t="inlineStr">
        <is>
          <t>PC building, high-end gaming</t>
        </is>
      </c>
      <c r="T1143" s="0" t="inlineStr">
        <is>
          <t>in_stock</t>
        </is>
      </c>
      <c r="U1143" s="0" t="n">
        <v>30</v>
      </c>
      <c r="V1143" s="52" t="n">
        <v>143.99</v>
      </c>
      <c r="W1143" s="0" t="inlineStr">
        <is>
          <t>2026-09-11</t>
        </is>
      </c>
      <c r="X1143" s="0" t="inlineStr">
        <is>
          <t>N/A</t>
        </is>
      </c>
      <c r="Y1143" s="0" t="inlineStr">
        <is>
          <t>N/A</t>
        </is>
      </c>
      <c r="Z1143" s="0" t="inlineStr">
        <is>
          <t>N/A</t>
        </is>
      </c>
      <c r="AA1143" s="0" t="inlineStr">
        <is>
          <t>N/A</t>
        </is>
      </c>
    </row>
    <row r="1144" ht="15.75" customHeight="1" s="51">
      <c r="A1144" s="47" t="inlineStr">
        <is>
          <t>ENY-114-02</t>
        </is>
      </c>
      <c r="B1144" s="47" t="inlineStr">
        <is>
          <t>Enyo</t>
        </is>
      </c>
      <c r="C1144" s="47" t="inlineStr">
        <is>
          <t>Computer Hardware</t>
        </is>
      </c>
      <c r="D1144" s="47" t="inlineStr">
        <is>
          <t>Storage</t>
        </is>
      </c>
      <c r="E1144" s="48" t="inlineStr">
        <is>
          <t>Enyo Nimbus 4TB External Hard Drive</t>
        </is>
      </c>
      <c r="F1144" s="49" t="n">
        <v>139.99</v>
      </c>
      <c r="G1144" s="47" t="inlineStr">
        <is>
          <t>the Nimbus; Enyo Nimbus; Enyoo Nimbus; Nimbus storage</t>
        </is>
      </c>
      <c r="H1144" s="47" t="inlineStr">
        <is>
          <t>2 year limited</t>
        </is>
      </c>
      <c r="I1144" s="47" t="inlineStr">
        <is>
          <t>FCC, CE, RoHS, USB-IF Certified</t>
        </is>
      </c>
      <c r="J1144" s="47" t="inlineStr">
        <is>
          <t>N/A</t>
        </is>
      </c>
      <c r="K1144" s="47" t="inlineStr">
        <is>
          <t>N/A</t>
        </is>
      </c>
      <c r="L1144" s="47" t="inlineStr">
        <is>
          <t>N/A</t>
        </is>
      </c>
      <c r="M1144" s="47" t="inlineStr">
        <is>
          <t>N/A</t>
        </is>
      </c>
      <c r="N1144" s="47" t="inlineStr">
        <is>
          <t>USB-C (USB 3.2 Gen 1)</t>
        </is>
      </c>
      <c r="O1144" s="47" t="inlineStr">
        <is>
          <t>N/A</t>
        </is>
      </c>
      <c r="P1144" s="47" t="inlineStr">
        <is>
          <t>N/A</t>
        </is>
      </c>
      <c r="Q1144" s="50" t="n">
        <v>212</v>
      </c>
      <c r="R1144" s="47" t="inlineStr">
        <is>
          <t>Lighter than Apollo Nimbus Plus 4TB External Hard Drive [APO-109-03] (212 g vs 229 g); Lower price than Artemis Prism Max 4TB External Hard Drive [ART-150-06] ($139.99 vs $171.99)</t>
        </is>
      </c>
      <c r="S1144" s="47" t="inlineStr">
        <is>
          <t>backup, media storage</t>
        </is>
      </c>
      <c r="T1144" s="0" t="inlineStr">
        <is>
          <t>in_stock</t>
        </is>
      </c>
      <c r="U1144" s="0" t="n">
        <v>30</v>
      </c>
      <c r="V1144" s="52" t="n">
        <v>152.99</v>
      </c>
      <c r="W1144" s="0" t="inlineStr">
        <is>
          <t>2026-09-22</t>
        </is>
      </c>
      <c r="X1144" s="0" t="inlineStr">
        <is>
          <t>N/A</t>
        </is>
      </c>
      <c r="Y1144" s="0" t="inlineStr">
        <is>
          <t>N/A</t>
        </is>
      </c>
      <c r="Z1144" s="0" t="inlineStr">
        <is>
          <t>N/A</t>
        </is>
      </c>
      <c r="AA1144" s="0" t="inlineStr">
        <is>
          <t>N/A</t>
        </is>
      </c>
    </row>
    <row r="1145" ht="15.75" customHeight="1" s="51">
      <c r="A1145" s="47" t="inlineStr">
        <is>
          <t>ENY-114-03</t>
        </is>
      </c>
      <c r="B1145" s="47" t="inlineStr">
        <is>
          <t>Enyo</t>
        </is>
      </c>
      <c r="C1145" s="47" t="inlineStr">
        <is>
          <t>Computer Hardware</t>
        </is>
      </c>
      <c r="D1145" s="47" t="inlineStr">
        <is>
          <t>Storage</t>
        </is>
      </c>
      <c r="E1145" s="48" t="inlineStr">
        <is>
          <t>Enyo Prism 2TB NVMe SSD</t>
        </is>
      </c>
      <c r="F1145" s="49" t="n">
        <v>144.99</v>
      </c>
      <c r="G1145" s="47" t="inlineStr">
        <is>
          <t>the Prism; Enyo Prism; Eny Prism; Prism storage</t>
        </is>
      </c>
      <c r="H1145" s="47" t="inlineStr">
        <is>
          <t>5 year limited</t>
        </is>
      </c>
      <c r="I1145" s="47" t="inlineStr">
        <is>
          <t>FCC, CE, RoHS</t>
        </is>
      </c>
      <c r="J1145" s="47" t="inlineStr">
        <is>
          <t>Controller: Phison E21T</t>
        </is>
      </c>
      <c r="K1145" s="47" t="inlineStr">
        <is>
          <t>N/A</t>
        </is>
      </c>
      <c r="L1145" s="47" t="inlineStr">
        <is>
          <t>N/A</t>
        </is>
      </c>
      <c r="M1145" s="47" t="inlineStr">
        <is>
          <t>N/A</t>
        </is>
      </c>
      <c r="N1145" s="47" t="inlineStr">
        <is>
          <t>M.2 2280, PCIe 4.0 x4 NVMe</t>
        </is>
      </c>
      <c r="O1145" s="47" t="inlineStr">
        <is>
          <t>N/A</t>
        </is>
      </c>
      <c r="P1145" s="47" t="inlineStr">
        <is>
          <t>N/A</t>
        </is>
      </c>
      <c r="Q1145" s="50" t="n">
        <v>29</v>
      </c>
      <c r="R1145" s="47" t="inlineStr">
        <is>
          <t>Lower price than Harmonia Prism 2TB NVMe SSD [HAR-106-08] ($144.99 vs $261.99); Lighter than Eos Arc 2TB NVMe SSD [EOS-111-03] (29 g vs 30 g)</t>
        </is>
      </c>
      <c r="S1145" s="47" t="inlineStr">
        <is>
          <t>gaming, fast boot, content creation</t>
        </is>
      </c>
      <c r="T1145" s="0" t="inlineStr">
        <is>
          <t>low_stock</t>
        </is>
      </c>
      <c r="U1145" s="0" t="n">
        <v>30</v>
      </c>
      <c r="V1145" s="52" t="n">
        <v>165.99</v>
      </c>
      <c r="W1145" s="0" t="inlineStr">
        <is>
          <t>2026-09-12</t>
        </is>
      </c>
      <c r="X1145" s="0" t="inlineStr">
        <is>
          <t>N/A</t>
        </is>
      </c>
      <c r="Y1145" s="0" t="inlineStr">
        <is>
          <t>N/A</t>
        </is>
      </c>
      <c r="Z1145" s="0" t="inlineStr">
        <is>
          <t>N/A</t>
        </is>
      </c>
      <c r="AA1145" s="0" t="inlineStr">
        <is>
          <t>N/A</t>
        </is>
      </c>
    </row>
    <row r="1146" ht="15.75" customHeight="1" s="51">
      <c r="A1146" s="47" t="inlineStr">
        <is>
          <t>ENY-114-04</t>
        </is>
      </c>
      <c r="B1146" s="47" t="inlineStr">
        <is>
          <t>Enyo</t>
        </is>
      </c>
      <c r="C1146" s="47" t="inlineStr">
        <is>
          <t>Computer Hardware</t>
        </is>
      </c>
      <c r="D1146" s="47" t="inlineStr">
        <is>
          <t>Keyboard</t>
        </is>
      </c>
      <c r="E1146" s="48" t="inlineStr">
        <is>
          <t>Enyo Vibe Max Mechanical Keyboard</t>
        </is>
      </c>
      <c r="F1146" s="49" t="n">
        <v>168.99</v>
      </c>
      <c r="G1146" s="47" t="inlineStr">
        <is>
          <t>the Vibe Max; Enyo Vibe Max; Enyyo Vibe Max; Vibe Max keyboard</t>
        </is>
      </c>
      <c r="H1146" s="47" t="inlineStr">
        <is>
          <t>2 year limited</t>
        </is>
      </c>
      <c r="I1146" s="47" t="inlineStr">
        <is>
          <t>FCC, CE, RoHS, Bluetooth SIG Qualified</t>
        </is>
      </c>
      <c r="J1146" s="47" t="inlineStr">
        <is>
          <t>N/A</t>
        </is>
      </c>
      <c r="K1146" s="47" t="inlineStr">
        <is>
          <t>N/A</t>
        </is>
      </c>
      <c r="L1146" s="47" t="inlineStr">
        <is>
          <t>N/A</t>
        </is>
      </c>
      <c r="M1146" s="47" t="inlineStr">
        <is>
          <t>N/A</t>
        </is>
      </c>
      <c r="N1146" s="47" t="inlineStr">
        <is>
          <t>USB-C, 2.4GHz dongle, Bluetooth 5.1</t>
        </is>
      </c>
      <c r="O1146" s="47" t="inlineStr">
        <is>
          <t>N/A</t>
        </is>
      </c>
      <c r="P1146" s="47" t="n">
        <v>223</v>
      </c>
      <c r="Q1146" s="50" t="n">
        <v>1113</v>
      </c>
      <c r="R1146" s="47" t="inlineStr">
        <is>
          <t>Lighter than Dionysus Aria Mechanical Keyboard [DIO-118-06] (1,113 g vs 1,198 g); Lower price than Bia Vertex X Mechanical Keyboard [BIA-107-06] ($168.99 vs $186.99)</t>
        </is>
      </c>
      <c r="S1146" s="47" t="inlineStr">
        <is>
          <t>gaming, typing, office</t>
        </is>
      </c>
      <c r="T1146" s="0" t="inlineStr">
        <is>
          <t>in_stock</t>
        </is>
      </c>
      <c r="U1146" s="0" t="n">
        <v>30</v>
      </c>
      <c r="V1146" s="52" t="n">
        <v>189.99</v>
      </c>
      <c r="W1146" s="0" t="inlineStr">
        <is>
          <t>2026-08-11</t>
        </is>
      </c>
      <c r="X1146" s="0" t="inlineStr">
        <is>
          <t>N/A</t>
        </is>
      </c>
      <c r="Y1146" s="0" t="inlineStr">
        <is>
          <t>N/A</t>
        </is>
      </c>
      <c r="Z1146" s="0" t="inlineStr">
        <is>
          <t>N/A</t>
        </is>
      </c>
      <c r="AA1146" s="0" t="inlineStr">
        <is>
          <t>N/A</t>
        </is>
      </c>
    </row>
    <row r="1147" ht="15.75" customHeight="1" s="51">
      <c r="A1147" s="47" t="inlineStr">
        <is>
          <t>ENY-114-05</t>
        </is>
      </c>
      <c r="B1147" s="47" t="inlineStr">
        <is>
          <t>Enyo</t>
        </is>
      </c>
      <c r="C1147" s="47" t="inlineStr">
        <is>
          <t>Computer Hardware</t>
        </is>
      </c>
      <c r="D1147" s="47" t="inlineStr">
        <is>
          <t>Memory</t>
        </is>
      </c>
      <c r="E1147" s="48" t="inlineStr">
        <is>
          <t>Enyo Onyx Lite 32GB DDR5 RAM Kit</t>
        </is>
      </c>
      <c r="F1147" s="49" t="n">
        <v>221.99</v>
      </c>
      <c r="G1147" s="47" t="inlineStr">
        <is>
          <t>the Onyx Lite; Enyo Onyx Lite; Eyno Onyx Lite; Onyx Lite memory</t>
        </is>
      </c>
      <c r="H1147" s="47" t="inlineStr">
        <is>
          <t>Limited lifetime</t>
        </is>
      </c>
      <c r="I1147" s="47" t="inlineStr">
        <is>
          <t>FCC, CE, RoHS</t>
        </is>
      </c>
      <c r="J1147" s="47" t="inlineStr">
        <is>
          <t>N/A</t>
        </is>
      </c>
      <c r="K1147" s="47" t="inlineStr">
        <is>
          <t>N/A</t>
        </is>
      </c>
      <c r="L1147" s="47" t="inlineStr">
        <is>
          <t>N/A</t>
        </is>
      </c>
      <c r="M1147" s="47" t="inlineStr">
        <is>
          <t>N/A</t>
        </is>
      </c>
      <c r="N1147" s="47" t="inlineStr">
        <is>
          <t>2x 16GB DDR5 288-pin DIMM, 7200 MT/s</t>
        </is>
      </c>
      <c r="O1147" s="47" t="inlineStr">
        <is>
          <t>N/A</t>
        </is>
      </c>
      <c r="P1147" s="47" t="inlineStr">
        <is>
          <t>N/A</t>
        </is>
      </c>
      <c r="Q1147" s="50" t="n">
        <v>73</v>
      </c>
      <c r="R1147" s="47" t="inlineStr">
        <is>
          <t>Lower price than Nyx Crest 32GB DDR5 RAM Kit [NYX-115-06] ($221.99 vs $226.99); Lighter than Phanes Aria SE 32GB DDR5 RAM Kit [PHA-138-07] (73 g vs 83 g)</t>
        </is>
      </c>
      <c r="S1147" s="47" t="inlineStr">
        <is>
          <t>gaming, multitasking, PC building</t>
        </is>
      </c>
      <c r="T1147" s="0" t="inlineStr">
        <is>
          <t>in_stock</t>
        </is>
      </c>
      <c r="U1147" s="0" t="n">
        <v>30</v>
      </c>
      <c r="V1147" s="52" t="n">
        <v>242.99</v>
      </c>
      <c r="W1147" s="0" t="inlineStr">
        <is>
          <t>2026-09-19</t>
        </is>
      </c>
      <c r="X1147" s="0" t="inlineStr">
        <is>
          <t>N/A</t>
        </is>
      </c>
      <c r="Y1147" s="0" t="inlineStr">
        <is>
          <t>N/A</t>
        </is>
      </c>
      <c r="Z1147" s="0" t="inlineStr">
        <is>
          <t>N/A</t>
        </is>
      </c>
      <c r="AA1147" s="0" t="inlineStr">
        <is>
          <t>N/A</t>
        </is>
      </c>
    </row>
    <row r="1148" ht="15.75" customHeight="1" s="51">
      <c r="A1148" s="47" t="inlineStr">
        <is>
          <t>ENY-114-06</t>
        </is>
      </c>
      <c r="B1148" s="47" t="inlineStr">
        <is>
          <t>Enyo</t>
        </is>
      </c>
      <c r="C1148" s="47" t="inlineStr">
        <is>
          <t>Computer Hardware</t>
        </is>
      </c>
      <c r="D1148" s="47" t="inlineStr">
        <is>
          <t>Webcam</t>
        </is>
      </c>
      <c r="E1148" s="48" t="inlineStr">
        <is>
          <t>Enyo Titan Ultra 4K Webcam</t>
        </is>
      </c>
      <c r="F1148" s="49" t="n">
        <v>223.99</v>
      </c>
      <c r="G1148" s="47" t="inlineStr">
        <is>
          <t>the Titan Ultra; Enyo Titan Ultra; Enyoo Titan Ultra; Titan Ultra webcam</t>
        </is>
      </c>
      <c r="H1148" s="47" t="inlineStr">
        <is>
          <t>2 year limited</t>
        </is>
      </c>
      <c r="I1148" s="47" t="inlineStr">
        <is>
          <t>FCC, CE, RoHS, USB-IF Certified</t>
        </is>
      </c>
      <c r="J1148" s="47" t="inlineStr">
        <is>
          <t>N/A</t>
        </is>
      </c>
      <c r="K1148" s="47" t="inlineStr">
        <is>
          <t>N/A</t>
        </is>
      </c>
      <c r="L1148" s="47" t="inlineStr">
        <is>
          <t>N/A</t>
        </is>
      </c>
      <c r="M1148" s="47" t="inlineStr">
        <is>
          <t>3840x2160 @ 30fps, 1080p @ 60fps</t>
        </is>
      </c>
      <c r="N1148" s="47" t="inlineStr">
        <is>
          <t>USB-C (USB 3.0)</t>
        </is>
      </c>
      <c r="O1148" s="47" t="inlineStr">
        <is>
          <t>N/A</t>
        </is>
      </c>
      <c r="P1148" s="47" t="inlineStr">
        <is>
          <t>N/A</t>
        </is>
      </c>
      <c r="Q1148" s="50" t="n">
        <v>146</v>
      </c>
      <c r="R1148" s="47" t="inlineStr">
        <is>
          <t>Lighter than Phoebe Spark Ultra 4K Webcam [PHO-143-06] (146 g vs 164 g); Lower price than Hermes Lumen SE 4K Webcam [HER-103-07] ($223.99 vs $227.99)</t>
        </is>
      </c>
      <c r="S1148" s="47" t="inlineStr">
        <is>
          <t>video calls, streaming, remote work</t>
        </is>
      </c>
      <c r="T1148" s="0" t="inlineStr">
        <is>
          <t>low_stock</t>
        </is>
      </c>
      <c r="U1148" s="0" t="n">
        <v>30</v>
      </c>
      <c r="V1148" s="52" t="n">
        <v>249.99</v>
      </c>
      <c r="W1148" s="0" t="inlineStr">
        <is>
          <t>2026-09-10</t>
        </is>
      </c>
      <c r="X1148" s="0" t="inlineStr">
        <is>
          <t>N/A</t>
        </is>
      </c>
      <c r="Y1148" s="0" t="inlineStr">
        <is>
          <t>N/A</t>
        </is>
      </c>
      <c r="Z1148" s="0" t="inlineStr">
        <is>
          <t>N/A</t>
        </is>
      </c>
      <c r="AA1148" s="0" t="inlineStr">
        <is>
          <t>N/A</t>
        </is>
      </c>
    </row>
    <row r="1149" ht="15.75" customHeight="1" s="51">
      <c r="A1149" s="47" t="inlineStr">
        <is>
          <t>ENY-114-07</t>
        </is>
      </c>
      <c r="B1149" s="47" t="inlineStr">
        <is>
          <t>Enyo</t>
        </is>
      </c>
      <c r="C1149" s="47" t="inlineStr">
        <is>
          <t>Computer Hardware</t>
        </is>
      </c>
      <c r="D1149" s="47" t="inlineStr">
        <is>
          <t>Cooling</t>
        </is>
      </c>
      <c r="E1149" s="48" t="inlineStr">
        <is>
          <t>Enyo Quanta Air 360mm AIO CPU Cooler</t>
        </is>
      </c>
      <c r="F1149" s="49" t="n">
        <v>256.99</v>
      </c>
      <c r="G1149" s="47" t="inlineStr">
        <is>
          <t>the Quanta Air; Enyo Quanta Air; Ennyo Quanta Air; Quanta Air cooling</t>
        </is>
      </c>
      <c r="H1149" s="47" t="inlineStr">
        <is>
          <t>6 year limited</t>
        </is>
      </c>
      <c r="I1149" s="47" t="inlineStr">
        <is>
          <t>FCC, CE, RoHS</t>
        </is>
      </c>
      <c r="J1149" s="47" t="inlineStr">
        <is>
          <t>N/A</t>
        </is>
      </c>
      <c r="K1149" s="47" t="inlineStr">
        <is>
          <t>N/A</t>
        </is>
      </c>
      <c r="L1149" s="47" t="inlineStr">
        <is>
          <t>IPS pump-head screen</t>
        </is>
      </c>
      <c r="M1149" s="47" t="inlineStr">
        <is>
          <t>480x480</t>
        </is>
      </c>
      <c r="N1149" s="47" t="inlineStr">
        <is>
          <t>3x 4-pin PWM fans, 3-pin pump header, ARGB 5V; LGA1700/LGA1851/AM5 mounts</t>
        </is>
      </c>
      <c r="O1149" s="47" t="inlineStr">
        <is>
          <t>N/A</t>
        </is>
      </c>
      <c r="P1149" s="47" t="inlineStr">
        <is>
          <t>N/A</t>
        </is>
      </c>
      <c r="Q1149" s="50" t="n">
        <v>2077</v>
      </c>
      <c r="R1149" s="47" t="inlineStr">
        <is>
          <t>Lower price than Euterpe Drift Lite 360mm AIO CPU Cooler [EUT-120-05] ($256.99 vs $257.99)</t>
        </is>
      </c>
      <c r="S1149" s="47" t="inlineStr">
        <is>
          <t>overclocking, gaming, quiet builds</t>
        </is>
      </c>
      <c r="T1149" s="0" t="inlineStr">
        <is>
          <t>in_stock</t>
        </is>
      </c>
      <c r="U1149" s="0" t="n">
        <v>30</v>
      </c>
      <c r="V1149" s="52" t="n">
        <v>274.99</v>
      </c>
      <c r="W1149" s="0" t="inlineStr">
        <is>
          <t>2026-09-05</t>
        </is>
      </c>
      <c r="X1149" s="0" t="inlineStr">
        <is>
          <t>N/A</t>
        </is>
      </c>
      <c r="Y1149" s="0" t="inlineStr">
        <is>
          <t>N/A</t>
        </is>
      </c>
      <c r="Z1149" s="0" t="inlineStr">
        <is>
          <t>N/A</t>
        </is>
      </c>
      <c r="AA1149" s="0" t="inlineStr">
        <is>
          <t>N/A</t>
        </is>
      </c>
    </row>
    <row r="1150" ht="15.75" customHeight="1" s="51">
      <c r="A1150" s="47" t="inlineStr">
        <is>
          <t>ENY-114-08</t>
        </is>
      </c>
      <c r="B1150" s="47" t="inlineStr">
        <is>
          <t>Enyo</t>
        </is>
      </c>
      <c r="C1150" s="47" t="inlineStr">
        <is>
          <t>Computer Hardware</t>
        </is>
      </c>
      <c r="D1150" s="47" t="inlineStr">
        <is>
          <t>Motherboard</t>
        </is>
      </c>
      <c r="E1150" s="48" t="inlineStr">
        <is>
          <t>Enyo Volt Air ATX Motherboard</t>
        </is>
      </c>
      <c r="F1150" s="49" t="n">
        <v>491.99</v>
      </c>
      <c r="G1150" s="47" t="inlineStr">
        <is>
          <t>the Volt Air; Enyo Volt Air; Eny Volt Air; Volt Air motherboard</t>
        </is>
      </c>
      <c r="H1150" s="47" t="inlineStr">
        <is>
          <t>3 year limited</t>
        </is>
      </c>
      <c r="I1150" s="47" t="inlineStr">
        <is>
          <t>FCC, CE, RoHS</t>
        </is>
      </c>
      <c r="J1150" s="47" t="inlineStr">
        <is>
          <t>Supports AMD Ryzen 7000/8000/9000 (Socket AM5)</t>
        </is>
      </c>
      <c r="K1150" s="47" t="inlineStr">
        <is>
          <t>N/A</t>
        </is>
      </c>
      <c r="L1150" s="47" t="inlineStr">
        <is>
          <t>N/A</t>
        </is>
      </c>
      <c r="M1150" s="47" t="inlineStr">
        <is>
          <t>N/A</t>
        </is>
      </c>
      <c r="N1150" s="47" t="inlineStr">
        <is>
          <t>Rear I/O: USB4 (2x USB-C 40Gbps), 10x USB-A, 10GbE + 2.5GbE, Wi-Fi 7</t>
        </is>
      </c>
      <c r="O1150" s="47" t="inlineStr">
        <is>
          <t>N/A</t>
        </is>
      </c>
      <c r="P1150" s="47" t="inlineStr">
        <is>
          <t>N/A</t>
        </is>
      </c>
      <c r="Q1150" s="50" t="n">
        <v>1285</v>
      </c>
      <c r="R1150" s="47" t="inlineStr">
        <is>
          <t>Lighter than Phoebe Nova X ATX Motherboard [PHO-143-08] (1,285 g vs 1,680 g); Lower price than Bia Nimbus Air ATX Motherboard [BIA-107-10] ($491.99 vs $578.99)</t>
        </is>
      </c>
      <c r="S1150" s="47" t="inlineStr">
        <is>
          <t>PC building, gaming, workstation builds</t>
        </is>
      </c>
      <c r="T1150" s="0" t="inlineStr">
        <is>
          <t>low_stock</t>
        </is>
      </c>
      <c r="U1150" s="0" t="n">
        <v>30</v>
      </c>
      <c r="V1150" s="52" t="n">
        <v>545.99</v>
      </c>
      <c r="W1150" s="0" t="inlineStr">
        <is>
          <t>2026-08-31</t>
        </is>
      </c>
      <c r="X1150" s="0" t="inlineStr">
        <is>
          <t>N/A</t>
        </is>
      </c>
      <c r="Y1150" s="0" t="inlineStr">
        <is>
          <t>N/A</t>
        </is>
      </c>
      <c r="Z1150" s="0" t="inlineStr">
        <is>
          <t>N/A</t>
        </is>
      </c>
      <c r="AA1150" s="0" t="inlineStr">
        <is>
          <t>N/A</t>
        </is>
      </c>
    </row>
    <row r="1151" ht="15.75" customHeight="1" s="51">
      <c r="A1151" s="47" t="inlineStr">
        <is>
          <t>ENY-114-09</t>
        </is>
      </c>
      <c r="B1151" s="47" t="inlineStr">
        <is>
          <t>Enyo</t>
        </is>
      </c>
      <c r="C1151" s="47" t="inlineStr">
        <is>
          <t>Computer Hardware</t>
        </is>
      </c>
      <c r="D1151" s="47" t="inlineStr">
        <is>
          <t>Monitor</t>
        </is>
      </c>
      <c r="E1151" s="48" t="inlineStr">
        <is>
          <t>Enyo Axis X 27" 1440p Monitor</t>
        </is>
      </c>
      <c r="F1151" s="49" t="n">
        <v>496.99</v>
      </c>
      <c r="G1151" s="47" t="inlineStr">
        <is>
          <t>the Axis X; Enyo Axis X; Enio Axis X; Axis X monitor</t>
        </is>
      </c>
      <c r="H1151" s="47" t="inlineStr">
        <is>
          <t>3 year limited</t>
        </is>
      </c>
      <c r="I1151" s="47" t="inlineStr">
        <is>
          <t>FCC, CE, RoHS, Energy Star, TUV Rheinland Low Blue Light, VESA DisplayHDR 600</t>
        </is>
      </c>
      <c r="J1151" s="47" t="inlineStr">
        <is>
          <t>N/A</t>
        </is>
      </c>
      <c r="K1151" s="47" t="inlineStr">
        <is>
          <t>N/A</t>
        </is>
      </c>
      <c r="L1151" s="47" t="inlineStr">
        <is>
          <t>IPS, 180Hz</t>
        </is>
      </c>
      <c r="M1151" s="47" t="inlineStr">
        <is>
          <t>2560x1440</t>
        </is>
      </c>
      <c r="N1151" s="47" t="inlineStr">
        <is>
          <t>2x HDMI 2.1, 1x DisplayPort 1.4, USB-C 90W, USB hub</t>
        </is>
      </c>
      <c r="O1151" s="47" t="inlineStr">
        <is>
          <t>N/A</t>
        </is>
      </c>
      <c r="P1151" s="47" t="inlineStr">
        <is>
          <t>N/A</t>
        </is>
      </c>
      <c r="Q1151" s="50" t="n">
        <v>6703</v>
      </c>
      <c r="R1151" s="47" t="inlineStr">
        <is>
          <t>Lighter than Hera Vertex Air 27" 1440p Monitor [HER-129-08] (6,703 g vs 7,097 g); Lower price than Iris Volt Ultra 27" 1440p Monitor [IRI-130-09] ($496.99 vs $540.99)</t>
        </is>
      </c>
      <c r="S1151" s="47" t="inlineStr">
        <is>
          <t>gaming, office, content creation</t>
        </is>
      </c>
      <c r="T1151" s="0" t="inlineStr">
        <is>
          <t>in_stock</t>
        </is>
      </c>
      <c r="U1151" s="0" t="n">
        <v>30</v>
      </c>
      <c r="V1151" s="52" t="n">
        <v>536.99</v>
      </c>
      <c r="W1151" s="0" t="inlineStr">
        <is>
          <t>2026-08-28</t>
        </is>
      </c>
      <c r="X1151" s="0" t="inlineStr">
        <is>
          <t>N/A</t>
        </is>
      </c>
      <c r="Y1151" s="0" t="inlineStr">
        <is>
          <t>N/A</t>
        </is>
      </c>
      <c r="Z1151" s="0" t="inlineStr">
        <is>
          <t>N/A</t>
        </is>
      </c>
      <c r="AA1151" s="0" t="inlineStr">
        <is>
          <t>N/A</t>
        </is>
      </c>
    </row>
    <row r="1152" ht="15.75" customHeight="1" s="51">
      <c r="A1152" s="47" t="inlineStr">
        <is>
          <t>ENY-114-10</t>
        </is>
      </c>
      <c r="B1152" s="47" t="inlineStr">
        <is>
          <t>Enyo</t>
        </is>
      </c>
      <c r="C1152" s="47" t="inlineStr">
        <is>
          <t>Computer Hardware</t>
        </is>
      </c>
      <c r="D1152" s="47" t="inlineStr">
        <is>
          <t>Graphics Card</t>
        </is>
      </c>
      <c r="E1152" s="48" t="inlineStr">
        <is>
          <t>Enyo Strata Lite Graphics Card</t>
        </is>
      </c>
      <c r="F1152" s="49" t="n">
        <v>862.99</v>
      </c>
      <c r="G1152" s="47" t="inlineStr">
        <is>
          <t>the Strata Lite; Enyo Strata Lite; Eny Strata Lite; Strata Lite graphics card</t>
        </is>
      </c>
      <c r="H1152" s="47" t="inlineStr">
        <is>
          <t>3 year limited</t>
        </is>
      </c>
      <c r="I1152" s="47" t="inlineStr">
        <is>
          <t>FCC, CE, RoHS</t>
        </is>
      </c>
      <c r="J1152" s="47" t="inlineStr">
        <is>
          <t>N/A</t>
        </is>
      </c>
      <c r="K1152" s="47" t="inlineStr">
        <is>
          <t>NVIDIA GeForce RTX 4080 Super 16GB (Enyo Strata edition)</t>
        </is>
      </c>
      <c r="L1152" s="47" t="inlineStr">
        <is>
          <t>N/A</t>
        </is>
      </c>
      <c r="M1152" s="47" t="inlineStr">
        <is>
          <t>N/A</t>
        </is>
      </c>
      <c r="N1152" s="47" t="inlineStr">
        <is>
          <t>3x DisplayPort 1.4a, 1x HDMI 2.1a</t>
        </is>
      </c>
      <c r="O1152" s="47" t="inlineStr">
        <is>
          <t>N/A</t>
        </is>
      </c>
      <c r="P1152" s="47" t="inlineStr">
        <is>
          <t>N/A</t>
        </is>
      </c>
      <c r="Q1152" s="50" t="n">
        <v>2102</v>
      </c>
      <c r="R1152" s="47" t="inlineStr">
        <is>
          <t>Lower price than Eucleia Nimbus Pro Graphics Card [EUC-124-10] ($862.99 vs $1,993.99); Lighter than Euterpe Volt Ultra Graphics Card [EUT-120-10] (2,102 g vs 2,192 g)</t>
        </is>
      </c>
      <c r="S1152" s="47" t="inlineStr">
        <is>
          <t>gaming, 3D rendering, AI workloads</t>
        </is>
      </c>
      <c r="T1152" s="0" t="inlineStr">
        <is>
          <t>in_stock</t>
        </is>
      </c>
      <c r="U1152" s="0" t="n">
        <v>30</v>
      </c>
      <c r="V1152" s="52" t="n">
        <v>970.99</v>
      </c>
      <c r="W1152" s="0" t="inlineStr">
        <is>
          <t>2026-09-13</t>
        </is>
      </c>
      <c r="X1152" s="0" t="inlineStr">
        <is>
          <t>N/A</t>
        </is>
      </c>
      <c r="Y1152" s="0" t="inlineStr">
        <is>
          <t>N/A</t>
        </is>
      </c>
      <c r="Z1152" s="0" t="inlineStr">
        <is>
          <t>N/A</t>
        </is>
      </c>
      <c r="AA1152" s="0" t="inlineStr">
        <is>
          <t>N/A</t>
        </is>
      </c>
    </row>
    <row r="1153" ht="15.75" customHeight="1" s="51">
      <c r="A1153" s="47" t="inlineStr">
        <is>
          <t>NYX-115-01</t>
        </is>
      </c>
      <c r="B1153" s="47" t="inlineStr">
        <is>
          <t>Nyx</t>
        </is>
      </c>
      <c r="C1153" s="47" t="inlineStr">
        <is>
          <t>Computer Hardware</t>
        </is>
      </c>
      <c r="D1153" s="47" t="inlineStr">
        <is>
          <t>Networking</t>
        </is>
      </c>
      <c r="E1153" s="48" t="inlineStr">
        <is>
          <t>Nyx Halo Plus Wi-Fi 7 PCIe Card</t>
        </is>
      </c>
      <c r="F1153" s="49" t="n">
        <v>55.99</v>
      </c>
      <c r="G1153" s="47" t="inlineStr">
        <is>
          <t>the Halo Plus; Nyx Halo Plus; Nyxx Halo Plus; Halo Plus networking</t>
        </is>
      </c>
      <c r="H1153" s="47" t="inlineStr">
        <is>
          <t>2 year limited</t>
        </is>
      </c>
      <c r="I1153" s="47" t="inlineStr">
        <is>
          <t>FCC, CE, RoHS, Wi-Fi CERTIFIED 7, Bluetooth SIG Qualified</t>
        </is>
      </c>
      <c r="J1153" s="47" t="inlineStr">
        <is>
          <t>Chipset: Qualcomm FastConnect 7800</t>
        </is>
      </c>
      <c r="K1153" s="47" t="inlineStr">
        <is>
          <t>N/A</t>
        </is>
      </c>
      <c r="L1153" s="47" t="inlineStr">
        <is>
          <t>N/A</t>
        </is>
      </c>
      <c r="M1153" s="47" t="inlineStr">
        <is>
          <t>N/A</t>
        </is>
      </c>
      <c r="N1153" s="47" t="inlineStr">
        <is>
          <t>PCIe x1, internal USB 2.0 header (Bluetooth 5.4), 2x external antennas</t>
        </is>
      </c>
      <c r="O1153" s="47" t="inlineStr">
        <is>
          <t>N/A</t>
        </is>
      </c>
      <c r="P1153" s="47" t="inlineStr">
        <is>
          <t>N/A</t>
        </is>
      </c>
      <c r="Q1153" s="50" t="n">
        <v>62</v>
      </c>
      <c r="R1153" s="47" t="inlineStr">
        <is>
          <t>Lighter than Zelus Apex Pro Wi-Fi 7 PCIe Card [ZEL-137-01] (62 g vs 69 g); Lower price than Psyche Rift SE Wi-Fi 7 PCIe Card [PSY-144-02] ($55.99 vs $96.99)</t>
        </is>
      </c>
      <c r="S1153" s="47" t="inlineStr">
        <is>
          <t>gaming, streaming, PC building</t>
        </is>
      </c>
      <c r="T1153" s="0" t="inlineStr">
        <is>
          <t>low_stock</t>
        </is>
      </c>
      <c r="U1153" s="0" t="n">
        <v>30</v>
      </c>
      <c r="V1153" s="52" t="n">
        <v>63.99</v>
      </c>
      <c r="W1153" s="0" t="inlineStr">
        <is>
          <t>2026-08-12</t>
        </is>
      </c>
      <c r="X1153" s="0" t="inlineStr">
        <is>
          <t>N/A</t>
        </is>
      </c>
      <c r="Y1153" s="0" t="inlineStr">
        <is>
          <t>N/A</t>
        </is>
      </c>
      <c r="Z1153" s="0" t="inlineStr">
        <is>
          <t>N/A</t>
        </is>
      </c>
      <c r="AA1153" s="0" t="inlineStr">
        <is>
          <t>N/A</t>
        </is>
      </c>
    </row>
    <row r="1154" ht="15.75" customHeight="1" s="51">
      <c r="A1154" s="47" t="inlineStr">
        <is>
          <t>NYX-115-02</t>
        </is>
      </c>
      <c r="B1154" s="47" t="inlineStr">
        <is>
          <t>Nyx</t>
        </is>
      </c>
      <c r="C1154" s="47" t="inlineStr">
        <is>
          <t>Computer Hardware</t>
        </is>
      </c>
      <c r="D1154" s="47" t="inlineStr">
        <is>
          <t>PC Case</t>
        </is>
      </c>
      <c r="E1154" s="48" t="inlineStr">
        <is>
          <t>Nyx Strata Lite Mid-Tower PC Case</t>
        </is>
      </c>
      <c r="F1154" s="49" t="n">
        <v>71.98999999999999</v>
      </c>
      <c r="G1154" s="47" t="inlineStr">
        <is>
          <t>the Strata Lite; Nyx Strata Lite; Nyyx Strata Lite; Strata Lite pc case</t>
        </is>
      </c>
      <c r="H1154" s="47" t="inlineStr">
        <is>
          <t>2 year limited</t>
        </is>
      </c>
      <c r="I1154" s="47" t="inlineStr">
        <is>
          <t>FCC, CE, RoHS, UL 94 V-0 (materials)</t>
        </is>
      </c>
      <c r="J1154" s="47" t="inlineStr">
        <is>
          <t>N/A</t>
        </is>
      </c>
      <c r="K1154" s="47" t="inlineStr">
        <is>
          <t>N/A</t>
        </is>
      </c>
      <c r="L1154" s="47" t="inlineStr">
        <is>
          <t>N/A</t>
        </is>
      </c>
      <c r="M1154" s="47" t="inlineStr">
        <is>
          <t>N/A</t>
        </is>
      </c>
      <c r="N1154" s="47" t="inlineStr">
        <is>
          <t>Front I/O: 1x USB-C 10Gbps, 2x USB-A 3.0, 3.5mm combo audio</t>
        </is>
      </c>
      <c r="O1154" s="47" t="inlineStr">
        <is>
          <t>N/A</t>
        </is>
      </c>
      <c r="P1154" s="47" t="inlineStr">
        <is>
          <t>N/A</t>
        </is>
      </c>
      <c r="Q1154" s="50" t="n">
        <v>8441</v>
      </c>
      <c r="R1154" s="47" t="inlineStr">
        <is>
          <t>Lower price than Perses Orbit Plus Mid-Tower PC Case [PER-101-05] ($71.99 vs $178.99); Lighter than Bia Titan Mid-Tower PC Case [BIA-107-02] (8,441 g vs 8,613 g)</t>
        </is>
      </c>
      <c r="S1154" s="47" t="inlineStr">
        <is>
          <t>PC building, gaming</t>
        </is>
      </c>
      <c r="T1154" s="0" t="inlineStr">
        <is>
          <t>low_stock</t>
        </is>
      </c>
      <c r="U1154" s="0" t="n">
        <v>30</v>
      </c>
      <c r="V1154" s="52" t="n">
        <v>74.98999999999999</v>
      </c>
      <c r="W1154" s="0" t="inlineStr">
        <is>
          <t>2026-08-08</t>
        </is>
      </c>
      <c r="X1154" s="0" t="inlineStr">
        <is>
          <t>N/A</t>
        </is>
      </c>
      <c r="Y1154" s="0" t="inlineStr">
        <is>
          <t>N/A</t>
        </is>
      </c>
      <c r="Z1154" s="0" t="inlineStr">
        <is>
          <t>N/A</t>
        </is>
      </c>
      <c r="AA1154" s="0" t="inlineStr">
        <is>
          <t>N/A</t>
        </is>
      </c>
    </row>
    <row r="1155" ht="15.75" customHeight="1" s="51">
      <c r="A1155" s="47" t="inlineStr">
        <is>
          <t>NYX-115-03</t>
        </is>
      </c>
      <c r="B1155" s="47" t="inlineStr">
        <is>
          <t>Nyx</t>
        </is>
      </c>
      <c r="C1155" s="47" t="inlineStr">
        <is>
          <t>Computer Hardware</t>
        </is>
      </c>
      <c r="D1155" s="47" t="inlineStr">
        <is>
          <t>Case Fans</t>
        </is>
      </c>
      <c r="E1155" s="48" t="inlineStr">
        <is>
          <t>Nyx Strata RGB Case Fan 3-Pack</t>
        </is>
      </c>
      <c r="F1155" s="49" t="n">
        <v>87.98999999999999</v>
      </c>
      <c r="G1155" s="47" t="inlineStr">
        <is>
          <t>the Strata; Nyx Strata; Nyks Strata; Strata case fans</t>
        </is>
      </c>
      <c r="H1155" s="47" t="inlineStr">
        <is>
          <t>2 year limited</t>
        </is>
      </c>
      <c r="I1155" s="47" t="inlineStr">
        <is>
          <t>FCC, CE, RoHS</t>
        </is>
      </c>
      <c r="J1155" s="47" t="inlineStr">
        <is>
          <t>N/A</t>
        </is>
      </c>
      <c r="K1155" s="47" t="inlineStr">
        <is>
          <t>N/A</t>
        </is>
      </c>
      <c r="L1155" s="47" t="inlineStr">
        <is>
          <t>N/A</t>
        </is>
      </c>
      <c r="M1155" s="47" t="inlineStr">
        <is>
          <t>N/A</t>
        </is>
      </c>
      <c r="N1155" s="47" t="inlineStr">
        <is>
          <t>4-pin PWM, 3-pin 5V ARGB, daisy-chain connectors</t>
        </is>
      </c>
      <c r="O1155" s="47" t="inlineStr">
        <is>
          <t>N/A</t>
        </is>
      </c>
      <c r="P1155" s="47" t="inlineStr">
        <is>
          <t>N/A</t>
        </is>
      </c>
      <c r="Q1155" s="50" t="n">
        <v>466</v>
      </c>
      <c r="R1155" s="47" t="inlineStr">
        <is>
          <t>Lighter than Eucleia Halo RGB Case Fan 3-Pack [EUC-124-01] (466 g vs 519 g); Lower price than Eos Nimbus RGB Case Fan 3-Pack [EOS-111-01] ($87.99 vs $92.99)</t>
        </is>
      </c>
      <c r="S1155" s="47" t="inlineStr">
        <is>
          <t>PC building, cooling, RGB builds</t>
        </is>
      </c>
      <c r="T1155" s="0" t="inlineStr">
        <is>
          <t>in_stock</t>
        </is>
      </c>
      <c r="U1155" s="0" t="n">
        <v>30</v>
      </c>
      <c r="V1155" s="52" t="n">
        <v>100.99</v>
      </c>
      <c r="W1155" s="0" t="inlineStr">
        <is>
          <t>2026-08-20</t>
        </is>
      </c>
      <c r="X1155" s="0" t="inlineStr">
        <is>
          <t>N/A</t>
        </is>
      </c>
      <c r="Y1155" s="0" t="inlineStr">
        <is>
          <t>N/A</t>
        </is>
      </c>
      <c r="Z1155" s="0" t="inlineStr">
        <is>
          <t>N/A</t>
        </is>
      </c>
      <c r="AA1155" s="0" t="inlineStr">
        <is>
          <t>N/A</t>
        </is>
      </c>
    </row>
    <row r="1156" ht="15.75" customHeight="1" s="51">
      <c r="A1156" s="47" t="inlineStr">
        <is>
          <t>NYX-115-04</t>
        </is>
      </c>
      <c r="B1156" s="47" t="inlineStr">
        <is>
          <t>Nyx</t>
        </is>
      </c>
      <c r="C1156" s="47" t="inlineStr">
        <is>
          <t>Computer Hardware</t>
        </is>
      </c>
      <c r="D1156" s="47" t="inlineStr">
        <is>
          <t>Storage</t>
        </is>
      </c>
      <c r="E1156" s="48" t="inlineStr">
        <is>
          <t>Nyx Flux SE 4TB External Hard Drive</t>
        </is>
      </c>
      <c r="F1156" s="49" t="n">
        <v>152.99</v>
      </c>
      <c r="G1156" s="47" t="inlineStr">
        <is>
          <t>the Flux SE; Nyx Flux SE; Nyks Flux SE; Flux SE storage</t>
        </is>
      </c>
      <c r="H1156" s="47" t="inlineStr">
        <is>
          <t>2 year limited</t>
        </is>
      </c>
      <c r="I1156" s="47" t="inlineStr">
        <is>
          <t>FCC, CE, RoHS, USB-IF Certified</t>
        </is>
      </c>
      <c r="J1156" s="47" t="inlineStr">
        <is>
          <t>N/A</t>
        </is>
      </c>
      <c r="K1156" s="47" t="inlineStr">
        <is>
          <t>N/A</t>
        </is>
      </c>
      <c r="L1156" s="47" t="inlineStr">
        <is>
          <t>N/A</t>
        </is>
      </c>
      <c r="M1156" s="47" t="inlineStr">
        <is>
          <t>N/A</t>
        </is>
      </c>
      <c r="N1156" s="47" t="inlineStr">
        <is>
          <t>USB-C (USB 3.2 Gen 1)</t>
        </is>
      </c>
      <c r="O1156" s="47" t="inlineStr">
        <is>
          <t>N/A</t>
        </is>
      </c>
      <c r="P1156" s="47" t="inlineStr">
        <is>
          <t>N/A</t>
        </is>
      </c>
      <c r="Q1156" s="50" t="n">
        <v>256</v>
      </c>
      <c r="R1156" s="47" t="inlineStr">
        <is>
          <t>Lower price than Ares Apex SE 4TB External Hard Drive [ARE-140-06] ($152.99 vs $187.99); Lighter than Thalassa Drift Lite 4TB External Hard Drive [THA-126-06] (256 g vs 257 g)</t>
        </is>
      </c>
      <c r="S1156" s="47" t="inlineStr">
        <is>
          <t>backup, media storage</t>
        </is>
      </c>
      <c r="T1156" s="0" t="inlineStr">
        <is>
          <t>in_stock</t>
        </is>
      </c>
      <c r="U1156" s="0" t="n">
        <v>30</v>
      </c>
      <c r="V1156" s="52" t="n">
        <v>172.99</v>
      </c>
      <c r="W1156" s="0" t="inlineStr">
        <is>
          <t>2026-08-12</t>
        </is>
      </c>
      <c r="X1156" s="0" t="inlineStr">
        <is>
          <t>N/A</t>
        </is>
      </c>
      <c r="Y1156" s="0" t="inlineStr">
        <is>
          <t>N/A</t>
        </is>
      </c>
      <c r="Z1156" s="0" t="inlineStr">
        <is>
          <t>N/A</t>
        </is>
      </c>
      <c r="AA1156" s="0" t="inlineStr">
        <is>
          <t>N/A</t>
        </is>
      </c>
    </row>
    <row r="1157" ht="15.75" customHeight="1" s="51">
      <c r="A1157" s="47" t="inlineStr">
        <is>
          <t>NYX-115-05</t>
        </is>
      </c>
      <c r="B1157" s="47" t="inlineStr">
        <is>
          <t>Nyx</t>
        </is>
      </c>
      <c r="C1157" s="47" t="inlineStr">
        <is>
          <t>Computer Hardware</t>
        </is>
      </c>
      <c r="D1157" s="47" t="inlineStr">
        <is>
          <t>Power Supply</t>
        </is>
      </c>
      <c r="E1157" s="48" t="inlineStr">
        <is>
          <t>Nyx Quanta Pro 850W Power Supply</t>
        </is>
      </c>
      <c r="F1157" s="49" t="n">
        <v>208.99</v>
      </c>
      <c r="G1157" s="47" t="inlineStr">
        <is>
          <t>the Quanta Pro; Nyx Quanta Pro; Nix Quanta Pro; Quanta Pro power supply</t>
        </is>
      </c>
      <c r="H1157" s="47" t="inlineStr">
        <is>
          <t>10 year limited</t>
        </is>
      </c>
      <c r="I1157" s="47" t="inlineStr">
        <is>
          <t>FCC, CE, RoHS, 80 PLUS Titanium, UL Listed</t>
        </is>
      </c>
      <c r="J1157" s="47" t="inlineStr">
        <is>
          <t>N/A</t>
        </is>
      </c>
      <c r="K1157" s="47" t="inlineStr">
        <is>
          <t>N/A</t>
        </is>
      </c>
      <c r="L1157" s="47" t="inlineStr">
        <is>
          <t>N/A</t>
        </is>
      </c>
      <c r="M1157" s="47" t="inlineStr">
        <is>
          <t>N/A</t>
        </is>
      </c>
      <c r="N1157" s="47" t="inlineStr">
        <is>
          <t>ATX 3.1, native 12V-2x6 (600W) connector, fully modular</t>
        </is>
      </c>
      <c r="O1157" s="47" t="inlineStr">
        <is>
          <t>N/A</t>
        </is>
      </c>
      <c r="P1157" s="47" t="inlineStr">
        <is>
          <t>N/A</t>
        </is>
      </c>
      <c r="Q1157" s="50" t="n">
        <v>2184</v>
      </c>
      <c r="R1157" s="47" t="inlineStr">
        <is>
          <t>Lighter than Artemis Spark Ultra 850W Power Supply [ART-150-07] (2,184 g vs 2,209 g); Lower price than Hera Sable X 850W Power Supply [HER-129-05] ($208.99 vs $213.99)</t>
        </is>
      </c>
      <c r="S1157" s="47" t="inlineStr">
        <is>
          <t>PC building, high-end gaming</t>
        </is>
      </c>
      <c r="T1157" s="0" t="inlineStr">
        <is>
          <t>in_stock</t>
        </is>
      </c>
      <c r="U1157" s="0" t="n">
        <v>30</v>
      </c>
      <c r="V1157" s="52" t="n">
        <v>222.99</v>
      </c>
      <c r="W1157" s="0" t="inlineStr">
        <is>
          <t>2026-08-24</t>
        </is>
      </c>
      <c r="X1157" s="0" t="inlineStr">
        <is>
          <t>N/A</t>
        </is>
      </c>
      <c r="Y1157" s="0" t="inlineStr">
        <is>
          <t>N/A</t>
        </is>
      </c>
      <c r="Z1157" s="0" t="inlineStr">
        <is>
          <t>N/A</t>
        </is>
      </c>
      <c r="AA1157" s="0" t="inlineStr">
        <is>
          <t>N/A</t>
        </is>
      </c>
    </row>
    <row r="1158" ht="15.75" customHeight="1" s="51">
      <c r="A1158" s="47" t="inlineStr">
        <is>
          <t>NYX-115-06</t>
        </is>
      </c>
      <c r="B1158" s="47" t="inlineStr">
        <is>
          <t>Nyx</t>
        </is>
      </c>
      <c r="C1158" s="47" t="inlineStr">
        <is>
          <t>Computer Hardware</t>
        </is>
      </c>
      <c r="D1158" s="47" t="inlineStr">
        <is>
          <t>Memory</t>
        </is>
      </c>
      <c r="E1158" s="48" t="inlineStr">
        <is>
          <t>Nyx Crest 32GB DDR5 RAM Kit</t>
        </is>
      </c>
      <c r="F1158" s="49" t="n">
        <v>226.99</v>
      </c>
      <c r="G1158" s="47" t="inlineStr">
        <is>
          <t>the Crest; Nyx Crest; Nyxx Crest; Crest memory</t>
        </is>
      </c>
      <c r="H1158" s="47" t="inlineStr">
        <is>
          <t>Limited lifetime</t>
        </is>
      </c>
      <c r="I1158" s="47" t="inlineStr">
        <is>
          <t>FCC, CE, RoHS</t>
        </is>
      </c>
      <c r="J1158" s="47" t="inlineStr">
        <is>
          <t>N/A</t>
        </is>
      </c>
      <c r="K1158" s="47" t="inlineStr">
        <is>
          <t>N/A</t>
        </is>
      </c>
      <c r="L1158" s="47" t="inlineStr">
        <is>
          <t>N/A</t>
        </is>
      </c>
      <c r="M1158" s="47" t="inlineStr">
        <is>
          <t>N/A</t>
        </is>
      </c>
      <c r="N1158" s="47" t="inlineStr">
        <is>
          <t>2x 16GB DDR5 288-pin DIMM, 7200 MT/s</t>
        </is>
      </c>
      <c r="O1158" s="47" t="inlineStr">
        <is>
          <t>N/A</t>
        </is>
      </c>
      <c r="P1158" s="47" t="inlineStr">
        <is>
          <t>N/A</t>
        </is>
      </c>
      <c r="Q1158" s="50" t="n">
        <v>60</v>
      </c>
      <c r="R1158" s="47" t="inlineStr">
        <is>
          <t>Lighter than Eucleia Volt 32GB DDR5 RAM Kit [EUC-124-08] (60 g vs 90 g); Lower price than Ares Titan 32GB DDR5 RAM Kit [ARE-140-08] ($226.99 vs $232.99)</t>
        </is>
      </c>
      <c r="S1158" s="47" t="inlineStr">
        <is>
          <t>gaming, multitasking, PC building</t>
        </is>
      </c>
      <c r="T1158" s="0" t="inlineStr">
        <is>
          <t>in_stock</t>
        </is>
      </c>
      <c r="U1158" s="0" t="n">
        <v>30</v>
      </c>
      <c r="V1158" s="52" t="n">
        <v>250.99</v>
      </c>
      <c r="W1158" s="0" t="inlineStr">
        <is>
          <t>2026-08-26</t>
        </is>
      </c>
      <c r="X1158" s="0" t="inlineStr">
        <is>
          <t>N/A</t>
        </is>
      </c>
      <c r="Y1158" s="0" t="inlineStr">
        <is>
          <t>N/A</t>
        </is>
      </c>
      <c r="Z1158" s="0" t="inlineStr">
        <is>
          <t>N/A</t>
        </is>
      </c>
      <c r="AA1158" s="0" t="inlineStr">
        <is>
          <t>N/A</t>
        </is>
      </c>
    </row>
    <row r="1159" ht="15.75" customHeight="1" s="51">
      <c r="A1159" s="47" t="inlineStr">
        <is>
          <t>NYX-115-07</t>
        </is>
      </c>
      <c r="B1159" s="47" t="inlineStr">
        <is>
          <t>Nyx</t>
        </is>
      </c>
      <c r="C1159" s="47" t="inlineStr">
        <is>
          <t>Computer Hardware</t>
        </is>
      </c>
      <c r="D1159" s="47" t="inlineStr">
        <is>
          <t>Storage</t>
        </is>
      </c>
      <c r="E1159" s="48" t="inlineStr">
        <is>
          <t>Nyx Prism SE 2TB NVMe SSD</t>
        </is>
      </c>
      <c r="F1159" s="49" t="n">
        <v>233.99</v>
      </c>
      <c r="G1159" s="47" t="inlineStr">
        <is>
          <t>the Prism SE; Nyx Prism SE; Nyyx Prism SE; Prism SE storage</t>
        </is>
      </c>
      <c r="H1159" s="47" t="inlineStr">
        <is>
          <t>5 year limited</t>
        </is>
      </c>
      <c r="I1159" s="47" t="inlineStr">
        <is>
          <t>FCC, CE, RoHS</t>
        </is>
      </c>
      <c r="J1159" s="47" t="inlineStr">
        <is>
          <t>Controller: Phison E26</t>
        </is>
      </c>
      <c r="K1159" s="47" t="inlineStr">
        <is>
          <t>N/A</t>
        </is>
      </c>
      <c r="L1159" s="47" t="inlineStr">
        <is>
          <t>N/A</t>
        </is>
      </c>
      <c r="M1159" s="47" t="inlineStr">
        <is>
          <t>N/A</t>
        </is>
      </c>
      <c r="N1159" s="47" t="inlineStr">
        <is>
          <t>M.2 2280, PCIe 4.0 x4 NVMe</t>
        </is>
      </c>
      <c r="O1159" s="47" t="inlineStr">
        <is>
          <t>N/A</t>
        </is>
      </c>
      <c r="P1159" s="47" t="inlineStr">
        <is>
          <t>N/A</t>
        </is>
      </c>
      <c r="Q1159" s="50" t="n">
        <v>18</v>
      </c>
      <c r="R1159" s="47" t="inlineStr">
        <is>
          <t>Lower price than Thalassa Rift Air 2TB NVMe SSD [THA-126-09] ($233.99 vs $286.99); Lighter than Kairos Apex SE 2TB NVMe SSD [KAI-142-07] (18 g vs 25 g)</t>
        </is>
      </c>
      <c r="S1159" s="47" t="inlineStr">
        <is>
          <t>gaming, fast boot, content creation</t>
        </is>
      </c>
      <c r="T1159" s="0" t="inlineStr">
        <is>
          <t>in_stock</t>
        </is>
      </c>
      <c r="U1159" s="0" t="n">
        <v>30</v>
      </c>
      <c r="V1159" s="52" t="n">
        <v>266.99</v>
      </c>
      <c r="W1159" s="0" t="inlineStr">
        <is>
          <t>2026-08-31</t>
        </is>
      </c>
      <c r="X1159" s="0" t="inlineStr">
        <is>
          <t>N/A</t>
        </is>
      </c>
      <c r="Y1159" s="0" t="inlineStr">
        <is>
          <t>N/A</t>
        </is>
      </c>
      <c r="Z1159" s="0" t="inlineStr">
        <is>
          <t>N/A</t>
        </is>
      </c>
      <c r="AA1159" s="0" t="inlineStr">
        <is>
          <t>N/A</t>
        </is>
      </c>
    </row>
    <row r="1160" ht="15.75" customHeight="1" s="51">
      <c r="A1160" s="47" t="inlineStr">
        <is>
          <t>NYX-115-08</t>
        </is>
      </c>
      <c r="B1160" s="47" t="inlineStr">
        <is>
          <t>Nyx</t>
        </is>
      </c>
      <c r="C1160" s="47" t="inlineStr">
        <is>
          <t>Computer Hardware</t>
        </is>
      </c>
      <c r="D1160" s="47" t="inlineStr">
        <is>
          <t>Monitor</t>
        </is>
      </c>
      <c r="E1160" s="48" t="inlineStr">
        <is>
          <t>Nyx Lumen Max 27" 1440p Monitor</t>
        </is>
      </c>
      <c r="F1160" s="49" t="n">
        <v>331.99</v>
      </c>
      <c r="G1160" s="47" t="inlineStr">
        <is>
          <t>the Lumen Max; Nyx Lumen Max; Nyyx Lumen Max; Lumen Max monitor</t>
        </is>
      </c>
      <c r="H1160" s="47" t="inlineStr">
        <is>
          <t>3 year limited</t>
        </is>
      </c>
      <c r="I1160" s="47" t="inlineStr">
        <is>
          <t>FCC, CE, RoHS, Energy Star, TUV Rheinland Low Blue Light, VESA DisplayHDR 400</t>
        </is>
      </c>
      <c r="J1160" s="47" t="inlineStr">
        <is>
          <t>N/A</t>
        </is>
      </c>
      <c r="K1160" s="47" t="inlineStr">
        <is>
          <t>N/A</t>
        </is>
      </c>
      <c r="L1160" s="47" t="inlineStr">
        <is>
          <t>IPS, 165Hz</t>
        </is>
      </c>
      <c r="M1160" s="47" t="inlineStr">
        <is>
          <t>2560x1440</t>
        </is>
      </c>
      <c r="N1160" s="47" t="inlineStr">
        <is>
          <t>2x HDMI 2.1, 1x DisplayPort 1.4</t>
        </is>
      </c>
      <c r="O1160" s="47" t="inlineStr">
        <is>
          <t>N/A</t>
        </is>
      </c>
      <c r="P1160" s="47" t="inlineStr">
        <is>
          <t>N/A</t>
        </is>
      </c>
      <c r="Q1160" s="50" t="n">
        <v>5581</v>
      </c>
      <c r="R1160" s="47" t="inlineStr">
        <is>
          <t>Lower price than Themis Zen SE 27" 1440p Monitor [THE-145-10] ($331.99 vs $607.99); Lighter than Eros Quanta Pro 27" 1440p Monitor [ERO-134-09] (5,581 g vs 6,391 g)</t>
        </is>
      </c>
      <c r="S1160" s="47" t="inlineStr">
        <is>
          <t>gaming, office, content creation</t>
        </is>
      </c>
      <c r="T1160" s="0" t="inlineStr">
        <is>
          <t>in_stock</t>
        </is>
      </c>
      <c r="U1160" s="0" t="n">
        <v>30</v>
      </c>
      <c r="V1160" s="52" t="n">
        <v>371.99</v>
      </c>
      <c r="W1160" s="0" t="inlineStr">
        <is>
          <t>2026-09-04</t>
        </is>
      </c>
      <c r="X1160" s="0" t="inlineStr">
        <is>
          <t>N/A</t>
        </is>
      </c>
      <c r="Y1160" s="0" t="inlineStr">
        <is>
          <t>N/A</t>
        </is>
      </c>
      <c r="Z1160" s="0" t="inlineStr">
        <is>
          <t>N/A</t>
        </is>
      </c>
      <c r="AA1160" s="0" t="inlineStr">
        <is>
          <t>N/A</t>
        </is>
      </c>
    </row>
    <row r="1161" ht="15.75" customHeight="1" s="51">
      <c r="A1161" s="47" t="inlineStr">
        <is>
          <t>NYX-115-09</t>
        </is>
      </c>
      <c r="B1161" s="47" t="inlineStr">
        <is>
          <t>Nyx</t>
        </is>
      </c>
      <c r="C1161" s="47" t="inlineStr">
        <is>
          <t>Computer Hardware</t>
        </is>
      </c>
      <c r="D1161" s="47" t="inlineStr">
        <is>
          <t>Motherboard</t>
        </is>
      </c>
      <c r="E1161" s="48" t="inlineStr">
        <is>
          <t>Nyx Lumen Ultra ATX Motherboard</t>
        </is>
      </c>
      <c r="F1161" s="49" t="n">
        <v>357.99</v>
      </c>
      <c r="G1161" s="47" t="inlineStr">
        <is>
          <t>the Lumen Ultra; Nyx Lumen Ultra; Nyxx Lumen Ultra; Lumen Ultra motherboard</t>
        </is>
      </c>
      <c r="H1161" s="47" t="inlineStr">
        <is>
          <t>3 year limited</t>
        </is>
      </c>
      <c r="I1161" s="47" t="inlineStr">
        <is>
          <t>FCC, CE, RoHS</t>
        </is>
      </c>
      <c r="J1161" s="47" t="inlineStr">
        <is>
          <t>Supports Intel Core 12th-14th Gen (LGA1700)</t>
        </is>
      </c>
      <c r="K1161" s="47" t="inlineStr">
        <is>
          <t>N/A</t>
        </is>
      </c>
      <c r="L1161" s="47" t="inlineStr">
        <is>
          <t>N/A</t>
        </is>
      </c>
      <c r="M1161" s="47" t="inlineStr">
        <is>
          <t>N/A</t>
        </is>
      </c>
      <c r="N1161" s="47" t="inlineStr">
        <is>
          <t>Rear I/O: 1x HDMI, 1x DisplayPort, 8x USB-A, 2x USB-C 20Gbps, 2.5GbE, Wi-Fi 7</t>
        </is>
      </c>
      <c r="O1161" s="47" t="inlineStr">
        <is>
          <t>N/A</t>
        </is>
      </c>
      <c r="P1161" s="47" t="inlineStr">
        <is>
          <t>N/A</t>
        </is>
      </c>
      <c r="Q1161" s="50" t="n">
        <v>1156</v>
      </c>
      <c r="R1161" s="47" t="inlineStr">
        <is>
          <t>Lighter than Hera Wave Air ATX Motherboard [HER-129-07] (1,156 g vs 1,499 g); Lower price than Themis Nimbus X ATX Motherboard [THE-145-09] ($357.99 vs $374.99)</t>
        </is>
      </c>
      <c r="S1161" s="47" t="inlineStr">
        <is>
          <t>PC building, gaming, workstation builds</t>
        </is>
      </c>
      <c r="T1161" s="0" t="inlineStr">
        <is>
          <t>out_of_stock</t>
        </is>
      </c>
      <c r="U1161" s="0" t="n">
        <v>30</v>
      </c>
      <c r="V1161" s="52" t="n">
        <v>374.99</v>
      </c>
      <c r="W1161" s="0" t="inlineStr">
        <is>
          <t>2026-08-18</t>
        </is>
      </c>
      <c r="X1161" s="0" t="inlineStr">
        <is>
          <t>N/A</t>
        </is>
      </c>
      <c r="Y1161" s="0" t="inlineStr">
        <is>
          <t>N/A</t>
        </is>
      </c>
      <c r="Z1161" s="0" t="inlineStr">
        <is>
          <t>N/A</t>
        </is>
      </c>
      <c r="AA1161" s="0" t="inlineStr">
        <is>
          <t>N/A</t>
        </is>
      </c>
    </row>
    <row r="1162" ht="15.75" customHeight="1" s="51">
      <c r="A1162" s="47" t="inlineStr">
        <is>
          <t>NYX-115-10</t>
        </is>
      </c>
      <c r="B1162" s="47" t="inlineStr">
        <is>
          <t>Nyx</t>
        </is>
      </c>
      <c r="C1162" s="47" t="inlineStr">
        <is>
          <t>Computer Hardware</t>
        </is>
      </c>
      <c r="D1162" s="47" t="inlineStr">
        <is>
          <t>Processor</t>
        </is>
      </c>
      <c r="E1162" s="48" t="inlineStr">
        <is>
          <t>Nyx Echo X Desktop CPU</t>
        </is>
      </c>
      <c r="F1162" s="49" t="n">
        <v>609.99</v>
      </c>
      <c r="G1162" s="47" t="inlineStr">
        <is>
          <t>the Echo X; Nyx Echo X; Nyxx Echo X; Echo X processor</t>
        </is>
      </c>
      <c r="H1162" s="47" t="inlineStr">
        <is>
          <t>3 year limited</t>
        </is>
      </c>
      <c r="I1162" s="47" t="inlineStr">
        <is>
          <t>FCC, CE, RoHS</t>
        </is>
      </c>
      <c r="J1162" s="47" t="inlineStr">
        <is>
          <t>Nyx Echo 24-core / 48-thread, up to 5.6 GHz</t>
        </is>
      </c>
      <c r="K1162" s="47" t="inlineStr">
        <is>
          <t>Integrated graphics</t>
        </is>
      </c>
      <c r="L1162" s="47" t="inlineStr">
        <is>
          <t>N/A</t>
        </is>
      </c>
      <c r="M1162" s="47" t="inlineStr">
        <is>
          <t>N/A</t>
        </is>
      </c>
      <c r="N1162" s="47" t="inlineStr">
        <is>
          <t>N/A</t>
        </is>
      </c>
      <c r="O1162" s="47" t="inlineStr">
        <is>
          <t>N/A</t>
        </is>
      </c>
      <c r="P1162" s="47" t="inlineStr">
        <is>
          <t>N/A</t>
        </is>
      </c>
      <c r="Q1162" s="50" t="n">
        <v>43</v>
      </c>
      <c r="R1162" s="47" t="inlineStr">
        <is>
          <t>Lighter than Hyperion Volt Desktop CPU [HYP-123-09] (43 g vs 50 g); Lower price than Kratos Core SE Desktop CPU [KRA-147-10] ($609.99 vs $651.99)</t>
        </is>
      </c>
      <c r="S1162" s="47" t="inlineStr">
        <is>
          <t>gaming, content creation, workstation builds</t>
        </is>
      </c>
      <c r="T1162" s="0" t="inlineStr">
        <is>
          <t>in_stock</t>
        </is>
      </c>
      <c r="U1162" s="0" t="n">
        <v>30</v>
      </c>
      <c r="V1162" s="52" t="n">
        <v>646.99</v>
      </c>
      <c r="W1162" s="0" t="inlineStr">
        <is>
          <t>2026-09-08</t>
        </is>
      </c>
      <c r="X1162" s="0" t="inlineStr">
        <is>
          <t>N/A</t>
        </is>
      </c>
      <c r="Y1162" s="0" t="inlineStr">
        <is>
          <t>N/A</t>
        </is>
      </c>
      <c r="Z1162" s="0" t="inlineStr">
        <is>
          <t>N/A</t>
        </is>
      </c>
      <c r="AA1162" s="0" t="inlineStr">
        <is>
          <t>N/A</t>
        </is>
      </c>
    </row>
    <row r="1163" ht="15.75" customHeight="1" s="51">
      <c r="A1163" s="47" t="inlineStr">
        <is>
          <t>HES-116-01</t>
        </is>
      </c>
      <c r="B1163" s="47" t="inlineStr">
        <is>
          <t>Hestia</t>
        </is>
      </c>
      <c r="C1163" s="47" t="inlineStr">
        <is>
          <t>Computer Hardware</t>
        </is>
      </c>
      <c r="D1163" s="47" t="inlineStr">
        <is>
          <t>Webcam</t>
        </is>
      </c>
      <c r="E1163" s="48" t="inlineStr">
        <is>
          <t>Hestia Titan Pro 4K Webcam</t>
        </is>
      </c>
      <c r="F1163" s="49" t="n">
        <v>57.99</v>
      </c>
      <c r="G1163" s="47" t="inlineStr">
        <is>
          <t>the Titan Pro; Hestia Titan Pro; Hesti Titan Pro; Titan Pro webcam</t>
        </is>
      </c>
      <c r="H1163" s="47" t="inlineStr">
        <is>
          <t>2 year limited</t>
        </is>
      </c>
      <c r="I1163" s="47" t="inlineStr">
        <is>
          <t>FCC, CE, RoHS, USB-IF Certified</t>
        </is>
      </c>
      <c r="J1163" s="47" t="inlineStr">
        <is>
          <t>N/A</t>
        </is>
      </c>
      <c r="K1163" s="47" t="inlineStr">
        <is>
          <t>N/A</t>
        </is>
      </c>
      <c r="L1163" s="47" t="inlineStr">
        <is>
          <t>N/A</t>
        </is>
      </c>
      <c r="M1163" s="47" t="inlineStr">
        <is>
          <t>3840x2160 @ 30fps, 1080p @ 60fps</t>
        </is>
      </c>
      <c r="N1163" s="47" t="inlineStr">
        <is>
          <t>USB-C (USB 3.0)</t>
        </is>
      </c>
      <c r="O1163" s="47" t="inlineStr">
        <is>
          <t>N/A</t>
        </is>
      </c>
      <c r="P1163" s="47" t="inlineStr">
        <is>
          <t>N/A</t>
        </is>
      </c>
      <c r="Q1163" s="50" t="n">
        <v>168</v>
      </c>
      <c r="R1163" s="47" t="inlineStr">
        <is>
          <t>Lower price than Artemis Drift X 4K Webcam [ART-150-05] ($57.99 vs $155.99); Lighter than Hymenaeus Drift Plus 4K Webcam [HYM-121-03] (168 g vs 172 g)</t>
        </is>
      </c>
      <c r="S1163" s="47" t="inlineStr">
        <is>
          <t>video calls, streaming, remote work</t>
        </is>
      </c>
      <c r="T1163" s="0" t="inlineStr">
        <is>
          <t>low_stock</t>
        </is>
      </c>
      <c r="U1163" s="0" t="n">
        <v>30</v>
      </c>
      <c r="V1163" s="52" t="n">
        <v>60.99</v>
      </c>
      <c r="W1163" s="0" t="inlineStr">
        <is>
          <t>2026-08-21</t>
        </is>
      </c>
      <c r="X1163" s="0" t="inlineStr">
        <is>
          <t>N/A</t>
        </is>
      </c>
      <c r="Y1163" s="0" t="inlineStr">
        <is>
          <t>N/A</t>
        </is>
      </c>
      <c r="Z1163" s="0" t="inlineStr">
        <is>
          <t>N/A</t>
        </is>
      </c>
      <c r="AA1163" s="0" t="inlineStr">
        <is>
          <t>N/A</t>
        </is>
      </c>
    </row>
    <row r="1164" ht="15.75" customHeight="1" s="51">
      <c r="A1164" s="47" t="inlineStr">
        <is>
          <t>HES-116-02</t>
        </is>
      </c>
      <c r="B1164" s="47" t="inlineStr">
        <is>
          <t>Hestia</t>
        </is>
      </c>
      <c r="C1164" s="47" t="inlineStr">
        <is>
          <t>Computer Hardware</t>
        </is>
      </c>
      <c r="D1164" s="47" t="inlineStr">
        <is>
          <t>Networking</t>
        </is>
      </c>
      <c r="E1164" s="48" t="inlineStr">
        <is>
          <t>Hestia Sable Wi-Fi 7 PCIe Card</t>
        </is>
      </c>
      <c r="F1164" s="49" t="n">
        <v>100.99</v>
      </c>
      <c r="G1164" s="47" t="inlineStr">
        <is>
          <t>the Sable; Hestia Sable; Hesita Sable; Sable networking</t>
        </is>
      </c>
      <c r="H1164" s="47" t="inlineStr">
        <is>
          <t>2 year limited</t>
        </is>
      </c>
      <c r="I1164" s="47" t="inlineStr">
        <is>
          <t>FCC, CE, RoHS, Wi-Fi CERTIFIED 7, Bluetooth SIG Qualified</t>
        </is>
      </c>
      <c r="J1164" s="47" t="inlineStr">
        <is>
          <t>Chipset: MediaTek MT7927</t>
        </is>
      </c>
      <c r="K1164" s="47" t="inlineStr">
        <is>
          <t>N/A</t>
        </is>
      </c>
      <c r="L1164" s="47" t="inlineStr">
        <is>
          <t>N/A</t>
        </is>
      </c>
      <c r="M1164" s="47" t="inlineStr">
        <is>
          <t>N/A</t>
        </is>
      </c>
      <c r="N1164" s="47" t="inlineStr">
        <is>
          <t>PCIe x1, internal USB 2.0 header (Bluetooth 5.4), 2x external antennas</t>
        </is>
      </c>
      <c r="O1164" s="47" t="inlineStr">
        <is>
          <t>N/A</t>
        </is>
      </c>
      <c r="P1164" s="47" t="inlineStr">
        <is>
          <t>N/A</t>
        </is>
      </c>
      <c r="Q1164" s="50" t="n">
        <v>80</v>
      </c>
      <c r="R1164" s="47" t="inlineStr">
        <is>
          <t>Lower price than Phoebe Orbit Air Wi-Fi 7 PCIe Card [PHO-143-04] ($100.99 vs $114.99); Lighter than Nike Nova Max Wi-Fi 7 PCIe Card [NIK-132-05] (80 g vs 102 g)</t>
        </is>
      </c>
      <c r="S1164" s="47" t="inlineStr">
        <is>
          <t>gaming, streaming, PC building</t>
        </is>
      </c>
      <c r="T1164" s="0" t="inlineStr">
        <is>
          <t>in_stock</t>
        </is>
      </c>
      <c r="U1164" s="0" t="n">
        <v>30</v>
      </c>
      <c r="V1164" s="52" t="n">
        <v>109.99</v>
      </c>
      <c r="W1164" s="0" t="inlineStr">
        <is>
          <t>2026-09-13</t>
        </is>
      </c>
      <c r="X1164" s="0" t="inlineStr">
        <is>
          <t>N/A</t>
        </is>
      </c>
      <c r="Y1164" s="0" t="inlineStr">
        <is>
          <t>N/A</t>
        </is>
      </c>
      <c r="Z1164" s="0" t="inlineStr">
        <is>
          <t>N/A</t>
        </is>
      </c>
      <c r="AA1164" s="0" t="inlineStr">
        <is>
          <t>N/A</t>
        </is>
      </c>
    </row>
    <row r="1165" ht="15.75" customHeight="1" s="51">
      <c r="A1165" s="47" t="inlineStr">
        <is>
          <t>HES-116-03</t>
        </is>
      </c>
      <c r="B1165" s="47" t="inlineStr">
        <is>
          <t>Hestia</t>
        </is>
      </c>
      <c r="C1165" s="47" t="inlineStr">
        <is>
          <t>Computer Hardware</t>
        </is>
      </c>
      <c r="D1165" s="47" t="inlineStr">
        <is>
          <t>Mouse</t>
        </is>
      </c>
      <c r="E1165" s="48" t="inlineStr">
        <is>
          <t>Hestia Halo Gaming Mouse</t>
        </is>
      </c>
      <c r="F1165" s="49" t="n">
        <v>153.99</v>
      </c>
      <c r="G1165" s="47" t="inlineStr">
        <is>
          <t>the Halo; Hestia Halo; Heestia Halo; Halo mouse</t>
        </is>
      </c>
      <c r="H1165" s="47" t="inlineStr">
        <is>
          <t>2 year limited</t>
        </is>
      </c>
      <c r="I1165" s="47" t="inlineStr">
        <is>
          <t>FCC, CE, RoHS, Bluetooth SIG Qualified</t>
        </is>
      </c>
      <c r="J1165" s="47" t="inlineStr">
        <is>
          <t>Sensor: 36K DPI optical</t>
        </is>
      </c>
      <c r="K1165" s="47" t="inlineStr">
        <is>
          <t>N/A</t>
        </is>
      </c>
      <c r="L1165" s="47" t="inlineStr">
        <is>
          <t>N/A</t>
        </is>
      </c>
      <c r="M1165" s="47" t="inlineStr">
        <is>
          <t>N/A</t>
        </is>
      </c>
      <c r="N1165" s="47" t="inlineStr">
        <is>
          <t>USB-C, 2.4GHz dongle, Bluetooth 5.1</t>
        </is>
      </c>
      <c r="O1165" s="47" t="inlineStr">
        <is>
          <t>N/A</t>
        </is>
      </c>
      <c r="P1165" s="47" t="n">
        <v>78</v>
      </c>
      <c r="Q1165" s="50" t="n">
        <v>68</v>
      </c>
      <c r="R1165" s="47" t="inlineStr">
        <is>
          <t>Lighter than Cronus Quanta Gaming Mouse [CRO-105-05] (68 g vs 92 g); Lower price than Ares Orbit Gaming Mouse [ARE-140-04] ($153.99 vs $154.99)</t>
        </is>
      </c>
      <c r="S1165" s="47" t="inlineStr">
        <is>
          <t>gaming, esports</t>
        </is>
      </c>
      <c r="T1165" s="0" t="inlineStr">
        <is>
          <t>in_stock</t>
        </is>
      </c>
      <c r="U1165" s="0" t="n">
        <v>30</v>
      </c>
      <c r="V1165" s="52" t="n">
        <v>171.99</v>
      </c>
      <c r="W1165" s="0" t="inlineStr">
        <is>
          <t>2026-09-04</t>
        </is>
      </c>
      <c r="X1165" s="0" t="inlineStr">
        <is>
          <t>N/A</t>
        </is>
      </c>
      <c r="Y1165" s="0" t="inlineStr">
        <is>
          <t>N/A</t>
        </is>
      </c>
      <c r="Z1165" s="0" t="inlineStr">
        <is>
          <t>N/A</t>
        </is>
      </c>
      <c r="AA1165" s="0" t="inlineStr">
        <is>
          <t>N/A</t>
        </is>
      </c>
    </row>
    <row r="1166" ht="15.75" customHeight="1" s="51">
      <c r="A1166" s="47" t="inlineStr">
        <is>
          <t>HES-116-04</t>
        </is>
      </c>
      <c r="B1166" s="47" t="inlineStr">
        <is>
          <t>Hestia</t>
        </is>
      </c>
      <c r="C1166" s="47" t="inlineStr">
        <is>
          <t>Computer Hardware</t>
        </is>
      </c>
      <c r="D1166" s="47" t="inlineStr">
        <is>
          <t>Docking Station</t>
        </is>
      </c>
      <c r="E1166" s="48" t="inlineStr">
        <is>
          <t>Hestia Lumen Lite USB-C Docking Station</t>
        </is>
      </c>
      <c r="F1166" s="49" t="n">
        <v>164.99</v>
      </c>
      <c r="G1166" s="47" t="inlineStr">
        <is>
          <t>the Lumen Lite; Hestia Lumen Lite; Hestiia Lumen Lite; Lumen Lite docking station</t>
        </is>
      </c>
      <c r="H1166" s="47" t="inlineStr">
        <is>
          <t>2 year limited</t>
        </is>
      </c>
      <c r="I1166" s="47" t="inlineStr">
        <is>
          <t>FCC, CE, RoHS, USB-IF Certified, UL Listed</t>
        </is>
      </c>
      <c r="J1166" s="47" t="inlineStr">
        <is>
          <t>N/A</t>
        </is>
      </c>
      <c r="K1166" s="47" t="inlineStr">
        <is>
          <t>N/A</t>
        </is>
      </c>
      <c r="L1166" s="47" t="inlineStr">
        <is>
          <t>N/A</t>
        </is>
      </c>
      <c r="M1166" s="47" t="inlineStr">
        <is>
          <t>N/A</t>
        </is>
      </c>
      <c r="N1166" s="47" t="inlineStr">
        <is>
          <t>1x HDMI 2.0, 2x USB-A, 1x USB-C, SD card, 100W PD pass-through</t>
        </is>
      </c>
      <c r="O1166" s="47" t="inlineStr">
        <is>
          <t>N/A</t>
        </is>
      </c>
      <c r="P1166" s="47" t="inlineStr">
        <is>
          <t>N/A</t>
        </is>
      </c>
      <c r="Q1166" s="50" t="n">
        <v>476</v>
      </c>
      <c r="R1166" s="47" t="inlineStr">
        <is>
          <t>Lower price than Aphrodite Volt X USB-C Docking Station [APH-141-09] ($164.99 vs $273.99)</t>
        </is>
      </c>
      <c r="S1166" s="47" t="inlineStr">
        <is>
          <t>office, remote work, multi-monitor</t>
        </is>
      </c>
      <c r="T1166" s="0" t="inlineStr">
        <is>
          <t>in_stock</t>
        </is>
      </c>
      <c r="U1166" s="0" t="n">
        <v>30</v>
      </c>
      <c r="V1166" s="52" t="n">
        <v>172.99</v>
      </c>
      <c r="W1166" s="0" t="inlineStr">
        <is>
          <t>2026-09-07</t>
        </is>
      </c>
      <c r="X1166" s="0" t="inlineStr">
        <is>
          <t>N/A</t>
        </is>
      </c>
      <c r="Y1166" s="0" t="inlineStr">
        <is>
          <t>N/A</t>
        </is>
      </c>
      <c r="Z1166" s="0" t="inlineStr">
        <is>
          <t>N/A</t>
        </is>
      </c>
      <c r="AA1166" s="0" t="inlineStr">
        <is>
          <t>N/A</t>
        </is>
      </c>
    </row>
    <row r="1167" ht="15.75" customHeight="1" s="51">
      <c r="A1167" s="47" t="inlineStr">
        <is>
          <t>HES-116-05</t>
        </is>
      </c>
      <c r="B1167" s="47" t="inlineStr">
        <is>
          <t>Hestia</t>
        </is>
      </c>
      <c r="C1167" s="47" t="inlineStr">
        <is>
          <t>Computer Hardware</t>
        </is>
      </c>
      <c r="D1167" s="47" t="inlineStr">
        <is>
          <t>Storage</t>
        </is>
      </c>
      <c r="E1167" s="48" t="inlineStr">
        <is>
          <t>Hestia Volt 4TB External Hard Drive</t>
        </is>
      </c>
      <c r="F1167" s="49" t="n">
        <v>181.99</v>
      </c>
      <c r="G1167" s="47" t="inlineStr">
        <is>
          <t>the Volt; Hestia Volt; Hetsia Volt; Volt storage</t>
        </is>
      </c>
      <c r="H1167" s="47" t="inlineStr">
        <is>
          <t>2 year limited</t>
        </is>
      </c>
      <c r="I1167" s="47" t="inlineStr">
        <is>
          <t>FCC, CE, RoHS, USB-IF Certified</t>
        </is>
      </c>
      <c r="J1167" s="47" t="inlineStr">
        <is>
          <t>N/A</t>
        </is>
      </c>
      <c r="K1167" s="47" t="inlineStr">
        <is>
          <t>N/A</t>
        </is>
      </c>
      <c r="L1167" s="47" t="inlineStr">
        <is>
          <t>N/A</t>
        </is>
      </c>
      <c r="M1167" s="47" t="inlineStr">
        <is>
          <t>N/A</t>
        </is>
      </c>
      <c r="N1167" s="47" t="inlineStr">
        <is>
          <t>USB-C (USB 3.2 Gen 1)</t>
        </is>
      </c>
      <c r="O1167" s="47" t="inlineStr">
        <is>
          <t>N/A</t>
        </is>
      </c>
      <c r="P1167" s="47" t="inlineStr">
        <is>
          <t>N/A</t>
        </is>
      </c>
      <c r="Q1167" s="50" t="n">
        <v>228</v>
      </c>
      <c r="R1167" s="47" t="inlineStr">
        <is>
          <t>Lighter than Apollo Nimbus Plus 4TB External Hard Drive [APO-109-03] (228 g vs 229 g); Lower price than Phanes Flux Pro 4TB External Hard Drive [PHA-138-06] ($181.99 vs $192.99)</t>
        </is>
      </c>
      <c r="S1167" s="47" t="inlineStr">
        <is>
          <t>backup, media storage</t>
        </is>
      </c>
      <c r="T1167" s="0" t="inlineStr">
        <is>
          <t>in_stock</t>
        </is>
      </c>
      <c r="U1167" s="0" t="n">
        <v>30</v>
      </c>
      <c r="V1167" s="52" t="n">
        <v>206.99</v>
      </c>
      <c r="W1167" s="0" t="inlineStr">
        <is>
          <t>2026-08-22</t>
        </is>
      </c>
      <c r="X1167" s="0" t="inlineStr">
        <is>
          <t>N/A</t>
        </is>
      </c>
      <c r="Y1167" s="0" t="inlineStr">
        <is>
          <t>N/A</t>
        </is>
      </c>
      <c r="Z1167" s="0" t="inlineStr">
        <is>
          <t>N/A</t>
        </is>
      </c>
      <c r="AA1167" s="0" t="inlineStr">
        <is>
          <t>N/A</t>
        </is>
      </c>
    </row>
    <row r="1168" ht="15.75" customHeight="1" s="51">
      <c r="A1168" s="47" t="inlineStr">
        <is>
          <t>HES-116-06</t>
        </is>
      </c>
      <c r="B1168" s="47" t="inlineStr">
        <is>
          <t>Hestia</t>
        </is>
      </c>
      <c r="C1168" s="47" t="inlineStr">
        <is>
          <t>Computer Hardware</t>
        </is>
      </c>
      <c r="D1168" s="47" t="inlineStr">
        <is>
          <t>Power Supply</t>
        </is>
      </c>
      <c r="E1168" s="48" t="inlineStr">
        <is>
          <t>Hestia Core Pro 850W Power Supply</t>
        </is>
      </c>
      <c r="F1168" s="49" t="n">
        <v>203.99</v>
      </c>
      <c r="G1168" s="47" t="inlineStr">
        <is>
          <t>the Core Pro; Hestia Core Pro; Hetsia Core Pro; Core Pro power supply</t>
        </is>
      </c>
      <c r="H1168" s="47" t="inlineStr">
        <is>
          <t>7 year limited</t>
        </is>
      </c>
      <c r="I1168" s="47" t="inlineStr">
        <is>
          <t>FCC, CE, RoHS, 80 PLUS Titanium, UL Listed</t>
        </is>
      </c>
      <c r="J1168" s="47" t="inlineStr">
        <is>
          <t>N/A</t>
        </is>
      </c>
      <c r="K1168" s="47" t="inlineStr">
        <is>
          <t>N/A</t>
        </is>
      </c>
      <c r="L1168" s="47" t="inlineStr">
        <is>
          <t>N/A</t>
        </is>
      </c>
      <c r="M1168" s="47" t="inlineStr">
        <is>
          <t>N/A</t>
        </is>
      </c>
      <c r="N1168" s="47" t="inlineStr">
        <is>
          <t>ATX 3.1, native 12V-2x6 (600W) connector, fully modular</t>
        </is>
      </c>
      <c r="O1168" s="47" t="inlineStr">
        <is>
          <t>N/A</t>
        </is>
      </c>
      <c r="P1168" s="47" t="inlineStr">
        <is>
          <t>N/A</t>
        </is>
      </c>
      <c r="Q1168" s="50" t="n">
        <v>1962</v>
      </c>
      <c r="R1168" s="47" t="inlineStr">
        <is>
          <t>Lower price than Perses Aria 850W Power Supply [PER-101-06] ($203.99 vs $224.99); Lighter than Hera Sable X 850W Power Supply [HER-129-05] (1,962 g vs 2,198 g)</t>
        </is>
      </c>
      <c r="S1168" s="47" t="inlineStr">
        <is>
          <t>PC building, high-end gaming</t>
        </is>
      </c>
      <c r="T1168" s="0" t="inlineStr">
        <is>
          <t>low_stock</t>
        </is>
      </c>
      <c r="U1168" s="0" t="n">
        <v>30</v>
      </c>
      <c r="V1168" s="52" t="n">
        <v>222.99</v>
      </c>
      <c r="W1168" s="0" t="inlineStr">
        <is>
          <t>2026-08-30</t>
        </is>
      </c>
      <c r="X1168" s="0" t="inlineStr">
        <is>
          <t>N/A</t>
        </is>
      </c>
      <c r="Y1168" s="0" t="inlineStr">
        <is>
          <t>N/A</t>
        </is>
      </c>
      <c r="Z1168" s="0" t="inlineStr">
        <is>
          <t>N/A</t>
        </is>
      </c>
      <c r="AA1168" s="0" t="inlineStr">
        <is>
          <t>N/A</t>
        </is>
      </c>
    </row>
    <row r="1169" ht="15.75" customHeight="1" s="51">
      <c r="A1169" s="47" t="inlineStr">
        <is>
          <t>HES-116-07</t>
        </is>
      </c>
      <c r="B1169" s="47" t="inlineStr">
        <is>
          <t>Hestia</t>
        </is>
      </c>
      <c r="C1169" s="47" t="inlineStr">
        <is>
          <t>Computer Hardware</t>
        </is>
      </c>
      <c r="D1169" s="47" t="inlineStr">
        <is>
          <t>Cooling</t>
        </is>
      </c>
      <c r="E1169" s="48" t="inlineStr">
        <is>
          <t>Hestia Nimbus 360mm AIO CPU Cooler</t>
        </is>
      </c>
      <c r="F1169" s="49" t="n">
        <v>210.99</v>
      </c>
      <c r="G1169" s="47" t="inlineStr">
        <is>
          <t>the Nimbus; Hestia Nimbus; Hesita Nimbus; Nimbus cooling</t>
        </is>
      </c>
      <c r="H1169" s="47" t="inlineStr">
        <is>
          <t>6 year limited</t>
        </is>
      </c>
      <c r="I1169" s="47" t="inlineStr">
        <is>
          <t>FCC, CE, RoHS</t>
        </is>
      </c>
      <c r="J1169" s="47" t="inlineStr">
        <is>
          <t>N/A</t>
        </is>
      </c>
      <c r="K1169" s="47" t="inlineStr">
        <is>
          <t>N/A</t>
        </is>
      </c>
      <c r="L1169" s="47" t="inlineStr">
        <is>
          <t>IPS pump-head screen</t>
        </is>
      </c>
      <c r="M1169" s="47" t="inlineStr">
        <is>
          <t>480x480</t>
        </is>
      </c>
      <c r="N1169" s="47" t="inlineStr">
        <is>
          <t>3x 4-pin PWM fans, 3-pin pump header, ARGB 5V; LGA1700/LGA1851/AM5 mounts</t>
        </is>
      </c>
      <c r="O1169" s="47" t="inlineStr">
        <is>
          <t>N/A</t>
        </is>
      </c>
      <c r="P1169" s="47" t="inlineStr">
        <is>
          <t>N/A</t>
        </is>
      </c>
      <c r="Q1169" s="50" t="n">
        <v>1546</v>
      </c>
      <c r="R1169" s="47" t="inlineStr">
        <is>
          <t>Lighter than Notus Wave Lite 360mm AIO CPU Cooler [NOT-108-06] (1,546 g vs 1,645 g); Lower price than Hera Volt 360mm AIO CPU Cooler [HER-129-06] ($210.99 vs $228.99)</t>
        </is>
      </c>
      <c r="S1169" s="47" t="inlineStr">
        <is>
          <t>overclocking, gaming, quiet builds</t>
        </is>
      </c>
      <c r="T1169" s="0" t="inlineStr">
        <is>
          <t>in_stock</t>
        </is>
      </c>
      <c r="U1169" s="0" t="n">
        <v>30</v>
      </c>
      <c r="V1169" s="52" t="n">
        <v>241.99</v>
      </c>
      <c r="W1169" s="0" t="inlineStr">
        <is>
          <t>2026-08-07</t>
        </is>
      </c>
      <c r="X1169" s="0" t="inlineStr">
        <is>
          <t>N/A</t>
        </is>
      </c>
      <c r="Y1169" s="0" t="inlineStr">
        <is>
          <t>N/A</t>
        </is>
      </c>
      <c r="Z1169" s="0" t="inlineStr">
        <is>
          <t>N/A</t>
        </is>
      </c>
      <c r="AA1169" s="0" t="inlineStr">
        <is>
          <t>N/A</t>
        </is>
      </c>
    </row>
    <row r="1170" ht="15.75" customHeight="1" s="51">
      <c r="A1170" s="47" t="inlineStr">
        <is>
          <t>HES-116-08</t>
        </is>
      </c>
      <c r="B1170" s="47" t="inlineStr">
        <is>
          <t>Hestia</t>
        </is>
      </c>
      <c r="C1170" s="47" t="inlineStr">
        <is>
          <t>Computer Hardware</t>
        </is>
      </c>
      <c r="D1170" s="47" t="inlineStr">
        <is>
          <t>Motherboard</t>
        </is>
      </c>
      <c r="E1170" s="48" t="inlineStr">
        <is>
          <t>Hestia Crest SE ATX Motherboard</t>
        </is>
      </c>
      <c r="F1170" s="49" t="n">
        <v>214.99</v>
      </c>
      <c r="G1170" s="47" t="inlineStr">
        <is>
          <t>the Crest SE; Hestia Crest SE; Hesstia Crest SE; Crest SE motherboard</t>
        </is>
      </c>
      <c r="H1170" s="47" t="inlineStr">
        <is>
          <t>3 year limited</t>
        </is>
      </c>
      <c r="I1170" s="47" t="inlineStr">
        <is>
          <t>FCC, CE, RoHS</t>
        </is>
      </c>
      <c r="J1170" s="47" t="inlineStr">
        <is>
          <t>Supports AMD Ryzen 7000/8000/9000 (Socket AM5)</t>
        </is>
      </c>
      <c r="K1170" s="47" t="inlineStr">
        <is>
          <t>N/A</t>
        </is>
      </c>
      <c r="L1170" s="47" t="inlineStr">
        <is>
          <t>N/A</t>
        </is>
      </c>
      <c r="M1170" s="47" t="inlineStr">
        <is>
          <t>N/A</t>
        </is>
      </c>
      <c r="N1170" s="47" t="inlineStr">
        <is>
          <t>Rear I/O: 1x HDMI, 6x USB-A, 1x USB-C 10Gbps, 2.5GbE, Wi-Fi 6E</t>
        </is>
      </c>
      <c r="O1170" s="47" t="inlineStr">
        <is>
          <t>N/A</t>
        </is>
      </c>
      <c r="P1170" s="47" t="inlineStr">
        <is>
          <t>N/A</t>
        </is>
      </c>
      <c r="Q1170" s="50" t="n">
        <v>1340</v>
      </c>
      <c r="R1170" s="47" t="inlineStr">
        <is>
          <t>Lower price than Hermes Rift X ATX Motherboard [HER-103-08] ($214.99 vs $310.99); Lighter than Bia Nimbus Air ATX Motherboard [BIA-107-10] (1,340 g vs 1,365 g)</t>
        </is>
      </c>
      <c r="S1170" s="47" t="inlineStr">
        <is>
          <t>PC building, gaming, workstation builds</t>
        </is>
      </c>
      <c r="T1170" s="0" t="inlineStr">
        <is>
          <t>in_stock</t>
        </is>
      </c>
      <c r="U1170" s="0" t="n">
        <v>30</v>
      </c>
      <c r="V1170" s="52" t="n">
        <v>234.99</v>
      </c>
      <c r="W1170" s="0" t="inlineStr">
        <is>
          <t>2026-08-12</t>
        </is>
      </c>
      <c r="X1170" s="0" t="inlineStr">
        <is>
          <t>N/A</t>
        </is>
      </c>
      <c r="Y1170" s="0" t="inlineStr">
        <is>
          <t>N/A</t>
        </is>
      </c>
      <c r="Z1170" s="0" t="inlineStr">
        <is>
          <t>N/A</t>
        </is>
      </c>
      <c r="AA1170" s="0" t="inlineStr">
        <is>
          <t>N/A</t>
        </is>
      </c>
    </row>
    <row r="1171" ht="15.75" customHeight="1" s="51">
      <c r="A1171" s="47" t="inlineStr">
        <is>
          <t>HES-116-09</t>
        </is>
      </c>
      <c r="B1171" s="47" t="inlineStr">
        <is>
          <t>Hestia</t>
        </is>
      </c>
      <c r="C1171" s="47" t="inlineStr">
        <is>
          <t>Computer Hardware</t>
        </is>
      </c>
      <c r="D1171" s="47" t="inlineStr">
        <is>
          <t>Storage</t>
        </is>
      </c>
      <c r="E1171" s="48" t="inlineStr">
        <is>
          <t>Hestia Echo 2TB NVMe SSD</t>
        </is>
      </c>
      <c r="F1171" s="49" t="n">
        <v>260.99</v>
      </c>
      <c r="G1171" s="47" t="inlineStr">
        <is>
          <t>the Echo; Hestia Echo; Hesita Echo; Echo storage</t>
        </is>
      </c>
      <c r="H1171" s="47" t="inlineStr">
        <is>
          <t>5 year limited</t>
        </is>
      </c>
      <c r="I1171" s="47" t="inlineStr">
        <is>
          <t>FCC, CE, RoHS</t>
        </is>
      </c>
      <c r="J1171" s="47" t="inlineStr">
        <is>
          <t>Controller: Phison E26</t>
        </is>
      </c>
      <c r="K1171" s="47" t="inlineStr">
        <is>
          <t>N/A</t>
        </is>
      </c>
      <c r="L1171" s="47" t="inlineStr">
        <is>
          <t>N/A</t>
        </is>
      </c>
      <c r="M1171" s="47" t="inlineStr">
        <is>
          <t>N/A</t>
        </is>
      </c>
      <c r="N1171" s="47" t="inlineStr">
        <is>
          <t>M.2 2280, PCIe 5.0 x4 NVMe</t>
        </is>
      </c>
      <c r="O1171" s="47" t="inlineStr">
        <is>
          <t>N/A</t>
        </is>
      </c>
      <c r="P1171" s="47" t="inlineStr">
        <is>
          <t>N/A</t>
        </is>
      </c>
      <c r="Q1171" s="50" t="n">
        <v>15</v>
      </c>
      <c r="R1171" s="47" t="inlineStr">
        <is>
          <t>Lighter than Geras Prism Pro 2TB NVMe SSD [GER-133-04] (15 g vs 19 g); Lower price than Eirene Arc Pro 2TB NVMe SSD [EIR-112-08] ($260.99 vs $263.99)</t>
        </is>
      </c>
      <c r="S1171" s="47" t="inlineStr">
        <is>
          <t>gaming, fast boot, content creation</t>
        </is>
      </c>
      <c r="T1171" s="0" t="inlineStr">
        <is>
          <t>in_stock</t>
        </is>
      </c>
      <c r="U1171" s="0" t="n">
        <v>30</v>
      </c>
      <c r="V1171" s="52" t="n">
        <v>290.99</v>
      </c>
      <c r="W1171" s="0" t="inlineStr">
        <is>
          <t>2026-09-14</t>
        </is>
      </c>
      <c r="X1171" s="0" t="inlineStr">
        <is>
          <t>N/A</t>
        </is>
      </c>
      <c r="Y1171" s="0" t="inlineStr">
        <is>
          <t>N/A</t>
        </is>
      </c>
      <c r="Z1171" s="0" t="inlineStr">
        <is>
          <t>N/A</t>
        </is>
      </c>
      <c r="AA1171" s="0" t="inlineStr">
        <is>
          <t>N/A</t>
        </is>
      </c>
    </row>
    <row r="1172" ht="15.75" customHeight="1" s="51">
      <c r="A1172" s="47" t="inlineStr">
        <is>
          <t>HES-116-10</t>
        </is>
      </c>
      <c r="B1172" s="47" t="inlineStr">
        <is>
          <t>Hestia</t>
        </is>
      </c>
      <c r="C1172" s="47" t="inlineStr">
        <is>
          <t>Computer Hardware</t>
        </is>
      </c>
      <c r="D1172" s="47" t="inlineStr">
        <is>
          <t>Processor</t>
        </is>
      </c>
      <c r="E1172" s="48" t="inlineStr">
        <is>
          <t>Hestia Nimbus SE Desktop CPU</t>
        </is>
      </c>
      <c r="F1172" s="49" t="n">
        <v>567.99</v>
      </c>
      <c r="G1172" s="47" t="inlineStr">
        <is>
          <t>the Nimbus SE; Hestia Nimbus SE; Hesstia Nimbus SE; Nimbus SE processor</t>
        </is>
      </c>
      <c r="H1172" s="47" t="inlineStr">
        <is>
          <t>3 year limited</t>
        </is>
      </c>
      <c r="I1172" s="47" t="inlineStr">
        <is>
          <t>FCC, CE, RoHS</t>
        </is>
      </c>
      <c r="J1172" s="47" t="inlineStr">
        <is>
          <t>Hestia Nimbus 16-core / 32-thread, up to 5.5 GHz</t>
        </is>
      </c>
      <c r="K1172" s="47" t="inlineStr">
        <is>
          <t>None (discrete GPU required)</t>
        </is>
      </c>
      <c r="L1172" s="47" t="inlineStr">
        <is>
          <t>N/A</t>
        </is>
      </c>
      <c r="M1172" s="47" t="inlineStr">
        <is>
          <t>N/A</t>
        </is>
      </c>
      <c r="N1172" s="47" t="inlineStr">
        <is>
          <t>N/A</t>
        </is>
      </c>
      <c r="O1172" s="47" t="inlineStr">
        <is>
          <t>N/A</t>
        </is>
      </c>
      <c r="P1172" s="47" t="inlineStr">
        <is>
          <t>N/A</t>
        </is>
      </c>
      <c r="Q1172" s="50" t="n">
        <v>42</v>
      </c>
      <c r="R1172" s="47" t="inlineStr">
        <is>
          <t>Lower price than Eirene Rift Lite Desktop CPU [EIR-112-09] ($567.99 vs $613.99); Lighter than Artemis Drift Plus Desktop CPU [ART-150-09] (42 g vs 50 g)</t>
        </is>
      </c>
      <c r="S1172" s="47" t="inlineStr">
        <is>
          <t>gaming, content creation, workstation builds</t>
        </is>
      </c>
      <c r="T1172" s="0" t="inlineStr">
        <is>
          <t>low_stock</t>
        </is>
      </c>
      <c r="U1172" s="0" t="n">
        <v>30</v>
      </c>
      <c r="V1172" s="52" t="n">
        <v>613.99</v>
      </c>
      <c r="W1172" s="0" t="inlineStr">
        <is>
          <t>2026-09-16</t>
        </is>
      </c>
      <c r="X1172" s="0" t="inlineStr">
        <is>
          <t>N/A</t>
        </is>
      </c>
      <c r="Y1172" s="0" t="inlineStr">
        <is>
          <t>N/A</t>
        </is>
      </c>
      <c r="Z1172" s="0" t="inlineStr">
        <is>
          <t>N/A</t>
        </is>
      </c>
      <c r="AA1172" s="0" t="inlineStr">
        <is>
          <t>N/A</t>
        </is>
      </c>
    </row>
    <row r="1173" ht="15.75" customHeight="1" s="51">
      <c r="A1173" s="47" t="inlineStr">
        <is>
          <t>HEM-117-01</t>
        </is>
      </c>
      <c r="B1173" s="47" t="inlineStr">
        <is>
          <t>Hemera</t>
        </is>
      </c>
      <c r="C1173" s="47" t="inlineStr">
        <is>
          <t>Computer Hardware</t>
        </is>
      </c>
      <c r="D1173" s="47" t="inlineStr">
        <is>
          <t>Networking</t>
        </is>
      </c>
      <c r="E1173" s="48" t="inlineStr">
        <is>
          <t>Hemera Prism Ultra Wi-Fi 7 PCIe Card</t>
        </is>
      </c>
      <c r="F1173" s="49" t="n">
        <v>76.98999999999999</v>
      </c>
      <c r="G1173" s="47" t="inlineStr">
        <is>
          <t>the Prism Ultra; Hemera Prism Ultra; Heemera Prism Ultra; Prism Ultra networking</t>
        </is>
      </c>
      <c r="H1173" s="47" t="inlineStr">
        <is>
          <t>2 year limited</t>
        </is>
      </c>
      <c r="I1173" s="47" t="inlineStr">
        <is>
          <t>FCC, CE, RoHS, Wi-Fi CERTIFIED 7, Bluetooth SIG Qualified</t>
        </is>
      </c>
      <c r="J1173" s="47" t="inlineStr">
        <is>
          <t>Chipset: Qualcomm FastConnect 7800</t>
        </is>
      </c>
      <c r="K1173" s="47" t="inlineStr">
        <is>
          <t>N/A</t>
        </is>
      </c>
      <c r="L1173" s="47" t="inlineStr">
        <is>
          <t>N/A</t>
        </is>
      </c>
      <c r="M1173" s="47" t="inlineStr">
        <is>
          <t>N/A</t>
        </is>
      </c>
      <c r="N1173" s="47" t="inlineStr">
        <is>
          <t>PCIe x1, internal USB 2.0 header (Bluetooth 5.4), 2x external antennas</t>
        </is>
      </c>
      <c r="O1173" s="47" t="inlineStr">
        <is>
          <t>N/A</t>
        </is>
      </c>
      <c r="P1173" s="47" t="inlineStr">
        <is>
          <t>N/A</t>
        </is>
      </c>
      <c r="Q1173" s="50" t="n">
        <v>75</v>
      </c>
      <c r="R1173" s="47" t="inlineStr">
        <is>
          <t>Lighter than Uranus Vibe Air Wi-Fi 7 PCIe Card [URA-113-02] (75 g vs 76 g); Lower price than Nike Nova Max Wi-Fi 7 PCIe Card [NIK-132-05] ($76.99 vs $115.99)</t>
        </is>
      </c>
      <c r="S1173" s="47" t="inlineStr">
        <is>
          <t>gaming, streaming, PC building</t>
        </is>
      </c>
      <c r="T1173" s="0" t="inlineStr">
        <is>
          <t>in_stock</t>
        </is>
      </c>
      <c r="U1173" s="0" t="n">
        <v>30</v>
      </c>
      <c r="V1173" s="52" t="n">
        <v>87.98999999999999</v>
      </c>
      <c r="W1173" s="0" t="inlineStr">
        <is>
          <t>2026-08-02</t>
        </is>
      </c>
      <c r="X1173" s="0" t="inlineStr">
        <is>
          <t>N/A</t>
        </is>
      </c>
      <c r="Y1173" s="0" t="inlineStr">
        <is>
          <t>N/A</t>
        </is>
      </c>
      <c r="Z1173" s="0" t="inlineStr">
        <is>
          <t>N/A</t>
        </is>
      </c>
      <c r="AA1173" s="0" t="inlineStr">
        <is>
          <t>N/A</t>
        </is>
      </c>
    </row>
    <row r="1174" ht="15.75" customHeight="1" s="51">
      <c r="A1174" s="47" t="inlineStr">
        <is>
          <t>HEM-117-02</t>
        </is>
      </c>
      <c r="B1174" s="47" t="inlineStr">
        <is>
          <t>Hemera</t>
        </is>
      </c>
      <c r="C1174" s="47" t="inlineStr">
        <is>
          <t>Computer Hardware</t>
        </is>
      </c>
      <c r="D1174" s="47" t="inlineStr">
        <is>
          <t>Storage</t>
        </is>
      </c>
      <c r="E1174" s="48" t="inlineStr">
        <is>
          <t>Hemera Vertex Lite 4TB External Hard Drive</t>
        </is>
      </c>
      <c r="F1174" s="49" t="n">
        <v>131.99</v>
      </c>
      <c r="G1174" s="47" t="inlineStr">
        <is>
          <t>the Vertex Lite; Hemera Vertex Lite; Hemerra Vertex Lite; Vertex Lite storage</t>
        </is>
      </c>
      <c r="H1174" s="47" t="inlineStr">
        <is>
          <t>2 year limited</t>
        </is>
      </c>
      <c r="I1174" s="47" t="inlineStr">
        <is>
          <t>FCC, CE, RoHS, USB-IF Certified</t>
        </is>
      </c>
      <c r="J1174" s="47" t="inlineStr">
        <is>
          <t>N/A</t>
        </is>
      </c>
      <c r="K1174" s="47" t="inlineStr">
        <is>
          <t>N/A</t>
        </is>
      </c>
      <c r="L1174" s="47" t="inlineStr">
        <is>
          <t>N/A</t>
        </is>
      </c>
      <c r="M1174" s="47" t="inlineStr">
        <is>
          <t>N/A</t>
        </is>
      </c>
      <c r="N1174" s="47" t="inlineStr">
        <is>
          <t>USB-C (USB 3.2 Gen 1)</t>
        </is>
      </c>
      <c r="O1174" s="47" t="inlineStr">
        <is>
          <t>N/A</t>
        </is>
      </c>
      <c r="P1174" s="47" t="inlineStr">
        <is>
          <t>N/A</t>
        </is>
      </c>
      <c r="Q1174" s="50" t="n">
        <v>246</v>
      </c>
      <c r="R1174" s="47" t="inlineStr">
        <is>
          <t>Lower price than Nyx Flux SE 4TB External Hard Drive [NYX-115-04] ($131.99 vs $152.99); Lighter than Aidos Orbit 4TB External Hard Drive [AID-135-05] (246 g vs 250 g)</t>
        </is>
      </c>
      <c r="S1174" s="47" t="inlineStr">
        <is>
          <t>backup, media storage</t>
        </is>
      </c>
      <c r="T1174" s="0" t="inlineStr">
        <is>
          <t>out_of_stock</t>
        </is>
      </c>
      <c r="U1174" s="0" t="n">
        <v>30</v>
      </c>
      <c r="V1174" s="52" t="n">
        <v>149.99</v>
      </c>
      <c r="W1174" s="0" t="inlineStr">
        <is>
          <t>2026-08-26</t>
        </is>
      </c>
      <c r="X1174" s="0" t="inlineStr">
        <is>
          <t>N/A</t>
        </is>
      </c>
      <c r="Y1174" s="0" t="inlineStr">
        <is>
          <t>N/A</t>
        </is>
      </c>
      <c r="Z1174" s="0" t="inlineStr">
        <is>
          <t>N/A</t>
        </is>
      </c>
      <c r="AA1174" s="0" t="inlineStr">
        <is>
          <t>N/A</t>
        </is>
      </c>
    </row>
    <row r="1175" ht="15.75" customHeight="1" s="51">
      <c r="A1175" s="47" t="inlineStr">
        <is>
          <t>HEM-117-03</t>
        </is>
      </c>
      <c r="B1175" s="47" t="inlineStr">
        <is>
          <t>Hemera</t>
        </is>
      </c>
      <c r="C1175" s="47" t="inlineStr">
        <is>
          <t>Computer Hardware</t>
        </is>
      </c>
      <c r="D1175" s="47" t="inlineStr">
        <is>
          <t>Docking Station</t>
        </is>
      </c>
      <c r="E1175" s="48" t="inlineStr">
        <is>
          <t>Hemera Halo USB-C Docking Station</t>
        </is>
      </c>
      <c r="F1175" s="49" t="n">
        <v>145.99</v>
      </c>
      <c r="G1175" s="47" t="inlineStr">
        <is>
          <t>the Halo; Hemera Halo; Hemmera Halo; Halo docking station</t>
        </is>
      </c>
      <c r="H1175" s="47" t="inlineStr">
        <is>
          <t>2 year limited</t>
        </is>
      </c>
      <c r="I1175" s="47" t="inlineStr">
        <is>
          <t>FCC, CE, RoHS, USB-IF Certified, UL Listed</t>
        </is>
      </c>
      <c r="J1175" s="47" t="inlineStr">
        <is>
          <t>N/A</t>
        </is>
      </c>
      <c r="K1175" s="47" t="inlineStr">
        <is>
          <t>N/A</t>
        </is>
      </c>
      <c r="L1175" s="47" t="inlineStr">
        <is>
          <t>N/A</t>
        </is>
      </c>
      <c r="M1175" s="47" t="inlineStr">
        <is>
          <t>N/A</t>
        </is>
      </c>
      <c r="N1175" s="47" t="inlineStr">
        <is>
          <t>1x HDMI 2.0, 2x USB-A, 1x USB-C, SD card, 100W PD pass-through</t>
        </is>
      </c>
      <c r="O1175" s="47" t="inlineStr">
        <is>
          <t>N/A</t>
        </is>
      </c>
      <c r="P1175" s="47" t="inlineStr">
        <is>
          <t>N/A</t>
        </is>
      </c>
      <c r="Q1175" s="50" t="n">
        <v>322</v>
      </c>
      <c r="R1175" s="47" t="inlineStr">
        <is>
          <t>Lighter than Hestia Lumen Lite USB-C Docking Station [HES-116-04] (322 g vs 476 g); Lower price than Crius Sable X USB-C Docking Station [CRI-139-06] ($145.99 vs $151.99)</t>
        </is>
      </c>
      <c r="S1175" s="47" t="inlineStr">
        <is>
          <t>office, remote work, multi-monitor</t>
        </is>
      </c>
      <c r="T1175" s="0" t="inlineStr">
        <is>
          <t>in_stock</t>
        </is>
      </c>
      <c r="U1175" s="0" t="n">
        <v>30</v>
      </c>
      <c r="V1175" s="52" t="n">
        <v>164.99</v>
      </c>
      <c r="W1175" s="0" t="inlineStr">
        <is>
          <t>2026-09-03</t>
        </is>
      </c>
      <c r="X1175" s="0" t="inlineStr">
        <is>
          <t>N/A</t>
        </is>
      </c>
      <c r="Y1175" s="0" t="inlineStr">
        <is>
          <t>N/A</t>
        </is>
      </c>
      <c r="Z1175" s="0" t="inlineStr">
        <is>
          <t>N/A</t>
        </is>
      </c>
      <c r="AA1175" s="0" t="inlineStr">
        <is>
          <t>N/A</t>
        </is>
      </c>
    </row>
    <row r="1176" ht="15.75" customHeight="1" s="51">
      <c r="A1176" s="47" t="inlineStr">
        <is>
          <t>HEM-117-04</t>
        </is>
      </c>
      <c r="B1176" s="47" t="inlineStr">
        <is>
          <t>Hemera</t>
        </is>
      </c>
      <c r="C1176" s="47" t="inlineStr">
        <is>
          <t>Computer Hardware</t>
        </is>
      </c>
      <c r="D1176" s="47" t="inlineStr">
        <is>
          <t>Processor</t>
        </is>
      </c>
      <c r="E1176" s="48" t="inlineStr">
        <is>
          <t>Hemera Arc Pro Desktop CPU</t>
        </is>
      </c>
      <c r="F1176" s="49" t="n">
        <v>147.99</v>
      </c>
      <c r="G1176" s="47" t="inlineStr">
        <is>
          <t>the Arc Pro; Hemera Arc Pro; Heemra Arc Pro; Arc Pro processor</t>
        </is>
      </c>
      <c r="H1176" s="47" t="inlineStr">
        <is>
          <t>3 year limited</t>
        </is>
      </c>
      <c r="I1176" s="47" t="inlineStr">
        <is>
          <t>FCC, CE, RoHS</t>
        </is>
      </c>
      <c r="J1176" s="47" t="inlineStr">
        <is>
          <t>Hemera Arc 6-core / 12-thread, up to 4.6 GHz</t>
        </is>
      </c>
      <c r="K1176" s="47" t="inlineStr">
        <is>
          <t>Integrated graphics</t>
        </is>
      </c>
      <c r="L1176" s="47" t="inlineStr">
        <is>
          <t>N/A</t>
        </is>
      </c>
      <c r="M1176" s="47" t="inlineStr">
        <is>
          <t>N/A</t>
        </is>
      </c>
      <c r="N1176" s="47" t="inlineStr">
        <is>
          <t>N/A</t>
        </is>
      </c>
      <c r="O1176" s="47" t="inlineStr">
        <is>
          <t>N/A</t>
        </is>
      </c>
      <c r="P1176" s="47" t="inlineStr">
        <is>
          <t>N/A</t>
        </is>
      </c>
      <c r="Q1176" s="50" t="n">
        <v>57</v>
      </c>
      <c r="R1176" s="47" t="inlineStr">
        <is>
          <t>Lighter than Notus Apex SE Desktop CPU [NOT-108-07] (57 g vs 58 g); Lower price than Hyperion Volt Desktop CPU [HYP-123-09] ($147.99 vs $477.99)</t>
        </is>
      </c>
      <c r="S1176" s="47" t="inlineStr">
        <is>
          <t>gaming, content creation, workstation builds</t>
        </is>
      </c>
      <c r="T1176" s="0" t="inlineStr">
        <is>
          <t>low_stock</t>
        </is>
      </c>
      <c r="U1176" s="0" t="n">
        <v>30</v>
      </c>
      <c r="V1176" s="52" t="n">
        <v>165.99</v>
      </c>
      <c r="W1176" s="0" t="inlineStr">
        <is>
          <t>2026-08-24</t>
        </is>
      </c>
      <c r="X1176" s="0" t="inlineStr">
        <is>
          <t>N/A</t>
        </is>
      </c>
      <c r="Y1176" s="0" t="inlineStr">
        <is>
          <t>N/A</t>
        </is>
      </c>
      <c r="Z1176" s="0" t="inlineStr">
        <is>
          <t>N/A</t>
        </is>
      </c>
      <c r="AA1176" s="0" t="inlineStr">
        <is>
          <t>N/A</t>
        </is>
      </c>
    </row>
    <row r="1177" ht="15.75" customHeight="1" s="51">
      <c r="A1177" s="47" t="inlineStr">
        <is>
          <t>HEM-117-05</t>
        </is>
      </c>
      <c r="B1177" s="47" t="inlineStr">
        <is>
          <t>Hemera</t>
        </is>
      </c>
      <c r="C1177" s="47" t="inlineStr">
        <is>
          <t>Computer Hardware</t>
        </is>
      </c>
      <c r="D1177" s="47" t="inlineStr">
        <is>
          <t>Power Supply</t>
        </is>
      </c>
      <c r="E1177" s="48" t="inlineStr">
        <is>
          <t>Hemera Quanta Ultra 850W Power Supply</t>
        </is>
      </c>
      <c r="F1177" s="49" t="n">
        <v>175.99</v>
      </c>
      <c r="G1177" s="47" t="inlineStr">
        <is>
          <t>the Quanta Ultra; Hemera Quanta Ultra; Hemmera Quanta Ultra; Quanta Ultra power supply</t>
        </is>
      </c>
      <c r="H1177" s="47" t="inlineStr">
        <is>
          <t>7 year limited</t>
        </is>
      </c>
      <c r="I1177" s="47" t="inlineStr">
        <is>
          <t>FCC, CE, RoHS, 80 PLUS Platinum, UL Listed</t>
        </is>
      </c>
      <c r="J1177" s="47" t="inlineStr">
        <is>
          <t>N/A</t>
        </is>
      </c>
      <c r="K1177" s="47" t="inlineStr">
        <is>
          <t>N/A</t>
        </is>
      </c>
      <c r="L1177" s="47" t="inlineStr">
        <is>
          <t>N/A</t>
        </is>
      </c>
      <c r="M1177" s="47" t="inlineStr">
        <is>
          <t>N/A</t>
        </is>
      </c>
      <c r="N1177" s="47" t="inlineStr">
        <is>
          <t>ATX 3.1, native 12V-2x6 (600W) connector, fully modular</t>
        </is>
      </c>
      <c r="O1177" s="47" t="inlineStr">
        <is>
          <t>N/A</t>
        </is>
      </c>
      <c r="P1177" s="47" t="inlineStr">
        <is>
          <t>N/A</t>
        </is>
      </c>
      <c r="Q1177" s="50" t="n">
        <v>2096</v>
      </c>
      <c r="R1177" s="47" t="inlineStr">
        <is>
          <t>Lower price than Perses Aria 850W Power Supply [PER-101-06] ($175.99 vs $224.99); Lighter than Aphrodite Vertex Lite 850W Power Supply [APH-141-04] (2,096 g vs 2,141 g)</t>
        </is>
      </c>
      <c r="S1177" s="47" t="inlineStr">
        <is>
          <t>PC building, high-end gaming</t>
        </is>
      </c>
      <c r="T1177" s="0" t="inlineStr">
        <is>
          <t>out_of_stock</t>
        </is>
      </c>
      <c r="U1177" s="0" t="n">
        <v>30</v>
      </c>
      <c r="V1177" s="52" t="n">
        <v>187.99</v>
      </c>
      <c r="W1177" s="0" t="inlineStr">
        <is>
          <t>2026-09-04</t>
        </is>
      </c>
      <c r="X1177" s="0" t="inlineStr">
        <is>
          <t>N/A</t>
        </is>
      </c>
      <c r="Y1177" s="0" t="inlineStr">
        <is>
          <t>N/A</t>
        </is>
      </c>
      <c r="Z1177" s="0" t="inlineStr">
        <is>
          <t>N/A</t>
        </is>
      </c>
      <c r="AA1177" s="0" t="inlineStr">
        <is>
          <t>N/A</t>
        </is>
      </c>
    </row>
    <row r="1178" ht="15.75" customHeight="1" s="51">
      <c r="A1178" s="47" t="inlineStr">
        <is>
          <t>HEM-117-06</t>
        </is>
      </c>
      <c r="B1178" s="47" t="inlineStr">
        <is>
          <t>Hemera</t>
        </is>
      </c>
      <c r="C1178" s="47" t="inlineStr">
        <is>
          <t>Computer Hardware</t>
        </is>
      </c>
      <c r="D1178" s="47" t="inlineStr">
        <is>
          <t>Storage</t>
        </is>
      </c>
      <c r="E1178" s="48" t="inlineStr">
        <is>
          <t>Hemera Onyx Pro 2TB NVMe SSD</t>
        </is>
      </c>
      <c r="F1178" s="49" t="n">
        <v>189.99</v>
      </c>
      <c r="G1178" s="47" t="inlineStr">
        <is>
          <t>the Onyx Pro; Hemera Onyx Pro; Hemmera Onyx Pro; Onyx Pro storage</t>
        </is>
      </c>
      <c r="H1178" s="47" t="inlineStr">
        <is>
          <t>5 year limited</t>
        </is>
      </c>
      <c r="I1178" s="47" t="inlineStr">
        <is>
          <t>FCC, CE, RoHS</t>
        </is>
      </c>
      <c r="J1178" s="47" t="inlineStr">
        <is>
          <t>Controller: Phison E27T</t>
        </is>
      </c>
      <c r="K1178" s="47" t="inlineStr">
        <is>
          <t>N/A</t>
        </is>
      </c>
      <c r="L1178" s="47" t="inlineStr">
        <is>
          <t>N/A</t>
        </is>
      </c>
      <c r="M1178" s="47" t="inlineStr">
        <is>
          <t>N/A</t>
        </is>
      </c>
      <c r="N1178" s="47" t="inlineStr">
        <is>
          <t>M.2 2280, PCIe 4.0 x4 NVMe</t>
        </is>
      </c>
      <c r="O1178" s="47" t="inlineStr">
        <is>
          <t>N/A</t>
        </is>
      </c>
      <c r="P1178" s="47" t="inlineStr">
        <is>
          <t>N/A</t>
        </is>
      </c>
      <c r="Q1178" s="50" t="n">
        <v>13</v>
      </c>
      <c r="R1178" s="47" t="inlineStr">
        <is>
          <t>Lighter than Notus Echo SE 2TB NVMe SSD [NOT-108-05] (13 g vs 18 g); Lower price than Harmonia Prism 2TB NVMe SSD [HAR-106-08] ($189.99 vs $261.99)</t>
        </is>
      </c>
      <c r="S1178" s="47" t="inlineStr">
        <is>
          <t>gaming, fast boot, content creation</t>
        </is>
      </c>
      <c r="T1178" s="0" t="inlineStr">
        <is>
          <t>in_stock</t>
        </is>
      </c>
      <c r="U1178" s="0" t="n">
        <v>30</v>
      </c>
      <c r="V1178" s="52" t="n">
        <v>212.99</v>
      </c>
      <c r="W1178" s="0" t="inlineStr">
        <is>
          <t>2026-08-23</t>
        </is>
      </c>
      <c r="X1178" s="0" t="inlineStr">
        <is>
          <t>N/A</t>
        </is>
      </c>
      <c r="Y1178" s="0" t="inlineStr">
        <is>
          <t>N/A</t>
        </is>
      </c>
      <c r="Z1178" s="0" t="inlineStr">
        <is>
          <t>N/A</t>
        </is>
      </c>
      <c r="AA1178" s="0" t="inlineStr">
        <is>
          <t>N/A</t>
        </is>
      </c>
    </row>
    <row r="1179" ht="15.75" customHeight="1" s="51">
      <c r="A1179" s="47" t="inlineStr">
        <is>
          <t>HEM-117-07</t>
        </is>
      </c>
      <c r="B1179" s="47" t="inlineStr">
        <is>
          <t>Hemera</t>
        </is>
      </c>
      <c r="C1179" s="47" t="inlineStr">
        <is>
          <t>Computer Hardware</t>
        </is>
      </c>
      <c r="D1179" s="47" t="inlineStr">
        <is>
          <t>Memory</t>
        </is>
      </c>
      <c r="E1179" s="48" t="inlineStr">
        <is>
          <t>Hemera Crest Air 32GB DDR5 RAM Kit</t>
        </is>
      </c>
      <c r="F1179" s="49" t="n">
        <v>211.99</v>
      </c>
      <c r="G1179" s="47" t="inlineStr">
        <is>
          <t>the Crest Air; Hemera Crest Air; Hemeera Crest Air; Crest Air memory</t>
        </is>
      </c>
      <c r="H1179" s="47" t="inlineStr">
        <is>
          <t>Limited lifetime</t>
        </is>
      </c>
      <c r="I1179" s="47" t="inlineStr">
        <is>
          <t>FCC, CE, RoHS</t>
        </is>
      </c>
      <c r="J1179" s="47" t="inlineStr">
        <is>
          <t>N/A</t>
        </is>
      </c>
      <c r="K1179" s="47" t="inlineStr">
        <is>
          <t>N/A</t>
        </is>
      </c>
      <c r="L1179" s="47" t="inlineStr">
        <is>
          <t>N/A</t>
        </is>
      </c>
      <c r="M1179" s="47" t="inlineStr">
        <is>
          <t>N/A</t>
        </is>
      </c>
      <c r="N1179" s="47" t="inlineStr">
        <is>
          <t>2x 16GB DDR5 288-pin DIMM, 6400 MT/s</t>
        </is>
      </c>
      <c r="O1179" s="47" t="inlineStr">
        <is>
          <t>N/A</t>
        </is>
      </c>
      <c r="P1179" s="47" t="inlineStr">
        <is>
          <t>N/A</t>
        </is>
      </c>
      <c r="Q1179" s="50" t="n">
        <v>69</v>
      </c>
      <c r="R1179" s="47" t="inlineStr">
        <is>
          <t>Lighter than Ares Titan 32GB DDR5 RAM Kit [ARE-140-08] (69 g vs 79 g); Lower price than Enyo Onyx Lite 32GB DDR5 RAM Kit [ENY-114-05] ($211.99 vs $221.99)</t>
        </is>
      </c>
      <c r="S1179" s="47" t="inlineStr">
        <is>
          <t>gaming, multitasking, PC building</t>
        </is>
      </c>
      <c r="T1179" s="0" t="inlineStr">
        <is>
          <t>in_stock</t>
        </is>
      </c>
      <c r="U1179" s="0" t="n">
        <v>30</v>
      </c>
      <c r="V1179" s="52" t="n">
        <v>219.99</v>
      </c>
      <c r="W1179" s="0" t="inlineStr">
        <is>
          <t>2026-09-01</t>
        </is>
      </c>
      <c r="X1179" s="0" t="inlineStr">
        <is>
          <t>N/A</t>
        </is>
      </c>
      <c r="Y1179" s="0" t="inlineStr">
        <is>
          <t>N/A</t>
        </is>
      </c>
      <c r="Z1179" s="0" t="inlineStr">
        <is>
          <t>N/A</t>
        </is>
      </c>
      <c r="AA1179" s="0" t="inlineStr">
        <is>
          <t>N/A</t>
        </is>
      </c>
    </row>
    <row r="1180" ht="15.75" customHeight="1" s="51">
      <c r="A1180" s="47" t="inlineStr">
        <is>
          <t>HEM-117-08</t>
        </is>
      </c>
      <c r="B1180" s="47" t="inlineStr">
        <is>
          <t>Hemera</t>
        </is>
      </c>
      <c r="C1180" s="47" t="inlineStr">
        <is>
          <t>Computer Hardware</t>
        </is>
      </c>
      <c r="D1180" s="47" t="inlineStr">
        <is>
          <t>Motherboard</t>
        </is>
      </c>
      <c r="E1180" s="48" t="inlineStr">
        <is>
          <t>Hemera Rift SE ATX Motherboard</t>
        </is>
      </c>
      <c r="F1180" s="49" t="n">
        <v>232.99</v>
      </c>
      <c r="G1180" s="47" t="inlineStr">
        <is>
          <t>the Rift SE; Hemera Rift SE; Hemrea Rift SE; Rift SE motherboard</t>
        </is>
      </c>
      <c r="H1180" s="47" t="inlineStr">
        <is>
          <t>3 year limited</t>
        </is>
      </c>
      <c r="I1180" s="47" t="inlineStr">
        <is>
          <t>FCC, CE, RoHS</t>
        </is>
      </c>
      <c r="J1180" s="47" t="inlineStr">
        <is>
          <t>Supports AMD Ryzen 7000/8000/9000 (Socket AM5)</t>
        </is>
      </c>
      <c r="K1180" s="47" t="inlineStr">
        <is>
          <t>N/A</t>
        </is>
      </c>
      <c r="L1180" s="47" t="inlineStr">
        <is>
          <t>N/A</t>
        </is>
      </c>
      <c r="M1180" s="47" t="inlineStr">
        <is>
          <t>N/A</t>
        </is>
      </c>
      <c r="N1180" s="47" t="inlineStr">
        <is>
          <t>Rear I/O: 1x HDMI, 6x USB-A, 1x USB-C 10Gbps, 2.5GbE, Wi-Fi 6E</t>
        </is>
      </c>
      <c r="O1180" s="47" t="inlineStr">
        <is>
          <t>N/A</t>
        </is>
      </c>
      <c r="P1180" s="47" t="inlineStr">
        <is>
          <t>N/A</t>
        </is>
      </c>
      <c r="Q1180" s="50" t="n">
        <v>1310</v>
      </c>
      <c r="R1180" s="47" t="inlineStr">
        <is>
          <t>Lower price than Harmonia Sable SE ATX Motherboard [HAR-106-09] ($232.99 vs $305.99); Lighter than Notus Titan Plus ATX Motherboard [NOT-108-08] (1,310 g vs 1,458 g)</t>
        </is>
      </c>
      <c r="S1180" s="47" t="inlineStr">
        <is>
          <t>PC building, gaming, workstation builds</t>
        </is>
      </c>
      <c r="T1180" s="0" t="inlineStr">
        <is>
          <t>in_stock</t>
        </is>
      </c>
      <c r="U1180" s="0" t="n">
        <v>30</v>
      </c>
      <c r="V1180" s="52" t="n">
        <v>254.99</v>
      </c>
      <c r="W1180" s="0" t="inlineStr">
        <is>
          <t>2026-08-08</t>
        </is>
      </c>
      <c r="X1180" s="0" t="inlineStr">
        <is>
          <t>N/A</t>
        </is>
      </c>
      <c r="Y1180" s="0" t="inlineStr">
        <is>
          <t>N/A</t>
        </is>
      </c>
      <c r="Z1180" s="0" t="inlineStr">
        <is>
          <t>N/A</t>
        </is>
      </c>
      <c r="AA1180" s="0" t="inlineStr">
        <is>
          <t>N/A</t>
        </is>
      </c>
    </row>
    <row r="1181" ht="15.75" customHeight="1" s="51">
      <c r="A1181" s="47" t="inlineStr">
        <is>
          <t>HEM-117-09</t>
        </is>
      </c>
      <c r="B1181" s="47" t="inlineStr">
        <is>
          <t>Hemera</t>
        </is>
      </c>
      <c r="C1181" s="47" t="inlineStr">
        <is>
          <t>Computer Hardware</t>
        </is>
      </c>
      <c r="D1181" s="47" t="inlineStr">
        <is>
          <t>Monitor</t>
        </is>
      </c>
      <c r="E1181" s="48" t="inlineStr">
        <is>
          <t>Hemera Nova 27" 1440p Monitor</t>
        </is>
      </c>
      <c r="F1181" s="49" t="n">
        <v>283.99</v>
      </c>
      <c r="G1181" s="47" t="inlineStr">
        <is>
          <t>the Nova; Hemera Nova; Hemrea Nova; Nova monitor</t>
        </is>
      </c>
      <c r="H1181" s="47" t="inlineStr">
        <is>
          <t>3 year limited</t>
        </is>
      </c>
      <c r="I1181" s="47" t="inlineStr">
        <is>
          <t>FCC, CE, RoHS, Energy Star, TUV Rheinland Low Blue Light, VESA DisplayHDR 400</t>
        </is>
      </c>
      <c r="J1181" s="47" t="inlineStr">
        <is>
          <t>N/A</t>
        </is>
      </c>
      <c r="K1181" s="47" t="inlineStr">
        <is>
          <t>N/A</t>
        </is>
      </c>
      <c r="L1181" s="47" t="inlineStr">
        <is>
          <t>VA, 144Hz</t>
        </is>
      </c>
      <c r="M1181" s="47" t="inlineStr">
        <is>
          <t>2560x1440</t>
        </is>
      </c>
      <c r="N1181" s="47" t="inlineStr">
        <is>
          <t>2x HDMI 2.1, 1x DisplayPort 1.4</t>
        </is>
      </c>
      <c r="O1181" s="47" t="inlineStr">
        <is>
          <t>N/A</t>
        </is>
      </c>
      <c r="P1181" s="47" t="inlineStr">
        <is>
          <t>N/A</t>
        </is>
      </c>
      <c r="Q1181" s="50" t="n">
        <v>5549</v>
      </c>
      <c r="R1181" s="47" t="inlineStr">
        <is>
          <t>Lower price than Urania Wave Air 27" 1440p Monitor [URA-136-09] ($283.99 vs $548.99); Lighter than Dione Lumen Air 27" 1440p Monitor [DIO-128-09] (5,549 g vs 6,218 g)</t>
        </is>
      </c>
      <c r="S1181" s="47" t="inlineStr">
        <is>
          <t>gaming, office, content creation</t>
        </is>
      </c>
      <c r="T1181" s="0" t="inlineStr">
        <is>
          <t>low_stock</t>
        </is>
      </c>
      <c r="U1181" s="0" t="n">
        <v>30</v>
      </c>
      <c r="V1181" s="52" t="n">
        <v>316.99</v>
      </c>
      <c r="W1181" s="0" t="inlineStr">
        <is>
          <t>2026-09-16</t>
        </is>
      </c>
      <c r="X1181" s="0" t="inlineStr">
        <is>
          <t>N/A</t>
        </is>
      </c>
      <c r="Y1181" s="0" t="inlineStr">
        <is>
          <t>N/A</t>
        </is>
      </c>
      <c r="Z1181" s="0" t="inlineStr">
        <is>
          <t>N/A</t>
        </is>
      </c>
      <c r="AA1181" s="0" t="inlineStr">
        <is>
          <t>N/A</t>
        </is>
      </c>
    </row>
    <row r="1182" ht="15.75" customHeight="1" s="51">
      <c r="A1182" s="47" t="inlineStr">
        <is>
          <t>HEM-117-10</t>
        </is>
      </c>
      <c r="B1182" s="47" t="inlineStr">
        <is>
          <t>Hemera</t>
        </is>
      </c>
      <c r="C1182" s="47" t="inlineStr">
        <is>
          <t>Computer Hardware</t>
        </is>
      </c>
      <c r="D1182" s="47" t="inlineStr">
        <is>
          <t>Graphics Card</t>
        </is>
      </c>
      <c r="E1182" s="48" t="inlineStr">
        <is>
          <t>Hemera Lumen Max Graphics Card</t>
        </is>
      </c>
      <c r="F1182" s="49" t="n">
        <v>1278.99</v>
      </c>
      <c r="G1182" s="47" t="inlineStr">
        <is>
          <t>the Lumen Max; Hemera Lumen Max; Hmeera Lumen Max; Lumen Max graphics card</t>
        </is>
      </c>
      <c r="H1182" s="47" t="inlineStr">
        <is>
          <t>3 year limited</t>
        </is>
      </c>
      <c r="I1182" s="47" t="inlineStr">
        <is>
          <t>FCC, CE, RoHS</t>
        </is>
      </c>
      <c r="J1182" s="47" t="inlineStr">
        <is>
          <t>N/A</t>
        </is>
      </c>
      <c r="K1182" s="47" t="inlineStr">
        <is>
          <t>NVIDIA GeForce RTX 4090 24GB (Hemera Lumen edition)</t>
        </is>
      </c>
      <c r="L1182" s="47" t="inlineStr">
        <is>
          <t>N/A</t>
        </is>
      </c>
      <c r="M1182" s="47" t="inlineStr">
        <is>
          <t>N/A</t>
        </is>
      </c>
      <c r="N1182" s="47" t="inlineStr">
        <is>
          <t>3x DisplayPort 1.4a, 1x HDMI 2.1a</t>
        </is>
      </c>
      <c r="O1182" s="47" t="inlineStr">
        <is>
          <t>N/A</t>
        </is>
      </c>
      <c r="P1182" s="47" t="inlineStr">
        <is>
          <t>N/A</t>
        </is>
      </c>
      <c r="Q1182" s="50" t="n">
        <v>1256</v>
      </c>
      <c r="R1182" s="47" t="inlineStr">
        <is>
          <t>Lighter than Eos Spark X Graphics Card [EOS-111-10] (1,256 g vs 1,437 g); Lower price than Perses Arc Max Graphics Card [PER-101-10] ($1,278.99 vs $1,593.99)</t>
        </is>
      </c>
      <c r="S1182" s="47" t="inlineStr">
        <is>
          <t>gaming, 3D rendering, AI workloads</t>
        </is>
      </c>
      <c r="T1182" s="0" t="inlineStr">
        <is>
          <t>in_stock</t>
        </is>
      </c>
      <c r="U1182" s="0" t="n">
        <v>30</v>
      </c>
      <c r="V1182" s="52" t="n">
        <v>1421.99</v>
      </c>
      <c r="W1182" s="0" t="inlineStr">
        <is>
          <t>2026-09-24</t>
        </is>
      </c>
      <c r="X1182" s="0" t="inlineStr">
        <is>
          <t>N/A</t>
        </is>
      </c>
      <c r="Y1182" s="0" t="inlineStr">
        <is>
          <t>N/A</t>
        </is>
      </c>
      <c r="Z1182" s="0" t="inlineStr">
        <is>
          <t>N/A</t>
        </is>
      </c>
      <c r="AA1182" s="0" t="inlineStr">
        <is>
          <t>N/A</t>
        </is>
      </c>
    </row>
    <row r="1183" ht="15.75" customHeight="1" s="51">
      <c r="A1183" s="47" t="inlineStr">
        <is>
          <t>DIO-118-01</t>
        </is>
      </c>
      <c r="B1183" s="47" t="inlineStr">
        <is>
          <t>Dionysus</t>
        </is>
      </c>
      <c r="C1183" s="47" t="inlineStr">
        <is>
          <t>Computer Hardware</t>
        </is>
      </c>
      <c r="D1183" s="47" t="inlineStr">
        <is>
          <t>Networking</t>
        </is>
      </c>
      <c r="E1183" s="48" t="inlineStr">
        <is>
          <t>Dionysus Titan Max Wi-Fi 7 PCIe Card</t>
        </is>
      </c>
      <c r="F1183" s="49" t="n">
        <v>53.99</v>
      </c>
      <c r="G1183" s="47" t="inlineStr">
        <is>
          <t>the Titan Max; Dionysus Titan Max; Dionyuss Titan Max; Titan Max networking</t>
        </is>
      </c>
      <c r="H1183" s="47" t="inlineStr">
        <is>
          <t>2 year limited</t>
        </is>
      </c>
      <c r="I1183" s="47" t="inlineStr">
        <is>
          <t>FCC, CE, RoHS, Wi-Fi CERTIFIED 7, Bluetooth SIG Qualified</t>
        </is>
      </c>
      <c r="J1183" s="47" t="inlineStr">
        <is>
          <t>Chipset: Qualcomm FastConnect 7800</t>
        </is>
      </c>
      <c r="K1183" s="47" t="inlineStr">
        <is>
          <t>N/A</t>
        </is>
      </c>
      <c r="L1183" s="47" t="inlineStr">
        <is>
          <t>N/A</t>
        </is>
      </c>
      <c r="M1183" s="47" t="inlineStr">
        <is>
          <t>N/A</t>
        </is>
      </c>
      <c r="N1183" s="47" t="inlineStr">
        <is>
          <t>PCIe x1, internal USB 2.0 header (Bluetooth 5.4), 2x external antennas</t>
        </is>
      </c>
      <c r="O1183" s="47" t="inlineStr">
        <is>
          <t>N/A</t>
        </is>
      </c>
      <c r="P1183" s="47" t="inlineStr">
        <is>
          <t>N/A</t>
        </is>
      </c>
      <c r="Q1183" s="50" t="n">
        <v>83</v>
      </c>
      <c r="R1183" s="47" t="inlineStr">
        <is>
          <t>Lighter than Phoebe Orbit Air Wi-Fi 7 PCIe Card [PHO-143-04] (83 g vs 88 g); Lower price than Kairos Volt SE Wi-Fi 7 PCIe Card [KAI-142-05] ($53.99 vs $111.99)</t>
        </is>
      </c>
      <c r="S1183" s="47" t="inlineStr">
        <is>
          <t>gaming, streaming, PC building</t>
        </is>
      </c>
      <c r="T1183" s="0" t="inlineStr">
        <is>
          <t>in_stock</t>
        </is>
      </c>
      <c r="U1183" s="0" t="n">
        <v>30</v>
      </c>
      <c r="V1183" s="52" t="n">
        <v>58.99</v>
      </c>
      <c r="W1183" s="0" t="inlineStr">
        <is>
          <t>2026-08-27</t>
        </is>
      </c>
      <c r="X1183" s="0" t="inlineStr">
        <is>
          <t>N/A</t>
        </is>
      </c>
      <c r="Y1183" s="0" t="inlineStr">
        <is>
          <t>N/A</t>
        </is>
      </c>
      <c r="Z1183" s="0" t="inlineStr">
        <is>
          <t>N/A</t>
        </is>
      </c>
      <c r="AA1183" s="0" t="inlineStr">
        <is>
          <t>N/A</t>
        </is>
      </c>
    </row>
    <row r="1184" ht="15.75" customHeight="1" s="51">
      <c r="A1184" s="47" t="inlineStr">
        <is>
          <t>DIO-118-02</t>
        </is>
      </c>
      <c r="B1184" s="47" t="inlineStr">
        <is>
          <t>Dionysus</t>
        </is>
      </c>
      <c r="C1184" s="47" t="inlineStr">
        <is>
          <t>Computer Hardware</t>
        </is>
      </c>
      <c r="D1184" s="47" t="inlineStr">
        <is>
          <t>Case Fans</t>
        </is>
      </c>
      <c r="E1184" s="48" t="inlineStr">
        <is>
          <t>Dionysus Aeon SE RGB Case Fan 3-Pack</t>
        </is>
      </c>
      <c r="F1184" s="49" t="n">
        <v>81.98999999999999</v>
      </c>
      <c r="G1184" s="47" t="inlineStr">
        <is>
          <t>the Aeon SE; Dionysus Aeon SE; Dionyuss Aeon SE; Aeon SE case fans</t>
        </is>
      </c>
      <c r="H1184" s="47" t="inlineStr">
        <is>
          <t>2 year limited</t>
        </is>
      </c>
      <c r="I1184" s="47" t="inlineStr">
        <is>
          <t>FCC, CE, RoHS</t>
        </is>
      </c>
      <c r="J1184" s="47" t="inlineStr">
        <is>
          <t>N/A</t>
        </is>
      </c>
      <c r="K1184" s="47" t="inlineStr">
        <is>
          <t>N/A</t>
        </is>
      </c>
      <c r="L1184" s="47" t="inlineStr">
        <is>
          <t>N/A</t>
        </is>
      </c>
      <c r="M1184" s="47" t="inlineStr">
        <is>
          <t>N/A</t>
        </is>
      </c>
      <c r="N1184" s="47" t="inlineStr">
        <is>
          <t>4-pin PWM, 3-pin 5V ARGB, daisy-chain connectors</t>
        </is>
      </c>
      <c r="O1184" s="47" t="inlineStr">
        <is>
          <t>N/A</t>
        </is>
      </c>
      <c r="P1184" s="47" t="inlineStr">
        <is>
          <t>N/A</t>
        </is>
      </c>
      <c r="Q1184" s="50" t="n">
        <v>454</v>
      </c>
      <c r="R1184" s="47" t="inlineStr">
        <is>
          <t>Lower price than Apate Onyx Plus RGB Case Fan 3-Pack [APA-110-02] ($81.99 vs $84.99); Lighter than Harmonia Halo Lite RGB Case Fan 3-Pack [HAR-106-01] (454 g vs 491 g)</t>
        </is>
      </c>
      <c r="S1184" s="47" t="inlineStr">
        <is>
          <t>PC building, cooling, RGB builds</t>
        </is>
      </c>
      <c r="T1184" s="0" t="inlineStr">
        <is>
          <t>in_stock</t>
        </is>
      </c>
      <c r="U1184" s="0" t="n">
        <v>30</v>
      </c>
      <c r="V1184" s="52" t="n">
        <v>93.98999999999999</v>
      </c>
      <c r="W1184" s="0" t="inlineStr">
        <is>
          <t>2026-09-24</t>
        </is>
      </c>
      <c r="X1184" s="0" t="inlineStr">
        <is>
          <t>N/A</t>
        </is>
      </c>
      <c r="Y1184" s="0" t="inlineStr">
        <is>
          <t>N/A</t>
        </is>
      </c>
      <c r="Z1184" s="0" t="inlineStr">
        <is>
          <t>N/A</t>
        </is>
      </c>
      <c r="AA1184" s="0" t="inlineStr">
        <is>
          <t>N/A</t>
        </is>
      </c>
    </row>
    <row r="1185" ht="15.75" customHeight="1" s="51">
      <c r="A1185" s="47" t="inlineStr">
        <is>
          <t>DIO-118-03</t>
        </is>
      </c>
      <c r="B1185" s="47" t="inlineStr">
        <is>
          <t>Dionysus</t>
        </is>
      </c>
      <c r="C1185" s="47" t="inlineStr">
        <is>
          <t>Computer Hardware</t>
        </is>
      </c>
      <c r="D1185" s="47" t="inlineStr">
        <is>
          <t>Power Supply</t>
        </is>
      </c>
      <c r="E1185" s="48" t="inlineStr">
        <is>
          <t>Dionysus Apex 850W Power Supply</t>
        </is>
      </c>
      <c r="F1185" s="49" t="n">
        <v>100.99</v>
      </c>
      <c r="G1185" s="47" t="inlineStr">
        <is>
          <t>the Apex; Dionysus Apex; Dionysos Apex; Apex power supply</t>
        </is>
      </c>
      <c r="H1185" s="47" t="inlineStr">
        <is>
          <t>10 year limited</t>
        </is>
      </c>
      <c r="I1185" s="47" t="inlineStr">
        <is>
          <t>FCC, CE, RoHS, 80 PLUS Gold, UL Listed</t>
        </is>
      </c>
      <c r="J1185" s="47" t="inlineStr">
        <is>
          <t>N/A</t>
        </is>
      </c>
      <c r="K1185" s="47" t="inlineStr">
        <is>
          <t>N/A</t>
        </is>
      </c>
      <c r="L1185" s="47" t="inlineStr">
        <is>
          <t>N/A</t>
        </is>
      </c>
      <c r="M1185" s="47" t="inlineStr">
        <is>
          <t>N/A</t>
        </is>
      </c>
      <c r="N1185" s="47" t="inlineStr">
        <is>
          <t>ATX 3.1, native 12V-2x6 (600W) connector, semi-modular</t>
        </is>
      </c>
      <c r="O1185" s="47" t="inlineStr">
        <is>
          <t>N/A</t>
        </is>
      </c>
      <c r="P1185" s="47" t="inlineStr">
        <is>
          <t>N/A</t>
        </is>
      </c>
      <c r="Q1185" s="50" t="n">
        <v>1956</v>
      </c>
      <c r="R1185" s="47" t="inlineStr">
        <is>
          <t>Lighter than Aidos Wave X 850W Power Supply [AID-135-04] (1,956 g vs 2,205 g); Lower price than Iris Quanta X 850W Power Supply [IRI-130-03] ($100.99 vs $149.99)</t>
        </is>
      </c>
      <c r="S1185" s="47" t="inlineStr">
        <is>
          <t>PC building, high-end gaming</t>
        </is>
      </c>
      <c r="T1185" s="0" t="inlineStr">
        <is>
          <t>in_stock</t>
        </is>
      </c>
      <c r="U1185" s="0" t="n">
        <v>30</v>
      </c>
      <c r="V1185" s="52" t="n">
        <v>111.99</v>
      </c>
      <c r="W1185" s="0" t="inlineStr">
        <is>
          <t>2026-08-20</t>
        </is>
      </c>
      <c r="X1185" s="0" t="inlineStr">
        <is>
          <t>N/A</t>
        </is>
      </c>
      <c r="Y1185" s="0" t="inlineStr">
        <is>
          <t>N/A</t>
        </is>
      </c>
      <c r="Z1185" s="0" t="inlineStr">
        <is>
          <t>N/A</t>
        </is>
      </c>
      <c r="AA1185" s="0" t="inlineStr">
        <is>
          <t>N/A</t>
        </is>
      </c>
    </row>
    <row r="1186" ht="15.75" customHeight="1" s="51">
      <c r="A1186" s="47" t="inlineStr">
        <is>
          <t>DIO-118-04</t>
        </is>
      </c>
      <c r="B1186" s="47" t="inlineStr">
        <is>
          <t>Dionysus</t>
        </is>
      </c>
      <c r="C1186" s="47" t="inlineStr">
        <is>
          <t>Computer Hardware</t>
        </is>
      </c>
      <c r="D1186" s="47" t="inlineStr">
        <is>
          <t>PC Case</t>
        </is>
      </c>
      <c r="E1186" s="48" t="inlineStr">
        <is>
          <t>Dionysus Vertex Mid-Tower PC Case</t>
        </is>
      </c>
      <c r="F1186" s="49" t="n">
        <v>135.99</v>
      </c>
      <c r="G1186" s="47" t="inlineStr">
        <is>
          <t>the Vertex; Dionysus Vertex; Dionysuss Vertex; Vertex pc case</t>
        </is>
      </c>
      <c r="H1186" s="47" t="inlineStr">
        <is>
          <t>2 year limited</t>
        </is>
      </c>
      <c r="I1186" s="47" t="inlineStr">
        <is>
          <t>FCC, CE, RoHS, UL 94 V-0 (materials)</t>
        </is>
      </c>
      <c r="J1186" s="47" t="inlineStr">
        <is>
          <t>N/A</t>
        </is>
      </c>
      <c r="K1186" s="47" t="inlineStr">
        <is>
          <t>N/A</t>
        </is>
      </c>
      <c r="L1186" s="47" t="inlineStr">
        <is>
          <t>N/A</t>
        </is>
      </c>
      <c r="M1186" s="47" t="inlineStr">
        <is>
          <t>N/A</t>
        </is>
      </c>
      <c r="N1186" s="47" t="inlineStr">
        <is>
          <t>Front I/O: 1x USB-C 10Gbps, 2x USB-A 3.0, 3.5mm combo audio</t>
        </is>
      </c>
      <c r="O1186" s="47" t="inlineStr">
        <is>
          <t>N/A</t>
        </is>
      </c>
      <c r="P1186" s="47" t="inlineStr">
        <is>
          <t>N/A</t>
        </is>
      </c>
      <c r="Q1186" s="50" t="n">
        <v>8137</v>
      </c>
      <c r="R1186" s="47" t="inlineStr">
        <is>
          <t>Lighter than Nyx Strata Lite Mid-Tower PC Case [NYX-115-02] (8,137 g vs 8,441 g); Lower price than Harmonia Pulse SE Mid-Tower PC Case [HAR-106-04] ($135.99 vs $150.99)</t>
        </is>
      </c>
      <c r="S1186" s="47" t="inlineStr">
        <is>
          <t>PC building, gaming</t>
        </is>
      </c>
      <c r="T1186" s="0" t="inlineStr">
        <is>
          <t>in_stock</t>
        </is>
      </c>
      <c r="U1186" s="0" t="n">
        <v>30</v>
      </c>
      <c r="V1186" s="52" t="n">
        <v>144.99</v>
      </c>
      <c r="W1186" s="0" t="inlineStr">
        <is>
          <t>2026-09-10</t>
        </is>
      </c>
      <c r="X1186" s="0" t="inlineStr">
        <is>
          <t>N/A</t>
        </is>
      </c>
      <c r="Y1186" s="0" t="inlineStr">
        <is>
          <t>N/A</t>
        </is>
      </c>
      <c r="Z1186" s="0" t="inlineStr">
        <is>
          <t>N/A</t>
        </is>
      </c>
      <c r="AA1186" s="0" t="inlineStr">
        <is>
          <t>N/A</t>
        </is>
      </c>
    </row>
    <row r="1187" ht="15.75" customHeight="1" s="51">
      <c r="A1187" s="47" t="inlineStr">
        <is>
          <t>DIO-118-05</t>
        </is>
      </c>
      <c r="B1187" s="47" t="inlineStr">
        <is>
          <t>Dionysus</t>
        </is>
      </c>
      <c r="C1187" s="47" t="inlineStr">
        <is>
          <t>Computer Hardware</t>
        </is>
      </c>
      <c r="D1187" s="47" t="inlineStr">
        <is>
          <t>Processor</t>
        </is>
      </c>
      <c r="E1187" s="48" t="inlineStr">
        <is>
          <t>Dionysus Echo Desktop CPU</t>
        </is>
      </c>
      <c r="F1187" s="49" t="n">
        <v>148.99</v>
      </c>
      <c r="G1187" s="47" t="inlineStr">
        <is>
          <t>the Echo; Dionysus Echo; Dioynsus Echo; Echo processor</t>
        </is>
      </c>
      <c r="H1187" s="47" t="inlineStr">
        <is>
          <t>3 year limited</t>
        </is>
      </c>
      <c r="I1187" s="47" t="inlineStr">
        <is>
          <t>FCC, CE, RoHS</t>
        </is>
      </c>
      <c r="J1187" s="47" t="inlineStr">
        <is>
          <t>Dionysus Echo 6-core / 12-thread, up to 4.6 GHz</t>
        </is>
      </c>
      <c r="K1187" s="47" t="inlineStr">
        <is>
          <t>None (discrete GPU required)</t>
        </is>
      </c>
      <c r="L1187" s="47" t="inlineStr">
        <is>
          <t>N/A</t>
        </is>
      </c>
      <c r="M1187" s="47" t="inlineStr">
        <is>
          <t>N/A</t>
        </is>
      </c>
      <c r="N1187" s="47" t="inlineStr">
        <is>
          <t>N/A</t>
        </is>
      </c>
      <c r="O1187" s="47" t="inlineStr">
        <is>
          <t>N/A</t>
        </is>
      </c>
      <c r="P1187" s="47" t="inlineStr">
        <is>
          <t>N/A</t>
        </is>
      </c>
      <c r="Q1187" s="50" t="n">
        <v>46</v>
      </c>
      <c r="R1187" s="47" t="inlineStr">
        <is>
          <t>Lower price than Eros Core Desktop CPU [ERO-134-08] ($148.99 vs $196.99); Lighter than Euterpe Quanta Desktop CPU [EUT-120-09] (46 g vs 52 g)</t>
        </is>
      </c>
      <c r="S1187" s="47" t="inlineStr">
        <is>
          <t>gaming, content creation, workstation builds</t>
        </is>
      </c>
      <c r="T1187" s="0" t="inlineStr">
        <is>
          <t>low_stock</t>
        </is>
      </c>
      <c r="U1187" s="0" t="n">
        <v>30</v>
      </c>
      <c r="V1187" s="52" t="n">
        <v>158.99</v>
      </c>
      <c r="W1187" s="0" t="inlineStr">
        <is>
          <t>2026-09-24</t>
        </is>
      </c>
      <c r="X1187" s="0" t="inlineStr">
        <is>
          <t>N/A</t>
        </is>
      </c>
      <c r="Y1187" s="0" t="inlineStr">
        <is>
          <t>N/A</t>
        </is>
      </c>
      <c r="Z1187" s="0" t="inlineStr">
        <is>
          <t>N/A</t>
        </is>
      </c>
      <c r="AA1187" s="0" t="inlineStr">
        <is>
          <t>N/A</t>
        </is>
      </c>
    </row>
    <row r="1188" ht="15.75" customHeight="1" s="51">
      <c r="A1188" s="47" t="inlineStr">
        <is>
          <t>DIO-118-06</t>
        </is>
      </c>
      <c r="B1188" s="47" t="inlineStr">
        <is>
          <t>Dionysus</t>
        </is>
      </c>
      <c r="C1188" s="47" t="inlineStr">
        <is>
          <t>Computer Hardware</t>
        </is>
      </c>
      <c r="D1188" s="47" t="inlineStr">
        <is>
          <t>Keyboard</t>
        </is>
      </c>
      <c r="E1188" s="48" t="inlineStr">
        <is>
          <t>Dionysus Aria Mechanical Keyboard</t>
        </is>
      </c>
      <c r="F1188" s="49" t="n">
        <v>155.99</v>
      </c>
      <c r="G1188" s="47" t="inlineStr">
        <is>
          <t>the Aria; Dionysus Aria; Dionyssus Aria; Aria keyboard</t>
        </is>
      </c>
      <c r="H1188" s="47" t="inlineStr">
        <is>
          <t>2 year limited</t>
        </is>
      </c>
      <c r="I1188" s="47" t="inlineStr">
        <is>
          <t>FCC, CE, RoHS, Bluetooth SIG Qualified</t>
        </is>
      </c>
      <c r="J1188" s="47" t="inlineStr">
        <is>
          <t>N/A</t>
        </is>
      </c>
      <c r="K1188" s="47" t="inlineStr">
        <is>
          <t>N/A</t>
        </is>
      </c>
      <c r="L1188" s="47" t="inlineStr">
        <is>
          <t>N/A</t>
        </is>
      </c>
      <c r="M1188" s="47" t="inlineStr">
        <is>
          <t>N/A</t>
        </is>
      </c>
      <c r="N1188" s="47" t="inlineStr">
        <is>
          <t>USB-C, 2.4GHz dongle, Bluetooth 5.1</t>
        </is>
      </c>
      <c r="O1188" s="47" t="inlineStr">
        <is>
          <t>N/A</t>
        </is>
      </c>
      <c r="P1188" s="47" t="n">
        <v>297</v>
      </c>
      <c r="Q1188" s="50" t="n">
        <v>1198</v>
      </c>
      <c r="R1188" s="47" t="inlineStr">
        <is>
          <t>Lower price than Kairos Vibe Mechanical Keyboard [KAI-142-08] ($155.99 vs $236.99); Longer battery than Eos Halo Max Mechanical Keyboard [EOS-111-06] (297 vs 230 hrs)</t>
        </is>
      </c>
      <c r="S1188" s="47" t="inlineStr">
        <is>
          <t>gaming, typing, office</t>
        </is>
      </c>
      <c r="T1188" s="0" t="inlineStr">
        <is>
          <t>low_stock</t>
        </is>
      </c>
      <c r="U1188" s="0" t="n">
        <v>30</v>
      </c>
      <c r="V1188" s="52" t="n">
        <v>170.99</v>
      </c>
      <c r="W1188" s="0" t="inlineStr">
        <is>
          <t>2026-08-08</t>
        </is>
      </c>
      <c r="X1188" s="0" t="inlineStr">
        <is>
          <t>N/A</t>
        </is>
      </c>
      <c r="Y1188" s="0" t="inlineStr">
        <is>
          <t>N/A</t>
        </is>
      </c>
      <c r="Z1188" s="0" t="inlineStr">
        <is>
          <t>N/A</t>
        </is>
      </c>
      <c r="AA1188" s="0" t="inlineStr">
        <is>
          <t>N/A</t>
        </is>
      </c>
    </row>
    <row r="1189" ht="15.75" customHeight="1" s="51">
      <c r="A1189" s="47" t="inlineStr">
        <is>
          <t>DIO-118-07</t>
        </is>
      </c>
      <c r="B1189" s="47" t="inlineStr">
        <is>
          <t>Dionysus</t>
        </is>
      </c>
      <c r="C1189" s="47" t="inlineStr">
        <is>
          <t>Computer Hardware</t>
        </is>
      </c>
      <c r="D1189" s="47" t="inlineStr">
        <is>
          <t>Storage</t>
        </is>
      </c>
      <c r="E1189" s="48" t="inlineStr">
        <is>
          <t>Dionysus Crest Lite 4TB External Hard Drive</t>
        </is>
      </c>
      <c r="F1189" s="49" t="n">
        <v>167.99</v>
      </c>
      <c r="G1189" s="47" t="inlineStr">
        <is>
          <t>the Crest Lite; Dionysus Crest Lite; Dionnysus Crest Lite; Crest Lite storage</t>
        </is>
      </c>
      <c r="H1189" s="47" t="inlineStr">
        <is>
          <t>2 year limited</t>
        </is>
      </c>
      <c r="I1189" s="47" t="inlineStr">
        <is>
          <t>FCC, CE, RoHS, USB-IF Certified</t>
        </is>
      </c>
      <c r="J1189" s="47" t="inlineStr">
        <is>
          <t>N/A</t>
        </is>
      </c>
      <c r="K1189" s="47" t="inlineStr">
        <is>
          <t>N/A</t>
        </is>
      </c>
      <c r="L1189" s="47" t="inlineStr">
        <is>
          <t>N/A</t>
        </is>
      </c>
      <c r="M1189" s="47" t="inlineStr">
        <is>
          <t>N/A</t>
        </is>
      </c>
      <c r="N1189" s="47" t="inlineStr">
        <is>
          <t>USB-C (USB 3.2 Gen 1)</t>
        </is>
      </c>
      <c r="O1189" s="47" t="inlineStr">
        <is>
          <t>N/A</t>
        </is>
      </c>
      <c r="P1189" s="47" t="inlineStr">
        <is>
          <t>N/A</t>
        </is>
      </c>
      <c r="Q1189" s="50" t="n">
        <v>245</v>
      </c>
      <c r="R1189" s="47" t="inlineStr">
        <is>
          <t>Lighter than Dione Axis Plus 4TB External Hard Drive [DIO-128-06] (245 g vs 247 g); Lower price than Aidos Orbit 4TB External Hard Drive [AID-135-05] ($167.99 vs $196.99)</t>
        </is>
      </c>
      <c r="S1189" s="47" t="inlineStr">
        <is>
          <t>backup, media storage</t>
        </is>
      </c>
      <c r="T1189" s="0" t="inlineStr">
        <is>
          <t>in_stock</t>
        </is>
      </c>
      <c r="U1189" s="0" t="n">
        <v>30</v>
      </c>
      <c r="V1189" s="52" t="n">
        <v>190.99</v>
      </c>
      <c r="W1189" s="0" t="inlineStr">
        <is>
          <t>2026-08-23</t>
        </is>
      </c>
      <c r="X1189" s="0" t="inlineStr">
        <is>
          <t>N/A</t>
        </is>
      </c>
      <c r="Y1189" s="0" t="inlineStr">
        <is>
          <t>N/A</t>
        </is>
      </c>
      <c r="Z1189" s="0" t="inlineStr">
        <is>
          <t>N/A</t>
        </is>
      </c>
      <c r="AA1189" s="0" t="inlineStr">
        <is>
          <t>N/A</t>
        </is>
      </c>
    </row>
    <row r="1190" ht="15.75" customHeight="1" s="51">
      <c r="A1190" s="47" t="inlineStr">
        <is>
          <t>DIO-118-08</t>
        </is>
      </c>
      <c r="B1190" s="47" t="inlineStr">
        <is>
          <t>Dionysus</t>
        </is>
      </c>
      <c r="C1190" s="47" t="inlineStr">
        <is>
          <t>Computer Hardware</t>
        </is>
      </c>
      <c r="D1190" s="47" t="inlineStr">
        <is>
          <t>Storage</t>
        </is>
      </c>
      <c r="E1190" s="48" t="inlineStr">
        <is>
          <t>Dionysus Orbit Max 2TB NVMe SSD</t>
        </is>
      </c>
      <c r="F1190" s="49" t="n">
        <v>267.99</v>
      </c>
      <c r="G1190" s="47" t="inlineStr">
        <is>
          <t>the Orbit Max; Dionysus Orbit Max; Dionyssus Orbit Max; Orbit Max storage</t>
        </is>
      </c>
      <c r="H1190" s="47" t="inlineStr">
        <is>
          <t>5 year limited</t>
        </is>
      </c>
      <c r="I1190" s="47" t="inlineStr">
        <is>
          <t>FCC, CE, RoHS</t>
        </is>
      </c>
      <c r="J1190" s="47" t="inlineStr">
        <is>
          <t>Controller: Phison E26</t>
        </is>
      </c>
      <c r="K1190" s="47" t="inlineStr">
        <is>
          <t>N/A</t>
        </is>
      </c>
      <c r="L1190" s="47" t="inlineStr">
        <is>
          <t>N/A</t>
        </is>
      </c>
      <c r="M1190" s="47" t="inlineStr">
        <is>
          <t>N/A</t>
        </is>
      </c>
      <c r="N1190" s="47" t="inlineStr">
        <is>
          <t>M.2 2280, PCIe 5.0 x4 NVMe</t>
        </is>
      </c>
      <c r="O1190" s="47" t="inlineStr">
        <is>
          <t>N/A</t>
        </is>
      </c>
      <c r="P1190" s="47" t="inlineStr">
        <is>
          <t>N/A</t>
        </is>
      </c>
      <c r="Q1190" s="50" t="n">
        <v>23</v>
      </c>
      <c r="R1190" s="47" t="inlineStr">
        <is>
          <t>Lighter than Hades Vertex Max 2TB NVMe SSD [HAD-119-08] (23 g vs 28 g); Lower price than Thalassa Rift Air 2TB NVMe SSD [THA-126-09] ($267.99 vs $286.99)</t>
        </is>
      </c>
      <c r="S1190" s="47" t="inlineStr">
        <is>
          <t>gaming, fast boot, content creation</t>
        </is>
      </c>
      <c r="T1190" s="0" t="inlineStr">
        <is>
          <t>in_stock</t>
        </is>
      </c>
      <c r="U1190" s="0" t="n">
        <v>30</v>
      </c>
      <c r="V1190" s="52" t="n">
        <v>291.99</v>
      </c>
      <c r="W1190" s="0" t="inlineStr">
        <is>
          <t>2026-09-16</t>
        </is>
      </c>
      <c r="X1190" s="0" t="inlineStr">
        <is>
          <t>N/A</t>
        </is>
      </c>
      <c r="Y1190" s="0" t="inlineStr">
        <is>
          <t>N/A</t>
        </is>
      </c>
      <c r="Z1190" s="0" t="inlineStr">
        <is>
          <t>N/A</t>
        </is>
      </c>
      <c r="AA1190" s="0" t="inlineStr">
        <is>
          <t>N/A</t>
        </is>
      </c>
    </row>
    <row r="1191" ht="15.75" customHeight="1" s="51">
      <c r="A1191" s="47" t="inlineStr">
        <is>
          <t>DIO-118-09</t>
        </is>
      </c>
      <c r="B1191" s="47" t="inlineStr">
        <is>
          <t>Dionysus</t>
        </is>
      </c>
      <c r="C1191" s="47" t="inlineStr">
        <is>
          <t>Computer Hardware</t>
        </is>
      </c>
      <c r="D1191" s="47" t="inlineStr">
        <is>
          <t>Monitor</t>
        </is>
      </c>
      <c r="E1191" s="48" t="inlineStr">
        <is>
          <t>Dionysus Axis Lite 27" 1440p Monitor</t>
        </is>
      </c>
      <c r="F1191" s="49" t="n">
        <v>440.99</v>
      </c>
      <c r="G1191" s="47" t="inlineStr">
        <is>
          <t>the Axis Lite; Dionysus Axis Lite; Dionyssus Axis Lite; Axis Lite monitor</t>
        </is>
      </c>
      <c r="H1191" s="47" t="inlineStr">
        <is>
          <t>3 year limited</t>
        </is>
      </c>
      <c r="I1191" s="47" t="inlineStr">
        <is>
          <t>FCC, CE, RoHS, Energy Star, TUV Rheinland Low Blue Light, VESA DisplayHDR 600</t>
        </is>
      </c>
      <c r="J1191" s="47" t="inlineStr">
        <is>
          <t>N/A</t>
        </is>
      </c>
      <c r="K1191" s="47" t="inlineStr">
        <is>
          <t>N/A</t>
        </is>
      </c>
      <c r="L1191" s="47" t="inlineStr">
        <is>
          <t>IPS, 180Hz</t>
        </is>
      </c>
      <c r="M1191" s="47" t="inlineStr">
        <is>
          <t>2560x1440</t>
        </is>
      </c>
      <c r="N1191" s="47" t="inlineStr">
        <is>
          <t>2x HDMI 2.1, 1x DisplayPort 1.4</t>
        </is>
      </c>
      <c r="O1191" s="47" t="inlineStr">
        <is>
          <t>N/A</t>
        </is>
      </c>
      <c r="P1191" s="47" t="inlineStr">
        <is>
          <t>N/A</t>
        </is>
      </c>
      <c r="Q1191" s="50" t="n">
        <v>5616</v>
      </c>
      <c r="R1191" s="47" t="inlineStr">
        <is>
          <t>Lighter than Apollo Echo Lite 27" 1440p Monitor [APO-109-09] (5,616 g vs 6,418 g); Lower price than Hyperion Arc Ultra 27" 1440p Monitor [HYP-123-10] ($440.99 vs $616.99)</t>
        </is>
      </c>
      <c r="S1191" s="47" t="inlineStr">
        <is>
          <t>gaming, office, content creation</t>
        </is>
      </c>
      <c r="T1191" s="0" t="inlineStr">
        <is>
          <t>in_stock</t>
        </is>
      </c>
      <c r="U1191" s="0" t="n">
        <v>30</v>
      </c>
      <c r="V1191" s="52" t="n">
        <v>482.99</v>
      </c>
      <c r="W1191" s="0" t="inlineStr">
        <is>
          <t>2026-09-23</t>
        </is>
      </c>
      <c r="X1191" s="0" t="inlineStr">
        <is>
          <t>N/A</t>
        </is>
      </c>
      <c r="Y1191" s="0" t="inlineStr">
        <is>
          <t>N/A</t>
        </is>
      </c>
      <c r="Z1191" s="0" t="inlineStr">
        <is>
          <t>N/A</t>
        </is>
      </c>
      <c r="AA1191" s="0" t="inlineStr">
        <is>
          <t>N/A</t>
        </is>
      </c>
    </row>
    <row r="1192" ht="15.75" customHeight="1" s="51">
      <c r="A1192" s="47" t="inlineStr">
        <is>
          <t>DIO-118-10</t>
        </is>
      </c>
      <c r="B1192" s="47" t="inlineStr">
        <is>
          <t>Dionysus</t>
        </is>
      </c>
      <c r="C1192" s="47" t="inlineStr">
        <is>
          <t>Computer Hardware</t>
        </is>
      </c>
      <c r="D1192" s="47" t="inlineStr">
        <is>
          <t>Graphics Card</t>
        </is>
      </c>
      <c r="E1192" s="48" t="inlineStr">
        <is>
          <t>Dionysus Axis Graphics Card</t>
        </is>
      </c>
      <c r="F1192" s="49" t="n">
        <v>668.99</v>
      </c>
      <c r="G1192" s="47" t="inlineStr">
        <is>
          <t>the Axis; Dionysus Axis; Dionyuss Axis; Axis graphics card</t>
        </is>
      </c>
      <c r="H1192" s="47" t="inlineStr">
        <is>
          <t>3 year limited</t>
        </is>
      </c>
      <c r="I1192" s="47" t="inlineStr">
        <is>
          <t>FCC, CE, RoHS</t>
        </is>
      </c>
      <c r="J1192" s="47" t="inlineStr">
        <is>
          <t>N/A</t>
        </is>
      </c>
      <c r="K1192" s="47" t="inlineStr">
        <is>
          <t>NVIDIA GeForce RTX 4070 Ti Super 16GB (Dionysus Axis edition)</t>
        </is>
      </c>
      <c r="L1192" s="47" t="inlineStr">
        <is>
          <t>N/A</t>
        </is>
      </c>
      <c r="M1192" s="47" t="inlineStr">
        <is>
          <t>N/A</t>
        </is>
      </c>
      <c r="N1192" s="47" t="inlineStr">
        <is>
          <t>3x DisplayPort 1.4a, 1x HDMI 2.1a</t>
        </is>
      </c>
      <c r="O1192" s="47" t="inlineStr">
        <is>
          <t>N/A</t>
        </is>
      </c>
      <c r="P1192" s="47" t="inlineStr">
        <is>
          <t>N/A</t>
        </is>
      </c>
      <c r="Q1192" s="50" t="n">
        <v>1874</v>
      </c>
      <c r="R1192" s="47" t="inlineStr">
        <is>
          <t>Lighter than Aidos Prism Ultra Graphics Card [AID-135-10] (1,874 g vs 2,108 g); Lower price than Iris Sable Air Graphics Card [IRI-130-10] ($668.99 vs $1,301.99)</t>
        </is>
      </c>
      <c r="S1192" s="47" t="inlineStr">
        <is>
          <t>gaming, 3D rendering, AI workloads</t>
        </is>
      </c>
      <c r="T1192" s="0" t="inlineStr">
        <is>
          <t>low_stock</t>
        </is>
      </c>
      <c r="U1192" s="0" t="n">
        <v>30</v>
      </c>
      <c r="V1192" s="52" t="n">
        <v>735.99</v>
      </c>
      <c r="W1192" s="0" t="inlineStr">
        <is>
          <t>2026-08-31</t>
        </is>
      </c>
      <c r="X1192" s="0" t="inlineStr">
        <is>
          <t>N/A</t>
        </is>
      </c>
      <c r="Y1192" s="0" t="inlineStr">
        <is>
          <t>N/A</t>
        </is>
      </c>
      <c r="Z1192" s="0" t="inlineStr">
        <is>
          <t>N/A</t>
        </is>
      </c>
      <c r="AA1192" s="0" t="inlineStr">
        <is>
          <t>N/A</t>
        </is>
      </c>
    </row>
    <row r="1193" ht="15.75" customHeight="1" s="51">
      <c r="A1193" s="47" t="inlineStr">
        <is>
          <t>HAD-119-01</t>
        </is>
      </c>
      <c r="B1193" s="47" t="inlineStr">
        <is>
          <t>Hades</t>
        </is>
      </c>
      <c r="C1193" s="47" t="inlineStr">
        <is>
          <t>Computer Hardware</t>
        </is>
      </c>
      <c r="D1193" s="47" t="inlineStr">
        <is>
          <t>Case Fans</t>
        </is>
      </c>
      <c r="E1193" s="48" t="inlineStr">
        <is>
          <t>Hades Aria X RGB Case Fan 3-Pack</t>
        </is>
      </c>
      <c r="F1193" s="49" t="n">
        <v>42.99</v>
      </c>
      <c r="G1193" s="47" t="inlineStr">
        <is>
          <t>the Aria X; Hades Aria X; Haddes Aria X; Aria X case fans</t>
        </is>
      </c>
      <c r="H1193" s="47" t="inlineStr">
        <is>
          <t>2 year limited</t>
        </is>
      </c>
      <c r="I1193" s="47" t="inlineStr">
        <is>
          <t>FCC, CE, RoHS</t>
        </is>
      </c>
      <c r="J1193" s="47" t="inlineStr">
        <is>
          <t>N/A</t>
        </is>
      </c>
      <c r="K1193" s="47" t="inlineStr">
        <is>
          <t>N/A</t>
        </is>
      </c>
      <c r="L1193" s="47" t="inlineStr">
        <is>
          <t>N/A</t>
        </is>
      </c>
      <c r="M1193" s="47" t="inlineStr">
        <is>
          <t>N/A</t>
        </is>
      </c>
      <c r="N1193" s="47" t="inlineStr">
        <is>
          <t>4-pin PWM, 3-pin 5V ARGB, daisy-chain connectors</t>
        </is>
      </c>
      <c r="O1193" s="47" t="inlineStr">
        <is>
          <t>N/A</t>
        </is>
      </c>
      <c r="P1193" s="47" t="inlineStr">
        <is>
          <t>N/A</t>
        </is>
      </c>
      <c r="Q1193" s="50" t="n">
        <v>494</v>
      </c>
      <c r="R1193" s="47" t="inlineStr">
        <is>
          <t>Lighter than Hymenaeus Quanta SE RGB Case Fan 3-Pack [HYM-121-02] (494 g vs 500 g); Lower price than Nyx Strata RGB Case Fan 3-Pack [NYX-115-03] ($42.99 vs $87.99)</t>
        </is>
      </c>
      <c r="S1193" s="47" t="inlineStr">
        <is>
          <t>PC building, cooling, RGB builds</t>
        </is>
      </c>
      <c r="T1193" s="0" t="inlineStr">
        <is>
          <t>in_stock</t>
        </is>
      </c>
      <c r="U1193" s="0" t="n">
        <v>45</v>
      </c>
      <c r="V1193" s="52" t="n">
        <v>44.99</v>
      </c>
      <c r="W1193" s="0" t="inlineStr">
        <is>
          <t>2026-09-19</t>
        </is>
      </c>
      <c r="X1193" s="0" t="inlineStr">
        <is>
          <t>N/A</t>
        </is>
      </c>
      <c r="Y1193" s="0" t="inlineStr">
        <is>
          <t>N/A</t>
        </is>
      </c>
      <c r="Z1193" s="0" t="inlineStr">
        <is>
          <t>N/A</t>
        </is>
      </c>
      <c r="AA1193" s="0" t="inlineStr">
        <is>
          <t>N/A</t>
        </is>
      </c>
    </row>
    <row r="1194" ht="15.75" customHeight="1" s="51">
      <c r="A1194" s="47" t="inlineStr">
        <is>
          <t>HAD-119-02</t>
        </is>
      </c>
      <c r="B1194" s="47" t="inlineStr">
        <is>
          <t>Hades</t>
        </is>
      </c>
      <c r="C1194" s="47" t="inlineStr">
        <is>
          <t>Computer Hardware</t>
        </is>
      </c>
      <c r="D1194" s="47" t="inlineStr">
        <is>
          <t>Cooling</t>
        </is>
      </c>
      <c r="E1194" s="48" t="inlineStr">
        <is>
          <t>Hades Pulse 360mm AIO CPU Cooler</t>
        </is>
      </c>
      <c r="F1194" s="49" t="n">
        <v>88.98999999999999</v>
      </c>
      <c r="G1194" s="47" t="inlineStr">
        <is>
          <t>the Pulse; Hades Pulse; Hade Pulse; Pulse cooling</t>
        </is>
      </c>
      <c r="H1194" s="47" t="inlineStr">
        <is>
          <t>6 year limited</t>
        </is>
      </c>
      <c r="I1194" s="47" t="inlineStr">
        <is>
          <t>FCC, CE, RoHS</t>
        </is>
      </c>
      <c r="J1194" s="47" t="inlineStr">
        <is>
          <t>N/A</t>
        </is>
      </c>
      <c r="K1194" s="47" t="inlineStr">
        <is>
          <t>N/A</t>
        </is>
      </c>
      <c r="L1194" s="47" t="inlineStr">
        <is>
          <t>N/A</t>
        </is>
      </c>
      <c r="M1194" s="47" t="inlineStr">
        <is>
          <t>N/A</t>
        </is>
      </c>
      <c r="N1194" s="47" t="inlineStr">
        <is>
          <t>3x 4-pin PWM fans, 3-pin pump header, ARGB 5V; LGA1700/LGA1851/AM5 mounts</t>
        </is>
      </c>
      <c r="O1194" s="47" t="inlineStr">
        <is>
          <t>N/A</t>
        </is>
      </c>
      <c r="P1194" s="47" t="inlineStr">
        <is>
          <t>N/A</t>
        </is>
      </c>
      <c r="Q1194" s="50" t="n">
        <v>1606</v>
      </c>
      <c r="R1194" s="47" t="inlineStr">
        <is>
          <t>Lighter than Pheme Lumen Lite 360mm AIO CPU Cooler [PHE-102-05] (1,606 g vs 1,678 g); Lower price than Hyperion Nimbus SE 360mm AIO CPU Cooler [HYP-123-05] ($88.99 vs $114.99)</t>
        </is>
      </c>
      <c r="S1194" s="47" t="inlineStr">
        <is>
          <t>overclocking, gaming, quiet builds</t>
        </is>
      </c>
      <c r="T1194" s="0" t="inlineStr">
        <is>
          <t>low_stock</t>
        </is>
      </c>
      <c r="U1194" s="0" t="n">
        <v>45</v>
      </c>
      <c r="V1194" s="52" t="n">
        <v>96.98999999999999</v>
      </c>
      <c r="W1194" s="0" t="inlineStr">
        <is>
          <t>2026-09-21</t>
        </is>
      </c>
      <c r="X1194" s="0" t="inlineStr">
        <is>
          <t>N/A</t>
        </is>
      </c>
      <c r="Y1194" s="0" t="inlineStr">
        <is>
          <t>N/A</t>
        </is>
      </c>
      <c r="Z1194" s="0" t="inlineStr">
        <is>
          <t>N/A</t>
        </is>
      </c>
      <c r="AA1194" s="0" t="inlineStr">
        <is>
          <t>N/A</t>
        </is>
      </c>
    </row>
    <row r="1195" ht="15.75" customHeight="1" s="51">
      <c r="A1195" s="47" t="inlineStr">
        <is>
          <t>HAD-119-03</t>
        </is>
      </c>
      <c r="B1195" s="47" t="inlineStr">
        <is>
          <t>Hades</t>
        </is>
      </c>
      <c r="C1195" s="47" t="inlineStr">
        <is>
          <t>Computer Hardware</t>
        </is>
      </c>
      <c r="D1195" s="47" t="inlineStr">
        <is>
          <t>PC Case</t>
        </is>
      </c>
      <c r="E1195" s="48" t="inlineStr">
        <is>
          <t>Hades Drift Pro Mid-Tower PC Case</t>
        </is>
      </c>
      <c r="F1195" s="49" t="n">
        <v>123.99</v>
      </c>
      <c r="G1195" s="47" t="inlineStr">
        <is>
          <t>the Drift Pro; Hades Drift Pro; Hadees Drift Pro; Drift Pro pc case</t>
        </is>
      </c>
      <c r="H1195" s="47" t="inlineStr">
        <is>
          <t>2 year limited</t>
        </is>
      </c>
      <c r="I1195" s="47" t="inlineStr">
        <is>
          <t>FCC, CE, RoHS, UL 94 V-0 (materials)</t>
        </is>
      </c>
      <c r="J1195" s="47" t="inlineStr">
        <is>
          <t>N/A</t>
        </is>
      </c>
      <c r="K1195" s="47" t="inlineStr">
        <is>
          <t>N/A</t>
        </is>
      </c>
      <c r="L1195" s="47" t="inlineStr">
        <is>
          <t>N/A</t>
        </is>
      </c>
      <c r="M1195" s="47" t="inlineStr">
        <is>
          <t>N/A</t>
        </is>
      </c>
      <c r="N1195" s="47" t="inlineStr">
        <is>
          <t>Front I/O: 1x USB-C 10Gbps, 2x USB-A 3.0, 3.5mm combo audio</t>
        </is>
      </c>
      <c r="O1195" s="47" t="inlineStr">
        <is>
          <t>N/A</t>
        </is>
      </c>
      <c r="P1195" s="47" t="inlineStr">
        <is>
          <t>N/A</t>
        </is>
      </c>
      <c r="Q1195" s="50" t="n">
        <v>6688</v>
      </c>
      <c r="R1195" s="47" t="inlineStr">
        <is>
          <t>Lighter than Dionysus Vertex Mid-Tower PC Case [DIO-118-04] (6,688 g vs 8,137 g); Lower price than Thalassa Halo Pro Mid-Tower PC Case [THA-126-08] ($123.99 vs $219.99)</t>
        </is>
      </c>
      <c r="S1195" s="47" t="inlineStr">
        <is>
          <t>PC building, gaming</t>
        </is>
      </c>
      <c r="T1195" s="0" t="inlineStr">
        <is>
          <t>in_stock</t>
        </is>
      </c>
      <c r="U1195" s="0" t="n">
        <v>45</v>
      </c>
      <c r="V1195" s="52" t="n">
        <v>130.99</v>
      </c>
      <c r="W1195" s="0" t="inlineStr">
        <is>
          <t>2026-09-12</t>
        </is>
      </c>
      <c r="X1195" s="0" t="inlineStr">
        <is>
          <t>N/A</t>
        </is>
      </c>
      <c r="Y1195" s="0" t="inlineStr">
        <is>
          <t>N/A</t>
        </is>
      </c>
      <c r="Z1195" s="0" t="inlineStr">
        <is>
          <t>N/A</t>
        </is>
      </c>
      <c r="AA1195" s="0" t="inlineStr">
        <is>
          <t>N/A</t>
        </is>
      </c>
    </row>
    <row r="1196" ht="15.75" customHeight="1" s="51">
      <c r="A1196" s="47" t="inlineStr">
        <is>
          <t>HAD-119-04</t>
        </is>
      </c>
      <c r="B1196" s="47" t="inlineStr">
        <is>
          <t>Hades</t>
        </is>
      </c>
      <c r="C1196" s="47" t="inlineStr">
        <is>
          <t>Computer Hardware</t>
        </is>
      </c>
      <c r="D1196" s="47" t="inlineStr">
        <is>
          <t>Mouse</t>
        </is>
      </c>
      <c r="E1196" s="48" t="inlineStr">
        <is>
          <t>Hades Vibe Gaming Mouse</t>
        </is>
      </c>
      <c r="F1196" s="49" t="n">
        <v>144.99</v>
      </c>
      <c r="G1196" s="47" t="inlineStr">
        <is>
          <t>the Vibe; Hades Vibe; Haeds Vibe; Vibe mouse</t>
        </is>
      </c>
      <c r="H1196" s="47" t="inlineStr">
        <is>
          <t>2 year limited</t>
        </is>
      </c>
      <c r="I1196" s="47" t="inlineStr">
        <is>
          <t>FCC, CE, RoHS, Bluetooth SIG Qualified</t>
        </is>
      </c>
      <c r="J1196" s="47" t="inlineStr">
        <is>
          <t>Sensor: 36K DPI optical</t>
        </is>
      </c>
      <c r="K1196" s="47" t="inlineStr">
        <is>
          <t>N/A</t>
        </is>
      </c>
      <c r="L1196" s="47" t="inlineStr">
        <is>
          <t>N/A</t>
        </is>
      </c>
      <c r="M1196" s="47" t="inlineStr">
        <is>
          <t>N/A</t>
        </is>
      </c>
      <c r="N1196" s="47" t="inlineStr">
        <is>
          <t>USB-C, 2.4GHz dongle, Bluetooth 5.1</t>
        </is>
      </c>
      <c r="O1196" s="47" t="inlineStr">
        <is>
          <t>N/A</t>
        </is>
      </c>
      <c r="P1196" s="47" t="n">
        <v>107</v>
      </c>
      <c r="Q1196" s="50" t="n">
        <v>63</v>
      </c>
      <c r="R1196" s="47" t="inlineStr">
        <is>
          <t>Lighter than Kairos Volt Air Gaming Mouse [KAI-142-01] (63 g vs 93 g); Longer battery than Aphrodite Volt Gaming Mouse [APH-141-05] (107 vs 96 hrs)</t>
        </is>
      </c>
      <c r="S1196" s="47" t="inlineStr">
        <is>
          <t>gaming, esports</t>
        </is>
      </c>
      <c r="T1196" s="0" t="inlineStr">
        <is>
          <t>in_stock</t>
        </is>
      </c>
      <c r="U1196" s="0" t="n">
        <v>45</v>
      </c>
      <c r="V1196" s="52" t="n">
        <v>156.99</v>
      </c>
      <c r="W1196" s="0" t="inlineStr">
        <is>
          <t>2026-09-15</t>
        </is>
      </c>
      <c r="X1196" s="0" t="inlineStr">
        <is>
          <t>N/A</t>
        </is>
      </c>
      <c r="Y1196" s="0" t="inlineStr">
        <is>
          <t>N/A</t>
        </is>
      </c>
      <c r="Z1196" s="0" t="inlineStr">
        <is>
          <t>N/A</t>
        </is>
      </c>
      <c r="AA1196" s="0" t="inlineStr">
        <is>
          <t>N/A</t>
        </is>
      </c>
    </row>
    <row r="1197" ht="15.75" customHeight="1" s="51">
      <c r="A1197" s="47" t="inlineStr">
        <is>
          <t>HAD-119-05</t>
        </is>
      </c>
      <c r="B1197" s="47" t="inlineStr">
        <is>
          <t>Hades</t>
        </is>
      </c>
      <c r="C1197" s="47" t="inlineStr">
        <is>
          <t>Computer Hardware</t>
        </is>
      </c>
      <c r="D1197" s="47" t="inlineStr">
        <is>
          <t>Storage</t>
        </is>
      </c>
      <c r="E1197" s="48" t="inlineStr">
        <is>
          <t>Hades Rift Pro 4TB External Hard Drive</t>
        </is>
      </c>
      <c r="F1197" s="49" t="n">
        <v>151.99</v>
      </c>
      <c r="G1197" s="47" t="inlineStr">
        <is>
          <t>the Rift Pro; Hades Rift Pro; Hadees Rift Pro; Rift Pro storage</t>
        </is>
      </c>
      <c r="H1197" s="47" t="inlineStr">
        <is>
          <t>2 year limited</t>
        </is>
      </c>
      <c r="I1197" s="47" t="inlineStr">
        <is>
          <t>FCC, CE, RoHS, USB-IF Certified</t>
        </is>
      </c>
      <c r="J1197" s="47" t="inlineStr">
        <is>
          <t>N/A</t>
        </is>
      </c>
      <c r="K1197" s="47" t="inlineStr">
        <is>
          <t>N/A</t>
        </is>
      </c>
      <c r="L1197" s="47" t="inlineStr">
        <is>
          <t>N/A</t>
        </is>
      </c>
      <c r="M1197" s="47" t="inlineStr">
        <is>
          <t>N/A</t>
        </is>
      </c>
      <c r="N1197" s="47" t="inlineStr">
        <is>
          <t>USB-C (USB 3.2 Gen 1)</t>
        </is>
      </c>
      <c r="O1197" s="47" t="inlineStr">
        <is>
          <t>N/A</t>
        </is>
      </c>
      <c r="P1197" s="47" t="inlineStr">
        <is>
          <t>N/A</t>
        </is>
      </c>
      <c r="Q1197" s="50" t="n">
        <v>226</v>
      </c>
      <c r="R1197" s="47" t="inlineStr">
        <is>
          <t>Lower price than Eos Pulse Pro 4TB External Hard Drive [EOS-111-05] ($151.99 vs $175.99); Lighter than Cronus Wave 4TB External Hard Drive [CRO-105-04] (226 g vs 241 g)</t>
        </is>
      </c>
      <c r="S1197" s="47" t="inlineStr">
        <is>
          <t>backup, media storage</t>
        </is>
      </c>
      <c r="T1197" s="0" t="inlineStr">
        <is>
          <t>in_stock</t>
        </is>
      </c>
      <c r="U1197" s="0" t="n">
        <v>45</v>
      </c>
      <c r="V1197" s="52" t="n">
        <v>168.99</v>
      </c>
      <c r="W1197" s="0" t="inlineStr">
        <is>
          <t>2026-08-05</t>
        </is>
      </c>
      <c r="X1197" s="0" t="inlineStr">
        <is>
          <t>N/A</t>
        </is>
      </c>
      <c r="Y1197" s="0" t="inlineStr">
        <is>
          <t>N/A</t>
        </is>
      </c>
      <c r="Z1197" s="0" t="inlineStr">
        <is>
          <t>N/A</t>
        </is>
      </c>
      <c r="AA1197" s="0" t="inlineStr">
        <is>
          <t>N/A</t>
        </is>
      </c>
    </row>
    <row r="1198" ht="15.75" customHeight="1" s="51">
      <c r="A1198" s="47" t="inlineStr">
        <is>
          <t>HAD-119-06</t>
        </is>
      </c>
      <c r="B1198" s="47" t="inlineStr">
        <is>
          <t>Hades</t>
        </is>
      </c>
      <c r="C1198" s="47" t="inlineStr">
        <is>
          <t>Computer Hardware</t>
        </is>
      </c>
      <c r="D1198" s="47" t="inlineStr">
        <is>
          <t>Webcam</t>
        </is>
      </c>
      <c r="E1198" s="48" t="inlineStr">
        <is>
          <t>Hades Nova 4K Webcam</t>
        </is>
      </c>
      <c r="F1198" s="49" t="n">
        <v>178.99</v>
      </c>
      <c r="G1198" s="47" t="inlineStr">
        <is>
          <t>the Nova; Hades Nova; Hdaes Nova; Nova webcam</t>
        </is>
      </c>
      <c r="H1198" s="47" t="inlineStr">
        <is>
          <t>2 year limited</t>
        </is>
      </c>
      <c r="I1198" s="47" t="inlineStr">
        <is>
          <t>FCC, CE, RoHS, USB-IF Certified</t>
        </is>
      </c>
      <c r="J1198" s="47" t="inlineStr">
        <is>
          <t>N/A</t>
        </is>
      </c>
      <c r="K1198" s="47" t="inlineStr">
        <is>
          <t>N/A</t>
        </is>
      </c>
      <c r="L1198" s="47" t="inlineStr">
        <is>
          <t>N/A</t>
        </is>
      </c>
      <c r="M1198" s="47" t="inlineStr">
        <is>
          <t>3840x2160 @ 30fps, 1080p @ 60fps</t>
        </is>
      </c>
      <c r="N1198" s="47" t="inlineStr">
        <is>
          <t>USB-C (USB 3.0)</t>
        </is>
      </c>
      <c r="O1198" s="47" t="inlineStr">
        <is>
          <t>N/A</t>
        </is>
      </c>
      <c r="P1198" s="47" t="inlineStr">
        <is>
          <t>N/A</t>
        </is>
      </c>
      <c r="Q1198" s="50" t="n">
        <v>162</v>
      </c>
      <c r="R1198" s="47" t="inlineStr">
        <is>
          <t>Lighter than Themis Nova SE 4K Webcam [THE-145-03] (162 g vs 165 g); Lower price than Nike Pulse X 4K Webcam [NIK-132-08] ($178.99 vs $184.99)</t>
        </is>
      </c>
      <c r="S1198" s="47" t="inlineStr">
        <is>
          <t>video calls, streaming, remote work</t>
        </is>
      </c>
      <c r="T1198" s="0" t="inlineStr">
        <is>
          <t>low_stock</t>
        </is>
      </c>
      <c r="U1198" s="0" t="n">
        <v>45</v>
      </c>
      <c r="V1198" s="52" t="n">
        <v>189.99</v>
      </c>
      <c r="W1198" s="0" t="inlineStr">
        <is>
          <t>2026-09-10</t>
        </is>
      </c>
      <c r="X1198" s="0" t="inlineStr">
        <is>
          <t>N/A</t>
        </is>
      </c>
      <c r="Y1198" s="0" t="inlineStr">
        <is>
          <t>N/A</t>
        </is>
      </c>
      <c r="Z1198" s="0" t="inlineStr">
        <is>
          <t>N/A</t>
        </is>
      </c>
      <c r="AA1198" s="0" t="inlineStr">
        <is>
          <t>N/A</t>
        </is>
      </c>
    </row>
    <row r="1199" ht="15.75" customHeight="1" s="51">
      <c r="A1199" s="47" t="inlineStr">
        <is>
          <t>HAD-119-07</t>
        </is>
      </c>
      <c r="B1199" s="47" t="inlineStr">
        <is>
          <t>Hades</t>
        </is>
      </c>
      <c r="C1199" s="47" t="inlineStr">
        <is>
          <t>Computer Hardware</t>
        </is>
      </c>
      <c r="D1199" s="47" t="inlineStr">
        <is>
          <t>Memory</t>
        </is>
      </c>
      <c r="E1199" s="48" t="inlineStr">
        <is>
          <t>Hades Halo Plus 32GB DDR5 RAM Kit</t>
        </is>
      </c>
      <c r="F1199" s="49" t="n">
        <v>211.99</v>
      </c>
      <c r="G1199" s="47" t="inlineStr">
        <is>
          <t>the Halo Plus; Hades Halo Plus; Hadess Halo Plus; Halo Plus memory</t>
        </is>
      </c>
      <c r="H1199" s="47" t="inlineStr">
        <is>
          <t>Limited lifetime</t>
        </is>
      </c>
      <c r="I1199" s="47" t="inlineStr">
        <is>
          <t>FCC, CE, RoHS</t>
        </is>
      </c>
      <c r="J1199" s="47" t="inlineStr">
        <is>
          <t>N/A</t>
        </is>
      </c>
      <c r="K1199" s="47" t="inlineStr">
        <is>
          <t>N/A</t>
        </is>
      </c>
      <c r="L1199" s="47" t="inlineStr">
        <is>
          <t>N/A</t>
        </is>
      </c>
      <c r="M1199" s="47" t="inlineStr">
        <is>
          <t>N/A</t>
        </is>
      </c>
      <c r="N1199" s="47" t="inlineStr">
        <is>
          <t>2x 16GB DDR5 288-pin DIMM, 6400 MT/s</t>
        </is>
      </c>
      <c r="O1199" s="47" t="inlineStr">
        <is>
          <t>N/A</t>
        </is>
      </c>
      <c r="P1199" s="47" t="inlineStr">
        <is>
          <t>N/A</t>
        </is>
      </c>
      <c r="Q1199" s="50" t="n">
        <v>87</v>
      </c>
      <c r="R1199" s="47" t="inlineStr">
        <is>
          <t>Lower price than Phanes Aria SE 32GB DDR5 RAM Kit [PHA-138-07] ($211.99 vs $243.99); Lighter than Eucleia Volt 32GB DDR5 RAM Kit [EUC-124-08] (87 g vs 90 g)</t>
        </is>
      </c>
      <c r="S1199" s="47" t="inlineStr">
        <is>
          <t>gaming, multitasking, PC building</t>
        </is>
      </c>
      <c r="T1199" s="0" t="inlineStr">
        <is>
          <t>in_stock</t>
        </is>
      </c>
      <c r="U1199" s="0" t="n">
        <v>45</v>
      </c>
      <c r="V1199" s="52" t="n">
        <v>238.99</v>
      </c>
      <c r="W1199" s="0" t="inlineStr">
        <is>
          <t>2026-08-21</t>
        </is>
      </c>
      <c r="X1199" s="0" t="inlineStr">
        <is>
          <t>N/A</t>
        </is>
      </c>
      <c r="Y1199" s="0" t="inlineStr">
        <is>
          <t>N/A</t>
        </is>
      </c>
      <c r="Z1199" s="0" t="inlineStr">
        <is>
          <t>N/A</t>
        </is>
      </c>
      <c r="AA1199" s="0" t="inlineStr">
        <is>
          <t>N/A</t>
        </is>
      </c>
    </row>
    <row r="1200" ht="15.75" customHeight="1" s="51">
      <c r="A1200" s="47" t="inlineStr">
        <is>
          <t>HAD-119-08</t>
        </is>
      </c>
      <c r="B1200" s="47" t="inlineStr">
        <is>
          <t>Hades</t>
        </is>
      </c>
      <c r="C1200" s="47" t="inlineStr">
        <is>
          <t>Computer Hardware</t>
        </is>
      </c>
      <c r="D1200" s="47" t="inlineStr">
        <is>
          <t>Storage</t>
        </is>
      </c>
      <c r="E1200" s="48" t="inlineStr">
        <is>
          <t>Hades Vertex Max 2TB NVMe SSD</t>
        </is>
      </c>
      <c r="F1200" s="49" t="n">
        <v>278.99</v>
      </c>
      <c r="G1200" s="47" t="inlineStr">
        <is>
          <t>the Vertex Max; Hades Vertex Max; Haddes Vertex Max; Vertex Max storage</t>
        </is>
      </c>
      <c r="H1200" s="47" t="inlineStr">
        <is>
          <t>5 year limited</t>
        </is>
      </c>
      <c r="I1200" s="47" t="inlineStr">
        <is>
          <t>FCC, CE, RoHS</t>
        </is>
      </c>
      <c r="J1200" s="47" t="inlineStr">
        <is>
          <t>Controller: Phison E26</t>
        </is>
      </c>
      <c r="K1200" s="47" t="inlineStr">
        <is>
          <t>N/A</t>
        </is>
      </c>
      <c r="L1200" s="47" t="inlineStr">
        <is>
          <t>N/A</t>
        </is>
      </c>
      <c r="M1200" s="47" t="inlineStr">
        <is>
          <t>N/A</t>
        </is>
      </c>
      <c r="N1200" s="47" t="inlineStr">
        <is>
          <t>M.2 2280, PCIe 5.0 x4 NVMe</t>
        </is>
      </c>
      <c r="O1200" s="47" t="inlineStr">
        <is>
          <t>N/A</t>
        </is>
      </c>
      <c r="P1200" s="47" t="inlineStr">
        <is>
          <t>N/A</t>
        </is>
      </c>
      <c r="Q1200" s="50" t="n">
        <v>28</v>
      </c>
      <c r="R1200" s="47" t="inlineStr">
        <is>
          <t>Lower price than Themis Zen Ultra 2TB NVMe SSD [THE-145-08] ($278.99 vs $291.99); Lighter than Uranus Drift Plus 2TB NVMe SSD [URA-113-06] (28 g vs 29 g)</t>
        </is>
      </c>
      <c r="S1200" s="47" t="inlineStr">
        <is>
          <t>gaming, fast boot, content creation</t>
        </is>
      </c>
      <c r="T1200" s="0" t="inlineStr">
        <is>
          <t>in_stock</t>
        </is>
      </c>
      <c r="U1200" s="0" t="n">
        <v>45</v>
      </c>
      <c r="V1200" s="52" t="n">
        <v>312.99</v>
      </c>
      <c r="W1200" s="0" t="inlineStr">
        <is>
          <t>2026-08-22</t>
        </is>
      </c>
      <c r="X1200" s="0" t="inlineStr">
        <is>
          <t>N/A</t>
        </is>
      </c>
      <c r="Y1200" s="0" t="inlineStr">
        <is>
          <t>N/A</t>
        </is>
      </c>
      <c r="Z1200" s="0" t="inlineStr">
        <is>
          <t>N/A</t>
        </is>
      </c>
      <c r="AA1200" s="0" t="inlineStr">
        <is>
          <t>N/A</t>
        </is>
      </c>
    </row>
    <row r="1201" ht="15.75" customHeight="1" s="51">
      <c r="A1201" s="47" t="inlineStr">
        <is>
          <t>HAD-119-09</t>
        </is>
      </c>
      <c r="B1201" s="47" t="inlineStr">
        <is>
          <t>Hades</t>
        </is>
      </c>
      <c r="C1201" s="47" t="inlineStr">
        <is>
          <t>Computer Hardware</t>
        </is>
      </c>
      <c r="D1201" s="47" t="inlineStr">
        <is>
          <t>Processor</t>
        </is>
      </c>
      <c r="E1201" s="48" t="inlineStr">
        <is>
          <t>Hades Echo Air Desktop CPU</t>
        </is>
      </c>
      <c r="F1201" s="49" t="n">
        <v>292.99</v>
      </c>
      <c r="G1201" s="47" t="inlineStr">
        <is>
          <t>the Echo Air; Hades Echo Air; Hadees Echo Air; Echo Air processor</t>
        </is>
      </c>
      <c r="H1201" s="47" t="inlineStr">
        <is>
          <t>3 year limited</t>
        </is>
      </c>
      <c r="I1201" s="47" t="inlineStr">
        <is>
          <t>FCC, CE, RoHS</t>
        </is>
      </c>
      <c r="J1201" s="47" t="inlineStr">
        <is>
          <t>Hades Echo 8-core / 16-thread, up to 4.9 GHz</t>
        </is>
      </c>
      <c r="K1201" s="47" t="inlineStr">
        <is>
          <t>None (discrete GPU required)</t>
        </is>
      </c>
      <c r="L1201" s="47" t="inlineStr">
        <is>
          <t>N/A</t>
        </is>
      </c>
      <c r="M1201" s="47" t="inlineStr">
        <is>
          <t>N/A</t>
        </is>
      </c>
      <c r="N1201" s="47" t="inlineStr">
        <is>
          <t>N/A</t>
        </is>
      </c>
      <c r="O1201" s="47" t="inlineStr">
        <is>
          <t>N/A</t>
        </is>
      </c>
      <c r="P1201" s="47" t="inlineStr">
        <is>
          <t>N/A</t>
        </is>
      </c>
      <c r="Q1201" s="50" t="n">
        <v>59</v>
      </c>
      <c r="R1201" s="47" t="inlineStr">
        <is>
          <t>Lower price than Hyperion Volt Desktop CPU [HYP-123-09] ($292.99 vs $477.99)</t>
        </is>
      </c>
      <c r="S1201" s="47" t="inlineStr">
        <is>
          <t>gaming, content creation, workstation builds</t>
        </is>
      </c>
      <c r="T1201" s="0" t="inlineStr">
        <is>
          <t>in_stock</t>
        </is>
      </c>
      <c r="U1201" s="0" t="n">
        <v>45</v>
      </c>
      <c r="V1201" s="52" t="n">
        <v>329.99</v>
      </c>
      <c r="W1201" s="0" t="inlineStr">
        <is>
          <t>2026-08-29</t>
        </is>
      </c>
      <c r="X1201" s="0" t="inlineStr">
        <is>
          <t>N/A</t>
        </is>
      </c>
      <c r="Y1201" s="0" t="inlineStr">
        <is>
          <t>N/A</t>
        </is>
      </c>
      <c r="Z1201" s="0" t="inlineStr">
        <is>
          <t>N/A</t>
        </is>
      </c>
      <c r="AA1201" s="0" t="inlineStr">
        <is>
          <t>N/A</t>
        </is>
      </c>
    </row>
    <row r="1202" ht="15.75" customHeight="1" s="51">
      <c r="A1202" s="47" t="inlineStr">
        <is>
          <t>HAD-119-10</t>
        </is>
      </c>
      <c r="B1202" s="47" t="inlineStr">
        <is>
          <t>Hades</t>
        </is>
      </c>
      <c r="C1202" s="47" t="inlineStr">
        <is>
          <t>Computer Hardware</t>
        </is>
      </c>
      <c r="D1202" s="47" t="inlineStr">
        <is>
          <t>Docking Station</t>
        </is>
      </c>
      <c r="E1202" s="48" t="inlineStr">
        <is>
          <t>Hades Zen Pro USB-C Docking Station</t>
        </is>
      </c>
      <c r="F1202" s="49" t="n">
        <v>324.99</v>
      </c>
      <c r="G1202" s="47" t="inlineStr">
        <is>
          <t>the Zen Pro; Hades Zen Pro; Haeds Zen Pro; Zen Pro docking station</t>
        </is>
      </c>
      <c r="H1202" s="47" t="inlineStr">
        <is>
          <t>2 year limited</t>
        </is>
      </c>
      <c r="I1202" s="47" t="inlineStr">
        <is>
          <t>FCC, CE, RoHS, USB-IF Certified, UL Listed</t>
        </is>
      </c>
      <c r="J1202" s="47" t="inlineStr">
        <is>
          <t>N/A</t>
        </is>
      </c>
      <c r="K1202" s="47" t="inlineStr">
        <is>
          <t>N/A</t>
        </is>
      </c>
      <c r="L1202" s="47" t="inlineStr">
        <is>
          <t>N/A</t>
        </is>
      </c>
      <c r="M1202" s="47" t="inlineStr">
        <is>
          <t>N/A</t>
        </is>
      </c>
      <c r="N1202" s="47" t="inlineStr">
        <is>
          <t>Thunderbolt 4 host, 2x HDMI 2.1, 4x USB-A, 3x USB-C, 2.5GbE, SD/microSD, 96W PD</t>
        </is>
      </c>
      <c r="O1202" s="47" t="inlineStr">
        <is>
          <t>N/A</t>
        </is>
      </c>
      <c r="P1202" s="47" t="inlineStr">
        <is>
          <t>N/A</t>
        </is>
      </c>
      <c r="Q1202" s="50" t="n">
        <v>418</v>
      </c>
      <c r="R1202" s="47" t="inlineStr">
        <is>
          <t>Lighter than Themis Apex Pro USB-C Docking Station [THE-145-06] (418 g vs 445 g); Lower price than Hymenaeus Sable X USB-C Docking Station [HYM-121-06] ($324.99 vs $325.99)</t>
        </is>
      </c>
      <c r="S1202" s="47" t="inlineStr">
        <is>
          <t>office, remote work, multi-monitor</t>
        </is>
      </c>
      <c r="T1202" s="0" t="inlineStr">
        <is>
          <t>in_stock</t>
        </is>
      </c>
      <c r="U1202" s="0" t="n">
        <v>45</v>
      </c>
      <c r="V1202" s="52" t="n">
        <v>351.99</v>
      </c>
      <c r="W1202" s="0" t="inlineStr">
        <is>
          <t>2026-08-02</t>
        </is>
      </c>
      <c r="X1202" s="0" t="inlineStr">
        <is>
          <t>N/A</t>
        </is>
      </c>
      <c r="Y1202" s="0" t="inlineStr">
        <is>
          <t>N/A</t>
        </is>
      </c>
      <c r="Z1202" s="0" t="inlineStr">
        <is>
          <t>N/A</t>
        </is>
      </c>
      <c r="AA1202" s="0" t="inlineStr">
        <is>
          <t>N/A</t>
        </is>
      </c>
    </row>
    <row r="1203" ht="15.75" customHeight="1" s="51">
      <c r="A1203" s="47" t="inlineStr">
        <is>
          <t>EUT-120-01</t>
        </is>
      </c>
      <c r="B1203" s="47" t="inlineStr">
        <is>
          <t>Euterpe</t>
        </is>
      </c>
      <c r="C1203" s="47" t="inlineStr">
        <is>
          <t>Computer Hardware</t>
        </is>
      </c>
      <c r="D1203" s="47" t="inlineStr">
        <is>
          <t>Case Fans</t>
        </is>
      </c>
      <c r="E1203" s="48" t="inlineStr">
        <is>
          <t>Euterpe Pulse Lite RGB Case Fan 3-Pack</t>
        </is>
      </c>
      <c r="F1203" s="49" t="n">
        <v>33.99</v>
      </c>
      <c r="G1203" s="47" t="inlineStr">
        <is>
          <t>the Pulse Lite; Euterpe Pulse Lite; Euterp Pulse Lite; Pulse Lite case fans</t>
        </is>
      </c>
      <c r="H1203" s="47" t="inlineStr">
        <is>
          <t>2 year limited</t>
        </is>
      </c>
      <c r="I1203" s="47" t="inlineStr">
        <is>
          <t>FCC, CE, RoHS</t>
        </is>
      </c>
      <c r="J1203" s="47" t="inlineStr">
        <is>
          <t>N/A</t>
        </is>
      </c>
      <c r="K1203" s="47" t="inlineStr">
        <is>
          <t>N/A</t>
        </is>
      </c>
      <c r="L1203" s="47" t="inlineStr">
        <is>
          <t>N/A</t>
        </is>
      </c>
      <c r="M1203" s="47" t="inlineStr">
        <is>
          <t>N/A</t>
        </is>
      </c>
      <c r="N1203" s="47" t="inlineStr">
        <is>
          <t>4-pin PWM, 3-pin 5V ARGB, daisy-chain connectors</t>
        </is>
      </c>
      <c r="O1203" s="47" t="inlineStr">
        <is>
          <t>N/A</t>
        </is>
      </c>
      <c r="P1203" s="47" t="inlineStr">
        <is>
          <t>N/A</t>
        </is>
      </c>
      <c r="Q1203" s="50" t="n">
        <v>403</v>
      </c>
      <c r="R1203" s="47" t="inlineStr">
        <is>
          <t>Lighter than Hymenaeus Quanta SE RGB Case Fan 3-Pack [HYM-121-02] (403 g vs 500 g); Lower price than Eos Nimbus RGB Case Fan 3-Pack [EOS-111-01] ($33.99 vs $92.99)</t>
        </is>
      </c>
      <c r="S1203" s="47" t="inlineStr">
        <is>
          <t>PC building, cooling, RGB builds</t>
        </is>
      </c>
      <c r="T1203" s="0" t="inlineStr">
        <is>
          <t>in_stock</t>
        </is>
      </c>
      <c r="U1203" s="0" t="n">
        <v>30</v>
      </c>
      <c r="V1203" s="52" t="n">
        <v>39.99</v>
      </c>
      <c r="W1203" s="0" t="inlineStr">
        <is>
          <t>2026-08-29</t>
        </is>
      </c>
      <c r="X1203" s="0" t="inlineStr">
        <is>
          <t>N/A</t>
        </is>
      </c>
      <c r="Y1203" s="0" t="inlineStr">
        <is>
          <t>N/A</t>
        </is>
      </c>
      <c r="Z1203" s="0" t="inlineStr">
        <is>
          <t>N/A</t>
        </is>
      </c>
      <c r="AA1203" s="0" t="inlineStr">
        <is>
          <t>N/A</t>
        </is>
      </c>
    </row>
    <row r="1204" ht="15.75" customHeight="1" s="51">
      <c r="A1204" s="47" t="inlineStr">
        <is>
          <t>EUT-120-02</t>
        </is>
      </c>
      <c r="B1204" s="47" t="inlineStr">
        <is>
          <t>Euterpe</t>
        </is>
      </c>
      <c r="C1204" s="47" t="inlineStr">
        <is>
          <t>Computer Hardware</t>
        </is>
      </c>
      <c r="D1204" s="47" t="inlineStr">
        <is>
          <t>Networking</t>
        </is>
      </c>
      <c r="E1204" s="48" t="inlineStr">
        <is>
          <t>Euterpe Flux SE Wi-Fi 7 PCIe Card</t>
        </is>
      </c>
      <c r="F1204" s="49" t="n">
        <v>61.99</v>
      </c>
      <c r="G1204" s="47" t="inlineStr">
        <is>
          <t>the Flux SE; Euterpe Flux SE; Euterpee Flux SE; Flux SE networking</t>
        </is>
      </c>
      <c r="H1204" s="47" t="inlineStr">
        <is>
          <t>2 year limited</t>
        </is>
      </c>
      <c r="I1204" s="47" t="inlineStr">
        <is>
          <t>FCC, CE, RoHS, Wi-Fi CERTIFIED 7, Bluetooth SIG Qualified</t>
        </is>
      </c>
      <c r="J1204" s="47" t="inlineStr">
        <is>
          <t>Chipset: MediaTek MT7927</t>
        </is>
      </c>
      <c r="K1204" s="47" t="inlineStr">
        <is>
          <t>N/A</t>
        </is>
      </c>
      <c r="L1204" s="47" t="inlineStr">
        <is>
          <t>N/A</t>
        </is>
      </c>
      <c r="M1204" s="47" t="inlineStr">
        <is>
          <t>N/A</t>
        </is>
      </c>
      <c r="N1204" s="47" t="inlineStr">
        <is>
          <t>PCIe x1, internal USB 2.0 header (Bluetooth 5.4), 2x external antennas</t>
        </is>
      </c>
      <c r="O1204" s="47" t="inlineStr">
        <is>
          <t>N/A</t>
        </is>
      </c>
      <c r="P1204" s="47" t="inlineStr">
        <is>
          <t>N/A</t>
        </is>
      </c>
      <c r="Q1204" s="50" t="n">
        <v>99</v>
      </c>
      <c r="R1204" s="47" t="inlineStr">
        <is>
          <t>Lower price than Hestia Sable Wi-Fi 7 PCIe Card [HES-116-02] ($61.99 vs $100.99); Lighter than Perses Arc X Wi-Fi 7 PCIe Card [PER-101-01] (99 g vs 108 g)</t>
        </is>
      </c>
      <c r="S1204" s="47" t="inlineStr">
        <is>
          <t>gaming, streaming, PC building</t>
        </is>
      </c>
      <c r="T1204" s="0" t="inlineStr">
        <is>
          <t>out_of_stock</t>
        </is>
      </c>
      <c r="U1204" s="0" t="n">
        <v>30</v>
      </c>
      <c r="V1204" s="52" t="n">
        <v>65.98999999999999</v>
      </c>
      <c r="W1204" s="0" t="inlineStr">
        <is>
          <t>2026-09-07</t>
        </is>
      </c>
      <c r="X1204" s="0" t="inlineStr">
        <is>
          <t>N/A</t>
        </is>
      </c>
      <c r="Y1204" s="0" t="inlineStr">
        <is>
          <t>N/A</t>
        </is>
      </c>
      <c r="Z1204" s="0" t="inlineStr">
        <is>
          <t>N/A</t>
        </is>
      </c>
      <c r="AA1204" s="0" t="inlineStr">
        <is>
          <t>N/A</t>
        </is>
      </c>
    </row>
    <row r="1205" ht="15.75" customHeight="1" s="51">
      <c r="A1205" s="47" t="inlineStr">
        <is>
          <t>EUT-120-03</t>
        </is>
      </c>
      <c r="B1205" s="47" t="inlineStr">
        <is>
          <t>Euterpe</t>
        </is>
      </c>
      <c r="C1205" s="47" t="inlineStr">
        <is>
          <t>Computer Hardware</t>
        </is>
      </c>
      <c r="D1205" s="47" t="inlineStr">
        <is>
          <t>Mouse</t>
        </is>
      </c>
      <c r="E1205" s="48" t="inlineStr">
        <is>
          <t>Euterpe Axis Ultra Gaming Mouse</t>
        </is>
      </c>
      <c r="F1205" s="49" t="n">
        <v>116.99</v>
      </c>
      <c r="G1205" s="47" t="inlineStr">
        <is>
          <t>the Axis Ultra; Euterpe Axis Ultra; Euetrpe Axis Ultra; Axis Ultra mouse</t>
        </is>
      </c>
      <c r="H1205" s="47" t="inlineStr">
        <is>
          <t>2 year limited</t>
        </is>
      </c>
      <c r="I1205" s="47" t="inlineStr">
        <is>
          <t>FCC, CE, RoHS, Bluetooth SIG Qualified</t>
        </is>
      </c>
      <c r="J1205" s="47" t="inlineStr">
        <is>
          <t>Sensor: 30K DPI optical</t>
        </is>
      </c>
      <c r="K1205" s="47" t="inlineStr">
        <is>
          <t>N/A</t>
        </is>
      </c>
      <c r="L1205" s="47" t="inlineStr">
        <is>
          <t>N/A</t>
        </is>
      </c>
      <c r="M1205" s="47" t="inlineStr">
        <is>
          <t>N/A</t>
        </is>
      </c>
      <c r="N1205" s="47" t="inlineStr">
        <is>
          <t>USB-C, 2.4GHz dongle, Bluetooth 5.1</t>
        </is>
      </c>
      <c r="O1205" s="47" t="inlineStr">
        <is>
          <t>N/A</t>
        </is>
      </c>
      <c r="P1205" s="47" t="n">
        <v>100</v>
      </c>
      <c r="Q1205" s="50" t="n">
        <v>75</v>
      </c>
      <c r="R1205" s="47" t="inlineStr">
        <is>
          <t>Lower price than Apollo Lumen X Gaming Mouse [APO-109-06] ($116.99 vs $142.99); Lighter than Kairos Volt Air Gaming Mouse [KAI-142-01] (75 g vs 93 g)</t>
        </is>
      </c>
      <c r="S1205" s="47" t="inlineStr">
        <is>
          <t>gaming, esports</t>
        </is>
      </c>
      <c r="T1205" s="0" t="inlineStr">
        <is>
          <t>in_stock</t>
        </is>
      </c>
      <c r="U1205" s="0" t="n">
        <v>30</v>
      </c>
      <c r="V1205" s="52" t="n">
        <v>133.99</v>
      </c>
      <c r="W1205" s="0" t="inlineStr">
        <is>
          <t>2026-09-03</t>
        </is>
      </c>
      <c r="X1205" s="0" t="inlineStr">
        <is>
          <t>N/A</t>
        </is>
      </c>
      <c r="Y1205" s="0" t="inlineStr">
        <is>
          <t>N/A</t>
        </is>
      </c>
      <c r="Z1205" s="0" t="inlineStr">
        <is>
          <t>N/A</t>
        </is>
      </c>
      <c r="AA1205" s="0" t="inlineStr">
        <is>
          <t>N/A</t>
        </is>
      </c>
    </row>
    <row r="1206" ht="15.75" customHeight="1" s="51">
      <c r="A1206" s="47" t="inlineStr">
        <is>
          <t>EUT-120-04</t>
        </is>
      </c>
      <c r="B1206" s="47" t="inlineStr">
        <is>
          <t>Euterpe</t>
        </is>
      </c>
      <c r="C1206" s="47" t="inlineStr">
        <is>
          <t>Computer Hardware</t>
        </is>
      </c>
      <c r="D1206" s="47" t="inlineStr">
        <is>
          <t>Webcam</t>
        </is>
      </c>
      <c r="E1206" s="48" t="inlineStr">
        <is>
          <t>Euterpe Zen SE 4K Webcam</t>
        </is>
      </c>
      <c r="F1206" s="49" t="n">
        <v>221.99</v>
      </c>
      <c r="G1206" s="47" t="inlineStr">
        <is>
          <t>the Zen SE; Euterpe Zen SE; Eutrepe Zen SE; Zen SE webcam</t>
        </is>
      </c>
      <c r="H1206" s="47" t="inlineStr">
        <is>
          <t>2 year limited</t>
        </is>
      </c>
      <c r="I1206" s="47" t="inlineStr">
        <is>
          <t>FCC, CE, RoHS, USB-IF Certified</t>
        </is>
      </c>
      <c r="J1206" s="47" t="inlineStr">
        <is>
          <t>N/A</t>
        </is>
      </c>
      <c r="K1206" s="47" t="inlineStr">
        <is>
          <t>N/A</t>
        </is>
      </c>
      <c r="L1206" s="47" t="inlineStr">
        <is>
          <t>N/A</t>
        </is>
      </c>
      <c r="M1206" s="47" t="inlineStr">
        <is>
          <t>3840x2160 @ 30fps, 1080p @ 60fps</t>
        </is>
      </c>
      <c r="N1206" s="47" t="inlineStr">
        <is>
          <t>USB-C (USB 3.0)</t>
        </is>
      </c>
      <c r="O1206" s="47" t="inlineStr">
        <is>
          <t>N/A</t>
        </is>
      </c>
      <c r="P1206" s="47" t="inlineStr">
        <is>
          <t>N/A</t>
        </is>
      </c>
      <c r="Q1206" s="50" t="n">
        <v>172</v>
      </c>
      <c r="R1206" s="47" t="inlineStr">
        <is>
          <t>Lighter than Apate Rift SE 4K Webcam [APA-110-03] (172 g vs 178 g); Lower price than Hermes Lumen SE 4K Webcam [HER-103-07] ($221.99 vs $227.99)</t>
        </is>
      </c>
      <c r="S1206" s="47" t="inlineStr">
        <is>
          <t>video calls, streaming, remote work</t>
        </is>
      </c>
      <c r="T1206" s="0" t="inlineStr">
        <is>
          <t>in_stock</t>
        </is>
      </c>
      <c r="U1206" s="0" t="n">
        <v>30</v>
      </c>
      <c r="V1206" s="52" t="n">
        <v>242.99</v>
      </c>
      <c r="W1206" s="0" t="inlineStr">
        <is>
          <t>2026-09-15</t>
        </is>
      </c>
      <c r="X1206" s="0" t="inlineStr">
        <is>
          <t>N/A</t>
        </is>
      </c>
      <c r="Y1206" s="0" t="inlineStr">
        <is>
          <t>N/A</t>
        </is>
      </c>
      <c r="Z1206" s="0" t="inlineStr">
        <is>
          <t>N/A</t>
        </is>
      </c>
      <c r="AA1206" s="0" t="inlineStr">
        <is>
          <t>N/A</t>
        </is>
      </c>
    </row>
    <row r="1207" ht="15.75" customHeight="1" s="51">
      <c r="A1207" s="47" t="inlineStr">
        <is>
          <t>EUT-120-05</t>
        </is>
      </c>
      <c r="B1207" s="47" t="inlineStr">
        <is>
          <t>Euterpe</t>
        </is>
      </c>
      <c r="C1207" s="47" t="inlineStr">
        <is>
          <t>Computer Hardware</t>
        </is>
      </c>
      <c r="D1207" s="47" t="inlineStr">
        <is>
          <t>Cooling</t>
        </is>
      </c>
      <c r="E1207" s="48" t="inlineStr">
        <is>
          <t>Euterpe Drift Lite 360mm AIO CPU Cooler</t>
        </is>
      </c>
      <c r="F1207" s="49" t="n">
        <v>257.99</v>
      </c>
      <c r="G1207" s="47" t="inlineStr">
        <is>
          <t>the Drift Lite; Euterpe Drift Lite; Euterp Drift Lite; Drift Lite cooling</t>
        </is>
      </c>
      <c r="H1207" s="47" t="inlineStr">
        <is>
          <t>5 year limited</t>
        </is>
      </c>
      <c r="I1207" s="47" t="inlineStr">
        <is>
          <t>FCC, CE, RoHS</t>
        </is>
      </c>
      <c r="J1207" s="47" t="inlineStr">
        <is>
          <t>N/A</t>
        </is>
      </c>
      <c r="K1207" s="47" t="inlineStr">
        <is>
          <t>N/A</t>
        </is>
      </c>
      <c r="L1207" s="47" t="inlineStr">
        <is>
          <t>IPS pump-head screen</t>
        </is>
      </c>
      <c r="M1207" s="47" t="inlineStr">
        <is>
          <t>480x480</t>
        </is>
      </c>
      <c r="N1207" s="47" t="inlineStr">
        <is>
          <t>3x 4-pin PWM fans, 3-pin pump header, ARGB 5V; LGA1700/LGA1851/AM5 mounts</t>
        </is>
      </c>
      <c r="O1207" s="47" t="inlineStr">
        <is>
          <t>N/A</t>
        </is>
      </c>
      <c r="P1207" s="47" t="inlineStr">
        <is>
          <t>N/A</t>
        </is>
      </c>
      <c r="Q1207" s="50" t="n">
        <v>2018</v>
      </c>
      <c r="R1207" s="47" t="inlineStr">
        <is>
          <t>Lower price than Atlas Arc Ultra 360mm AIO CPU Cooler [ATL-122-08] ($257.99 vs $274.99); Lighter than Enyo Quanta Air 360mm AIO CPU Cooler [ENY-114-07] (2,018 g vs 2,077 g)</t>
        </is>
      </c>
      <c r="S1207" s="47" t="inlineStr">
        <is>
          <t>overclocking, gaming, quiet builds</t>
        </is>
      </c>
      <c r="T1207" s="0" t="inlineStr">
        <is>
          <t>in_stock</t>
        </is>
      </c>
      <c r="U1207" s="0" t="n">
        <v>30</v>
      </c>
      <c r="V1207" s="52" t="n">
        <v>283.99</v>
      </c>
      <c r="W1207" s="0" t="inlineStr">
        <is>
          <t>2026-08-02</t>
        </is>
      </c>
      <c r="X1207" s="0" t="inlineStr">
        <is>
          <t>N/A</t>
        </is>
      </c>
      <c r="Y1207" s="0" t="inlineStr">
        <is>
          <t>N/A</t>
        </is>
      </c>
      <c r="Z1207" s="0" t="inlineStr">
        <is>
          <t>N/A</t>
        </is>
      </c>
      <c r="AA1207" s="0" t="inlineStr">
        <is>
          <t>N/A</t>
        </is>
      </c>
    </row>
    <row r="1208" ht="15.75" customHeight="1" s="51">
      <c r="A1208" s="47" t="inlineStr">
        <is>
          <t>EUT-120-06</t>
        </is>
      </c>
      <c r="B1208" s="47" t="inlineStr">
        <is>
          <t>Euterpe</t>
        </is>
      </c>
      <c r="C1208" s="47" t="inlineStr">
        <is>
          <t>Computer Hardware</t>
        </is>
      </c>
      <c r="D1208" s="47" t="inlineStr">
        <is>
          <t>Docking Station</t>
        </is>
      </c>
      <c r="E1208" s="48" t="inlineStr">
        <is>
          <t>Euterpe Aeon Max USB-C Docking Station</t>
        </is>
      </c>
      <c r="F1208" s="49" t="n">
        <v>282.99</v>
      </c>
      <c r="G1208" s="47" t="inlineStr">
        <is>
          <t>the Aeon Max; Euterpe Aeon Max; Uterpe Aeon Max; Aeon Max docking station</t>
        </is>
      </c>
      <c r="H1208" s="47" t="inlineStr">
        <is>
          <t>2 year limited</t>
        </is>
      </c>
      <c r="I1208" s="47" t="inlineStr">
        <is>
          <t>FCC, CE, RoHS, USB-IF Certified, UL Listed</t>
        </is>
      </c>
      <c r="J1208" s="47" t="inlineStr">
        <is>
          <t>N/A</t>
        </is>
      </c>
      <c r="K1208" s="47" t="inlineStr">
        <is>
          <t>N/A</t>
        </is>
      </c>
      <c r="L1208" s="47" t="inlineStr">
        <is>
          <t>N/A</t>
        </is>
      </c>
      <c r="M1208" s="47" t="inlineStr">
        <is>
          <t>N/A</t>
        </is>
      </c>
      <c r="N1208" s="47" t="inlineStr">
        <is>
          <t>Thunderbolt 4 host, 2x HDMI 2.1, 4x USB-A, 3x USB-C, 2.5GbE, SD/microSD, 96W PD</t>
        </is>
      </c>
      <c r="O1208" s="47" t="inlineStr">
        <is>
          <t>N/A</t>
        </is>
      </c>
      <c r="P1208" s="47" t="inlineStr">
        <is>
          <t>N/A</t>
        </is>
      </c>
      <c r="Q1208" s="50" t="n">
        <v>378</v>
      </c>
      <c r="R1208" s="47" t="inlineStr">
        <is>
          <t>Lighter than Cronus Core USB-C Docking Station [CRO-105-07] (378 g vs 418 g); Lower price than Uranus Aria X USB-C Docking Station [URA-113-09] ($282.99 vs $344.99)</t>
        </is>
      </c>
      <c r="S1208" s="47" t="inlineStr">
        <is>
          <t>office, remote work, multi-monitor</t>
        </is>
      </c>
      <c r="T1208" s="0" t="inlineStr">
        <is>
          <t>in_stock</t>
        </is>
      </c>
      <c r="U1208" s="0" t="n">
        <v>30</v>
      </c>
      <c r="V1208" s="52" t="n">
        <v>294.99</v>
      </c>
      <c r="W1208" s="0" t="inlineStr">
        <is>
          <t>2026-09-18</t>
        </is>
      </c>
      <c r="X1208" s="0" t="inlineStr">
        <is>
          <t>N/A</t>
        </is>
      </c>
      <c r="Y1208" s="0" t="inlineStr">
        <is>
          <t>N/A</t>
        </is>
      </c>
      <c r="Z1208" s="0" t="inlineStr">
        <is>
          <t>N/A</t>
        </is>
      </c>
      <c r="AA1208" s="0" t="inlineStr">
        <is>
          <t>N/A</t>
        </is>
      </c>
    </row>
    <row r="1209" ht="15.75" customHeight="1" s="51">
      <c r="A1209" s="47" t="inlineStr">
        <is>
          <t>EUT-120-07</t>
        </is>
      </c>
      <c r="B1209" s="47" t="inlineStr">
        <is>
          <t>Euterpe</t>
        </is>
      </c>
      <c r="C1209" s="47" t="inlineStr">
        <is>
          <t>Computer Hardware</t>
        </is>
      </c>
      <c r="D1209" s="47" t="inlineStr">
        <is>
          <t>Storage</t>
        </is>
      </c>
      <c r="E1209" s="48" t="inlineStr">
        <is>
          <t>Euterpe Flux 2TB NVMe SSD</t>
        </is>
      </c>
      <c r="F1209" s="49" t="n">
        <v>287.99</v>
      </c>
      <c r="G1209" s="47" t="inlineStr">
        <is>
          <t>the Flux; Euterpe Flux; Euterp Flux; Flux storage</t>
        </is>
      </c>
      <c r="H1209" s="47" t="inlineStr">
        <is>
          <t>5 year limited</t>
        </is>
      </c>
      <c r="I1209" s="47" t="inlineStr">
        <is>
          <t>FCC, CE, RoHS</t>
        </is>
      </c>
      <c r="J1209" s="47" t="inlineStr">
        <is>
          <t>Controller: Phison E26</t>
        </is>
      </c>
      <c r="K1209" s="47" t="inlineStr">
        <is>
          <t>N/A</t>
        </is>
      </c>
      <c r="L1209" s="47" t="inlineStr">
        <is>
          <t>N/A</t>
        </is>
      </c>
      <c r="M1209" s="47" t="inlineStr">
        <is>
          <t>N/A</t>
        </is>
      </c>
      <c r="N1209" s="47" t="inlineStr">
        <is>
          <t>M.2 2280, PCIe 5.0 x4 NVMe</t>
        </is>
      </c>
      <c r="O1209" s="47" t="inlineStr">
        <is>
          <t>N/A</t>
        </is>
      </c>
      <c r="P1209" s="47" t="inlineStr">
        <is>
          <t>N/A</t>
        </is>
      </c>
      <c r="Q1209" s="50" t="n">
        <v>10</v>
      </c>
      <c r="R1209" s="47" t="inlineStr">
        <is>
          <t>Lighter than Iris Quanta Plus 2TB NVMe SSD [IRI-130-08] (10 g vs 11 g); Lower price than Perses Lumen Pro 2TB NVMe SSD [PER-101-08] ($287.99 vs $294.99)</t>
        </is>
      </c>
      <c r="S1209" s="47" t="inlineStr">
        <is>
          <t>gaming, fast boot, content creation</t>
        </is>
      </c>
      <c r="T1209" s="0" t="inlineStr">
        <is>
          <t>in_stock</t>
        </is>
      </c>
      <c r="U1209" s="0" t="n">
        <v>30</v>
      </c>
      <c r="V1209" s="52" t="n">
        <v>315.99</v>
      </c>
      <c r="W1209" s="0" t="inlineStr">
        <is>
          <t>2026-08-10</t>
        </is>
      </c>
      <c r="X1209" s="0" t="inlineStr">
        <is>
          <t>N/A</t>
        </is>
      </c>
      <c r="Y1209" s="0" t="inlineStr">
        <is>
          <t>N/A</t>
        </is>
      </c>
      <c r="Z1209" s="0" t="inlineStr">
        <is>
          <t>N/A</t>
        </is>
      </c>
      <c r="AA1209" s="0" t="inlineStr">
        <is>
          <t>N/A</t>
        </is>
      </c>
    </row>
    <row r="1210" ht="15.75" customHeight="1" s="51">
      <c r="A1210" s="47" t="inlineStr">
        <is>
          <t>EUT-120-08</t>
        </is>
      </c>
      <c r="B1210" s="47" t="inlineStr">
        <is>
          <t>Euterpe</t>
        </is>
      </c>
      <c r="C1210" s="47" t="inlineStr">
        <is>
          <t>Computer Hardware</t>
        </is>
      </c>
      <c r="D1210" s="47" t="inlineStr">
        <is>
          <t>Motherboard</t>
        </is>
      </c>
      <c r="E1210" s="48" t="inlineStr">
        <is>
          <t>Euterpe Aria Plus ATX Motherboard</t>
        </is>
      </c>
      <c r="F1210" s="49" t="n">
        <v>338.99</v>
      </c>
      <c r="G1210" s="47" t="inlineStr">
        <is>
          <t>the Aria Plus; Euterpe Aria Plus; Uterpe Aria Plus; Aria Plus motherboard</t>
        </is>
      </c>
      <c r="H1210" s="47" t="inlineStr">
        <is>
          <t>3 year limited</t>
        </is>
      </c>
      <c r="I1210" s="47" t="inlineStr">
        <is>
          <t>FCC, CE, RoHS</t>
        </is>
      </c>
      <c r="J1210" s="47" t="inlineStr">
        <is>
          <t>Supports AMD Ryzen 7000/8000/9000 (Socket AM5)</t>
        </is>
      </c>
      <c r="K1210" s="47" t="inlineStr">
        <is>
          <t>N/A</t>
        </is>
      </c>
      <c r="L1210" s="47" t="inlineStr">
        <is>
          <t>N/A</t>
        </is>
      </c>
      <c r="M1210" s="47" t="inlineStr">
        <is>
          <t>N/A</t>
        </is>
      </c>
      <c r="N1210" s="47" t="inlineStr">
        <is>
          <t>Rear I/O: 1x HDMI, 1x DisplayPort, 8x USB-A, 2x USB-C 20Gbps, 2.5GbE, Wi-Fi 7</t>
        </is>
      </c>
      <c r="O1210" s="47" t="inlineStr">
        <is>
          <t>N/A</t>
        </is>
      </c>
      <c r="P1210" s="47" t="inlineStr">
        <is>
          <t>N/A</t>
        </is>
      </c>
      <c r="Q1210" s="50" t="n">
        <v>1687</v>
      </c>
      <c r="R1210" s="47" t="inlineStr">
        <is>
          <t>Lighter than Artemis Zen Plus ATX Motherboard [ART-150-08] (1,687 g vs 1,751 g); Lower price than Eileithyia Blaze Plus ATX Motherboard [EIL-149-09] ($338.99 vs $421.99)</t>
        </is>
      </c>
      <c r="S1210" s="47" t="inlineStr">
        <is>
          <t>PC building, gaming, workstation builds</t>
        </is>
      </c>
      <c r="T1210" s="0" t="inlineStr">
        <is>
          <t>out_of_stock</t>
        </is>
      </c>
      <c r="U1210" s="0" t="n">
        <v>30</v>
      </c>
      <c r="V1210" s="52" t="n">
        <v>370.99</v>
      </c>
      <c r="W1210" s="0" t="inlineStr">
        <is>
          <t>2026-08-06</t>
        </is>
      </c>
      <c r="X1210" s="0" t="inlineStr">
        <is>
          <t>N/A</t>
        </is>
      </c>
      <c r="Y1210" s="0" t="inlineStr">
        <is>
          <t>N/A</t>
        </is>
      </c>
      <c r="Z1210" s="0" t="inlineStr">
        <is>
          <t>N/A</t>
        </is>
      </c>
      <c r="AA1210" s="0" t="inlineStr">
        <is>
          <t>N/A</t>
        </is>
      </c>
    </row>
    <row r="1211" ht="15.75" customHeight="1" s="51">
      <c r="A1211" s="47" t="inlineStr">
        <is>
          <t>EUT-120-09</t>
        </is>
      </c>
      <c r="B1211" s="47" t="inlineStr">
        <is>
          <t>Euterpe</t>
        </is>
      </c>
      <c r="C1211" s="47" t="inlineStr">
        <is>
          <t>Computer Hardware</t>
        </is>
      </c>
      <c r="D1211" s="47" t="inlineStr">
        <is>
          <t>Processor</t>
        </is>
      </c>
      <c r="E1211" s="48" t="inlineStr">
        <is>
          <t>Euterpe Quanta Desktop CPU</t>
        </is>
      </c>
      <c r="F1211" s="49" t="n">
        <v>402.99</v>
      </c>
      <c r="G1211" s="47" t="inlineStr">
        <is>
          <t>the Quanta; Euterpe Quanta; Euterp Quanta; Quanta processor</t>
        </is>
      </c>
      <c r="H1211" s="47" t="inlineStr">
        <is>
          <t>3 year limited</t>
        </is>
      </c>
      <c r="I1211" s="47" t="inlineStr">
        <is>
          <t>FCC, CE, RoHS</t>
        </is>
      </c>
      <c r="J1211" s="47" t="inlineStr">
        <is>
          <t>Euterpe Quanta 12-core / 24-thread, up to 5.2 GHz</t>
        </is>
      </c>
      <c r="K1211" s="47" t="inlineStr">
        <is>
          <t>None (discrete GPU required)</t>
        </is>
      </c>
      <c r="L1211" s="47" t="inlineStr">
        <is>
          <t>N/A</t>
        </is>
      </c>
      <c r="M1211" s="47" t="inlineStr">
        <is>
          <t>N/A</t>
        </is>
      </c>
      <c r="N1211" s="47" t="inlineStr">
        <is>
          <t>N/A</t>
        </is>
      </c>
      <c r="O1211" s="47" t="inlineStr">
        <is>
          <t>N/A</t>
        </is>
      </c>
      <c r="P1211" s="47" t="inlineStr">
        <is>
          <t>N/A</t>
        </is>
      </c>
      <c r="Q1211" s="50" t="n">
        <v>52</v>
      </c>
      <c r="R1211" s="47" t="inlineStr">
        <is>
          <t>Lower price than Eos Volt Plus Desktop CPU [EOS-111-09] ($402.99 vs $692.99); Lighter than Notus Apex SE Desktop CPU [NOT-108-07] (52 g vs 58 g)</t>
        </is>
      </c>
      <c r="S1211" s="47" t="inlineStr">
        <is>
          <t>gaming, content creation, workstation builds</t>
        </is>
      </c>
      <c r="T1211" s="0" t="inlineStr">
        <is>
          <t>in_stock</t>
        </is>
      </c>
      <c r="U1211" s="0" t="n">
        <v>30</v>
      </c>
      <c r="V1211" s="52" t="n">
        <v>457.99</v>
      </c>
      <c r="W1211" s="0" t="inlineStr">
        <is>
          <t>2026-09-13</t>
        </is>
      </c>
      <c r="X1211" s="0" t="inlineStr">
        <is>
          <t>N/A</t>
        </is>
      </c>
      <c r="Y1211" s="0" t="inlineStr">
        <is>
          <t>N/A</t>
        </is>
      </c>
      <c r="Z1211" s="0" t="inlineStr">
        <is>
          <t>N/A</t>
        </is>
      </c>
      <c r="AA1211" s="0" t="inlineStr">
        <is>
          <t>N/A</t>
        </is>
      </c>
    </row>
    <row r="1212" ht="15.75" customHeight="1" s="51">
      <c r="A1212" s="47" t="inlineStr">
        <is>
          <t>EUT-120-10</t>
        </is>
      </c>
      <c r="B1212" s="47" t="inlineStr">
        <is>
          <t>Euterpe</t>
        </is>
      </c>
      <c r="C1212" s="47" t="inlineStr">
        <is>
          <t>Computer Hardware</t>
        </is>
      </c>
      <c r="D1212" s="47" t="inlineStr">
        <is>
          <t>Graphics Card</t>
        </is>
      </c>
      <c r="E1212" s="48" t="inlineStr">
        <is>
          <t>Euterpe Volt Ultra Graphics Card</t>
        </is>
      </c>
      <c r="F1212" s="49" t="n">
        <v>921.99</v>
      </c>
      <c r="G1212" s="47" t="inlineStr">
        <is>
          <t>the Volt Ultra; Euterpe Volt Ultra; Eutrepe Volt Ultra; Volt Ultra graphics card</t>
        </is>
      </c>
      <c r="H1212" s="47" t="inlineStr">
        <is>
          <t>3 year limited</t>
        </is>
      </c>
      <c r="I1212" s="47" t="inlineStr">
        <is>
          <t>FCC, CE, RoHS</t>
        </is>
      </c>
      <c r="J1212" s="47" t="inlineStr">
        <is>
          <t>N/A</t>
        </is>
      </c>
      <c r="K1212" s="47" t="inlineStr">
        <is>
          <t>AMD Radeon RX 7900 XTX 24GB (Euterpe Volt edition)</t>
        </is>
      </c>
      <c r="L1212" s="47" t="inlineStr">
        <is>
          <t>N/A</t>
        </is>
      </c>
      <c r="M1212" s="47" t="inlineStr">
        <is>
          <t>N/A</t>
        </is>
      </c>
      <c r="N1212" s="47" t="inlineStr">
        <is>
          <t>2x DisplayPort 2.1, 1x HDMI 2.1, 1x USB-C</t>
        </is>
      </c>
      <c r="O1212" s="47" t="inlineStr">
        <is>
          <t>N/A</t>
        </is>
      </c>
      <c r="P1212" s="47" t="inlineStr">
        <is>
          <t>N/A</t>
        </is>
      </c>
      <c r="Q1212" s="50" t="n">
        <v>2192</v>
      </c>
      <c r="R1212" s="47" t="inlineStr">
        <is>
          <t>Lower price than Hymenaeus Echo Graphics Card [HYM-121-10] ($921.99 vs $1,150.99)</t>
        </is>
      </c>
      <c r="S1212" s="47" t="inlineStr">
        <is>
          <t>gaming, 3D rendering, AI workloads</t>
        </is>
      </c>
      <c r="T1212" s="0" t="inlineStr">
        <is>
          <t>in_stock</t>
        </is>
      </c>
      <c r="U1212" s="0" t="n">
        <v>30</v>
      </c>
      <c r="V1212" s="52" t="n">
        <v>1056.99</v>
      </c>
      <c r="W1212" s="0" t="inlineStr">
        <is>
          <t>2026-08-04</t>
        </is>
      </c>
      <c r="X1212" s="0" t="inlineStr">
        <is>
          <t>N/A</t>
        </is>
      </c>
      <c r="Y1212" s="0" t="inlineStr">
        <is>
          <t>N/A</t>
        </is>
      </c>
      <c r="Z1212" s="0" t="inlineStr">
        <is>
          <t>N/A</t>
        </is>
      </c>
      <c r="AA1212" s="0" t="inlineStr">
        <is>
          <t>N/A</t>
        </is>
      </c>
    </row>
    <row r="1213" ht="15.75" customHeight="1" s="51">
      <c r="A1213" s="47" t="inlineStr">
        <is>
          <t>HYM-121-01</t>
        </is>
      </c>
      <c r="B1213" s="47" t="inlineStr">
        <is>
          <t>Hymenaeus</t>
        </is>
      </c>
      <c r="C1213" s="47" t="inlineStr">
        <is>
          <t>Computer Hardware</t>
        </is>
      </c>
      <c r="D1213" s="47" t="inlineStr">
        <is>
          <t>Networking</t>
        </is>
      </c>
      <c r="E1213" s="48" t="inlineStr">
        <is>
          <t>Hymenaeus Axis Air Wi-Fi 7 PCIe Card</t>
        </is>
      </c>
      <c r="F1213" s="49" t="n">
        <v>39.99</v>
      </c>
      <c r="G1213" s="47" t="inlineStr">
        <is>
          <t>the Axis Air; Hymenaeus Axis Air; Himenaeus Axis Air; Axis Air networking</t>
        </is>
      </c>
      <c r="H1213" s="47" t="inlineStr">
        <is>
          <t>2 year limited</t>
        </is>
      </c>
      <c r="I1213" s="47" t="inlineStr">
        <is>
          <t>FCC, CE, RoHS, Wi-Fi CERTIFIED 7, Bluetooth SIG Qualified</t>
        </is>
      </c>
      <c r="J1213" s="47" t="inlineStr">
        <is>
          <t>Chipset: Intel BE200</t>
        </is>
      </c>
      <c r="K1213" s="47" t="inlineStr">
        <is>
          <t>N/A</t>
        </is>
      </c>
      <c r="L1213" s="47" t="inlineStr">
        <is>
          <t>N/A</t>
        </is>
      </c>
      <c r="M1213" s="47" t="inlineStr">
        <is>
          <t>N/A</t>
        </is>
      </c>
      <c r="N1213" s="47" t="inlineStr">
        <is>
          <t>PCIe x1, internal USB 2.0 header (Bluetooth 5.4), 2x external antennas</t>
        </is>
      </c>
      <c r="O1213" s="47" t="inlineStr">
        <is>
          <t>N/A</t>
        </is>
      </c>
      <c r="P1213" s="47" t="inlineStr">
        <is>
          <t>N/A</t>
        </is>
      </c>
      <c r="Q1213" s="50" t="n">
        <v>69</v>
      </c>
      <c r="R1213" s="47" t="inlineStr">
        <is>
          <t>Lower price than Kairos Volt SE Wi-Fi 7 PCIe Card [KAI-142-05] ($39.99 vs $111.99); Lighter than Dione Vibe Lite Wi-Fi 7 PCIe Card [DIO-128-02] (69 g vs 104 g)</t>
        </is>
      </c>
      <c r="S1213" s="47" t="inlineStr">
        <is>
          <t>gaming, streaming, PC building</t>
        </is>
      </c>
      <c r="T1213" s="0" t="inlineStr">
        <is>
          <t>in_stock</t>
        </is>
      </c>
      <c r="U1213" s="0" t="n">
        <v>30</v>
      </c>
      <c r="V1213" s="52" t="n">
        <v>42.99</v>
      </c>
      <c r="W1213" s="0" t="inlineStr">
        <is>
          <t>2026-08-21</t>
        </is>
      </c>
      <c r="X1213" s="0" t="inlineStr">
        <is>
          <t>N/A</t>
        </is>
      </c>
      <c r="Y1213" s="0" t="inlineStr">
        <is>
          <t>N/A</t>
        </is>
      </c>
      <c r="Z1213" s="0" t="inlineStr">
        <is>
          <t>N/A</t>
        </is>
      </c>
      <c r="AA1213" s="0" t="inlineStr">
        <is>
          <t>N/A</t>
        </is>
      </c>
    </row>
    <row r="1214" ht="15.75" customHeight="1" s="51">
      <c r="A1214" s="47" t="inlineStr">
        <is>
          <t>HYM-121-02</t>
        </is>
      </c>
      <c r="B1214" s="47" t="inlineStr">
        <is>
          <t>Hymenaeus</t>
        </is>
      </c>
      <c r="C1214" s="47" t="inlineStr">
        <is>
          <t>Computer Hardware</t>
        </is>
      </c>
      <c r="D1214" s="47" t="inlineStr">
        <is>
          <t>Case Fans</t>
        </is>
      </c>
      <c r="E1214" s="48" t="inlineStr">
        <is>
          <t>Hymenaeus Quanta SE RGB Case Fan 3-Pack</t>
        </is>
      </c>
      <c r="F1214" s="49" t="n">
        <v>42.99</v>
      </c>
      <c r="G1214" s="47" t="inlineStr">
        <is>
          <t>the Quanta SE; Hymenaeus Quanta SE; Hymenaues Quanta SE; Quanta SE case fans</t>
        </is>
      </c>
      <c r="H1214" s="47" t="inlineStr">
        <is>
          <t>2 year limited</t>
        </is>
      </c>
      <c r="I1214" s="47" t="inlineStr">
        <is>
          <t>FCC, CE, RoHS</t>
        </is>
      </c>
      <c r="J1214" s="47" t="inlineStr">
        <is>
          <t>N/A</t>
        </is>
      </c>
      <c r="K1214" s="47" t="inlineStr">
        <is>
          <t>N/A</t>
        </is>
      </c>
      <c r="L1214" s="47" t="inlineStr">
        <is>
          <t>N/A</t>
        </is>
      </c>
      <c r="M1214" s="47" t="inlineStr">
        <is>
          <t>N/A</t>
        </is>
      </c>
      <c r="N1214" s="47" t="inlineStr">
        <is>
          <t>4-pin PWM, 3-pin 5V ARGB, daisy-chain connectors</t>
        </is>
      </c>
      <c r="O1214" s="47" t="inlineStr">
        <is>
          <t>N/A</t>
        </is>
      </c>
      <c r="P1214" s="47" t="inlineStr">
        <is>
          <t>N/A</t>
        </is>
      </c>
      <c r="Q1214" s="50" t="n">
        <v>500</v>
      </c>
      <c r="R1214" s="47" t="inlineStr">
        <is>
          <t>Lower price than Apate Onyx Plus RGB Case Fan 3-Pack [APA-110-02] ($42.99 vs $84.99); Lighter than Eucleia Halo RGB Case Fan 3-Pack [EUC-124-01] (500 g vs 519 g)</t>
        </is>
      </c>
      <c r="S1214" s="47" t="inlineStr">
        <is>
          <t>PC building, cooling, RGB builds</t>
        </is>
      </c>
      <c r="T1214" s="0" t="inlineStr">
        <is>
          <t>low_stock</t>
        </is>
      </c>
      <c r="U1214" s="0" t="n">
        <v>30</v>
      </c>
      <c r="V1214" s="52" t="n">
        <v>48.99</v>
      </c>
      <c r="W1214" s="0" t="inlineStr">
        <is>
          <t>2026-08-16</t>
        </is>
      </c>
      <c r="X1214" s="0" t="inlineStr">
        <is>
          <t>N/A</t>
        </is>
      </c>
      <c r="Y1214" s="0" t="inlineStr">
        <is>
          <t>N/A</t>
        </is>
      </c>
      <c r="Z1214" s="0" t="inlineStr">
        <is>
          <t>N/A</t>
        </is>
      </c>
      <c r="AA1214" s="0" t="inlineStr">
        <is>
          <t>N/A</t>
        </is>
      </c>
    </row>
    <row r="1215" ht="15.75" customHeight="1" s="51">
      <c r="A1215" s="47" t="inlineStr">
        <is>
          <t>HYM-121-03</t>
        </is>
      </c>
      <c r="B1215" s="47" t="inlineStr">
        <is>
          <t>Hymenaeus</t>
        </is>
      </c>
      <c r="C1215" s="47" t="inlineStr">
        <is>
          <t>Computer Hardware</t>
        </is>
      </c>
      <c r="D1215" s="47" t="inlineStr">
        <is>
          <t>Webcam</t>
        </is>
      </c>
      <c r="E1215" s="48" t="inlineStr">
        <is>
          <t>Hymenaeus Drift Plus 4K Webcam</t>
        </is>
      </c>
      <c r="F1215" s="49" t="n">
        <v>114.99</v>
      </c>
      <c r="G1215" s="47" t="inlineStr">
        <is>
          <t>the Drift Plus; Hymenaeus Drift Plus; Hymenaeu Drift Plus; Drift Plus webcam</t>
        </is>
      </c>
      <c r="H1215" s="47" t="inlineStr">
        <is>
          <t>2 year limited</t>
        </is>
      </c>
      <c r="I1215" s="47" t="inlineStr">
        <is>
          <t>FCC, CE, RoHS, USB-IF Certified</t>
        </is>
      </c>
      <c r="J1215" s="47" t="inlineStr">
        <is>
          <t>N/A</t>
        </is>
      </c>
      <c r="K1215" s="47" t="inlineStr">
        <is>
          <t>N/A</t>
        </is>
      </c>
      <c r="L1215" s="47" t="inlineStr">
        <is>
          <t>N/A</t>
        </is>
      </c>
      <c r="M1215" s="47" t="inlineStr">
        <is>
          <t>3840x2160 @ 30fps, 1080p @ 60fps</t>
        </is>
      </c>
      <c r="N1215" s="47" t="inlineStr">
        <is>
          <t>USB-C (USB 3.0)</t>
        </is>
      </c>
      <c r="O1215" s="47" t="inlineStr">
        <is>
          <t>N/A</t>
        </is>
      </c>
      <c r="P1215" s="47" t="inlineStr">
        <is>
          <t>N/A</t>
        </is>
      </c>
      <c r="Q1215" s="50" t="n">
        <v>172</v>
      </c>
      <c r="R1215" s="47" t="inlineStr">
        <is>
          <t>Lower price than Hermes Lumen SE 4K Webcam [HER-103-07] ($114.99 vs $227.99); Lighter than Apate Rift SE 4K Webcam [APA-110-03] (172 g vs 178 g)</t>
        </is>
      </c>
      <c r="S1215" s="47" t="inlineStr">
        <is>
          <t>video calls, streaming, remote work</t>
        </is>
      </c>
      <c r="T1215" s="0" t="inlineStr">
        <is>
          <t>in_stock</t>
        </is>
      </c>
      <c r="U1215" s="0" t="n">
        <v>30</v>
      </c>
      <c r="V1215" s="52" t="n">
        <v>131.99</v>
      </c>
      <c r="W1215" s="0" t="inlineStr">
        <is>
          <t>2026-09-07</t>
        </is>
      </c>
      <c r="X1215" s="0" t="inlineStr">
        <is>
          <t>N/A</t>
        </is>
      </c>
      <c r="Y1215" s="0" t="inlineStr">
        <is>
          <t>N/A</t>
        </is>
      </c>
      <c r="Z1215" s="0" t="inlineStr">
        <is>
          <t>N/A</t>
        </is>
      </c>
      <c r="AA1215" s="0" t="inlineStr">
        <is>
          <t>N/A</t>
        </is>
      </c>
    </row>
    <row r="1216" ht="15.75" customHeight="1" s="51">
      <c r="A1216" s="47" t="inlineStr">
        <is>
          <t>HYM-121-04</t>
        </is>
      </c>
      <c r="B1216" s="47" t="inlineStr">
        <is>
          <t>Hymenaeus</t>
        </is>
      </c>
      <c r="C1216" s="47" t="inlineStr">
        <is>
          <t>Computer Hardware</t>
        </is>
      </c>
      <c r="D1216" s="47" t="inlineStr">
        <is>
          <t>Storage</t>
        </is>
      </c>
      <c r="E1216" s="48" t="inlineStr">
        <is>
          <t>Hymenaeus Nimbus Plus 4TB External Hard Drive</t>
        </is>
      </c>
      <c r="F1216" s="49" t="n">
        <v>166.99</v>
      </c>
      <c r="G1216" s="47" t="inlineStr">
        <is>
          <t>the Nimbus Plus; Hymenaeus Nimbus Plus; Hymeenaeus Nimbus Plus; Nimbus Plus storage</t>
        </is>
      </c>
      <c r="H1216" s="47" t="inlineStr">
        <is>
          <t>2 year limited</t>
        </is>
      </c>
      <c r="I1216" s="47" t="inlineStr">
        <is>
          <t>FCC, CE, RoHS, USB-IF Certified</t>
        </is>
      </c>
      <c r="J1216" s="47" t="inlineStr">
        <is>
          <t>N/A</t>
        </is>
      </c>
      <c r="K1216" s="47" t="inlineStr">
        <is>
          <t>N/A</t>
        </is>
      </c>
      <c r="L1216" s="47" t="inlineStr">
        <is>
          <t>N/A</t>
        </is>
      </c>
      <c r="M1216" s="47" t="inlineStr">
        <is>
          <t>N/A</t>
        </is>
      </c>
      <c r="N1216" s="47" t="inlineStr">
        <is>
          <t>USB-C (USB 3.2 Gen 1)</t>
        </is>
      </c>
      <c r="O1216" s="47" t="inlineStr">
        <is>
          <t>N/A</t>
        </is>
      </c>
      <c r="P1216" s="47" t="inlineStr">
        <is>
          <t>N/A</t>
        </is>
      </c>
      <c r="Q1216" s="50" t="n">
        <v>222</v>
      </c>
      <c r="R1216" s="47" t="inlineStr">
        <is>
          <t>Lighter than Eirene Pulse 4TB External Hard Drive [EIR-112-04] (222 g vs 242 g); Lower price than Aidos Orbit 4TB External Hard Drive [AID-135-05] ($166.99 vs $196.99)</t>
        </is>
      </c>
      <c r="S1216" s="47" t="inlineStr">
        <is>
          <t>backup, media storage</t>
        </is>
      </c>
      <c r="T1216" s="0" t="inlineStr">
        <is>
          <t>in_stock</t>
        </is>
      </c>
      <c r="U1216" s="0" t="n">
        <v>30</v>
      </c>
      <c r="V1216" s="52" t="n">
        <v>182.99</v>
      </c>
      <c r="W1216" s="0" t="inlineStr">
        <is>
          <t>2026-09-20</t>
        </is>
      </c>
      <c r="X1216" s="0" t="inlineStr">
        <is>
          <t>N/A</t>
        </is>
      </c>
      <c r="Y1216" s="0" t="inlineStr">
        <is>
          <t>N/A</t>
        </is>
      </c>
      <c r="Z1216" s="0" t="inlineStr">
        <is>
          <t>N/A</t>
        </is>
      </c>
      <c r="AA1216" s="0" t="inlineStr">
        <is>
          <t>N/A</t>
        </is>
      </c>
    </row>
    <row r="1217" ht="15.75" customHeight="1" s="51">
      <c r="A1217" s="47" t="inlineStr">
        <is>
          <t>HYM-121-05</t>
        </is>
      </c>
      <c r="B1217" s="47" t="inlineStr">
        <is>
          <t>Hymenaeus</t>
        </is>
      </c>
      <c r="C1217" s="47" t="inlineStr">
        <is>
          <t>Computer Hardware</t>
        </is>
      </c>
      <c r="D1217" s="47" t="inlineStr">
        <is>
          <t>Memory</t>
        </is>
      </c>
      <c r="E1217" s="48" t="inlineStr">
        <is>
          <t>Hymenaeus Blaze X 32GB DDR5 RAM Kit</t>
        </is>
      </c>
      <c r="F1217" s="49" t="n">
        <v>225.99</v>
      </c>
      <c r="G1217" s="47" t="inlineStr">
        <is>
          <t>the Blaze X; Hymenaeus Blaze X; Hymenaues Blaze X; Blaze X memory</t>
        </is>
      </c>
      <c r="H1217" s="47" t="inlineStr">
        <is>
          <t>Limited lifetime</t>
        </is>
      </c>
      <c r="I1217" s="47" t="inlineStr">
        <is>
          <t>FCC, CE, RoHS</t>
        </is>
      </c>
      <c r="J1217" s="47" t="inlineStr">
        <is>
          <t>N/A</t>
        </is>
      </c>
      <c r="K1217" s="47" t="inlineStr">
        <is>
          <t>N/A</t>
        </is>
      </c>
      <c r="L1217" s="47" t="inlineStr">
        <is>
          <t>N/A</t>
        </is>
      </c>
      <c r="M1217" s="47" t="inlineStr">
        <is>
          <t>N/A</t>
        </is>
      </c>
      <c r="N1217" s="47" t="inlineStr">
        <is>
          <t>2x 16GB DDR5 288-pin DIMM, 7200 MT/s</t>
        </is>
      </c>
      <c r="O1217" s="47" t="inlineStr">
        <is>
          <t>N/A</t>
        </is>
      </c>
      <c r="P1217" s="47" t="inlineStr">
        <is>
          <t>N/A</t>
        </is>
      </c>
      <c r="Q1217" s="50" t="n">
        <v>75</v>
      </c>
      <c r="R1217" s="47" t="inlineStr">
        <is>
          <t>Lighter than Aphrodite Pulse SE 32GB DDR5 RAM Kit [APH-141-07] (75 g vs 77 g); Lower price than Ares Titan 32GB DDR5 RAM Kit [ARE-140-08] ($225.99 vs $232.99)</t>
        </is>
      </c>
      <c r="S1217" s="47" t="inlineStr">
        <is>
          <t>gaming, multitasking, PC building</t>
        </is>
      </c>
      <c r="T1217" s="0" t="inlineStr">
        <is>
          <t>in_stock</t>
        </is>
      </c>
      <c r="U1217" s="0" t="n">
        <v>30</v>
      </c>
      <c r="V1217" s="52" t="n">
        <v>234.99</v>
      </c>
      <c r="W1217" s="0" t="inlineStr">
        <is>
          <t>2026-08-15</t>
        </is>
      </c>
      <c r="X1217" s="0" t="inlineStr">
        <is>
          <t>N/A</t>
        </is>
      </c>
      <c r="Y1217" s="0" t="inlineStr">
        <is>
          <t>N/A</t>
        </is>
      </c>
      <c r="Z1217" s="0" t="inlineStr">
        <is>
          <t>N/A</t>
        </is>
      </c>
      <c r="AA1217" s="0" t="inlineStr">
        <is>
          <t>N/A</t>
        </is>
      </c>
    </row>
    <row r="1218" ht="15.75" customHeight="1" s="51">
      <c r="A1218" s="47" t="inlineStr">
        <is>
          <t>HYM-121-06</t>
        </is>
      </c>
      <c r="B1218" s="47" t="inlineStr">
        <is>
          <t>Hymenaeus</t>
        </is>
      </c>
      <c r="C1218" s="47" t="inlineStr">
        <is>
          <t>Computer Hardware</t>
        </is>
      </c>
      <c r="D1218" s="47" t="inlineStr">
        <is>
          <t>Docking Station</t>
        </is>
      </c>
      <c r="E1218" s="48" t="inlineStr">
        <is>
          <t>Hymenaeus Sable X USB-C Docking Station</t>
        </is>
      </c>
      <c r="F1218" s="49" t="n">
        <v>325.99</v>
      </c>
      <c r="G1218" s="47" t="inlineStr">
        <is>
          <t>the Sable X; Hymenaeus Sable X; Hymenaus Sable X; Sable X docking station</t>
        </is>
      </c>
      <c r="H1218" s="47" t="inlineStr">
        <is>
          <t>2 year limited</t>
        </is>
      </c>
      <c r="I1218" s="47" t="inlineStr">
        <is>
          <t>FCC, CE, RoHS, USB-IF Certified, UL Listed</t>
        </is>
      </c>
      <c r="J1218" s="47" t="inlineStr">
        <is>
          <t>N/A</t>
        </is>
      </c>
      <c r="K1218" s="47" t="inlineStr">
        <is>
          <t>N/A</t>
        </is>
      </c>
      <c r="L1218" s="47" t="inlineStr">
        <is>
          <t>N/A</t>
        </is>
      </c>
      <c r="M1218" s="47" t="inlineStr">
        <is>
          <t>N/A</t>
        </is>
      </c>
      <c r="N1218" s="47" t="inlineStr">
        <is>
          <t>Thunderbolt 4 host, 2x HDMI 2.1, 4x USB-A, 3x USB-C, 2.5GbE, SD/microSD, 96W PD</t>
        </is>
      </c>
      <c r="O1218" s="47" t="inlineStr">
        <is>
          <t>N/A</t>
        </is>
      </c>
      <c r="P1218" s="47" t="inlineStr">
        <is>
          <t>N/A</t>
        </is>
      </c>
      <c r="Q1218" s="50" t="n">
        <v>348</v>
      </c>
      <c r="R1218" s="47" t="inlineStr">
        <is>
          <t>Lighter than Pheme Sable Lite USB-C Docking Station [PHE-102-07] (348 g vs 456 g); Lower price than Uranus Aria X USB-C Docking Station [URA-113-09] ($325.99 vs $344.99)</t>
        </is>
      </c>
      <c r="S1218" s="47" t="inlineStr">
        <is>
          <t>office, remote work, multi-monitor</t>
        </is>
      </c>
      <c r="T1218" s="0" t="inlineStr">
        <is>
          <t>in_stock</t>
        </is>
      </c>
      <c r="U1218" s="0" t="n">
        <v>30</v>
      </c>
      <c r="V1218" s="52" t="n">
        <v>364.99</v>
      </c>
      <c r="W1218" s="0" t="inlineStr">
        <is>
          <t>2026-09-14</t>
        </is>
      </c>
      <c r="X1218" s="0" t="inlineStr">
        <is>
          <t>N/A</t>
        </is>
      </c>
      <c r="Y1218" s="0" t="inlineStr">
        <is>
          <t>N/A</t>
        </is>
      </c>
      <c r="Z1218" s="0" t="inlineStr">
        <is>
          <t>N/A</t>
        </is>
      </c>
      <c r="AA1218" s="0" t="inlineStr">
        <is>
          <t>N/A</t>
        </is>
      </c>
    </row>
    <row r="1219" ht="15.75" customHeight="1" s="51">
      <c r="A1219" s="47" t="inlineStr">
        <is>
          <t>HYM-121-07</t>
        </is>
      </c>
      <c r="B1219" s="47" t="inlineStr">
        <is>
          <t>Hymenaeus</t>
        </is>
      </c>
      <c r="C1219" s="47" t="inlineStr">
        <is>
          <t>Computer Hardware</t>
        </is>
      </c>
      <c r="D1219" s="47" t="inlineStr">
        <is>
          <t>Motherboard</t>
        </is>
      </c>
      <c r="E1219" s="48" t="inlineStr">
        <is>
          <t>Hymenaeus Pulse Lite ATX Motherboard</t>
        </is>
      </c>
      <c r="F1219" s="49" t="n">
        <v>461.99</v>
      </c>
      <c r="G1219" s="47" t="inlineStr">
        <is>
          <t>the Pulse Lite; Hymenaeus Pulse Lite; Hymenaeuus Pulse Lite; Pulse Lite motherboard</t>
        </is>
      </c>
      <c r="H1219" s="47" t="inlineStr">
        <is>
          <t>3 year limited</t>
        </is>
      </c>
      <c r="I1219" s="47" t="inlineStr">
        <is>
          <t>FCC, CE, RoHS</t>
        </is>
      </c>
      <c r="J1219" s="47" t="inlineStr">
        <is>
          <t>Supports Intel Core 12th-14th Gen (LGA1700)</t>
        </is>
      </c>
      <c r="K1219" s="47" t="inlineStr">
        <is>
          <t>N/A</t>
        </is>
      </c>
      <c r="L1219" s="47" t="inlineStr">
        <is>
          <t>N/A</t>
        </is>
      </c>
      <c r="M1219" s="47" t="inlineStr">
        <is>
          <t>N/A</t>
        </is>
      </c>
      <c r="N1219" s="47" t="inlineStr">
        <is>
          <t>Rear I/O: USB4 (2x USB-C 40Gbps), 10x USB-A, 10GbE + 2.5GbE, Wi-Fi 7</t>
        </is>
      </c>
      <c r="O1219" s="47" t="inlineStr">
        <is>
          <t>N/A</t>
        </is>
      </c>
      <c r="P1219" s="47" t="inlineStr">
        <is>
          <t>N/A</t>
        </is>
      </c>
      <c r="Q1219" s="50" t="n">
        <v>1337</v>
      </c>
      <c r="R1219" s="47" t="inlineStr">
        <is>
          <t>Lighter than Notus Titan Plus ATX Motherboard [NOT-108-08] (1,337 g vs 1,458 g); Lower price than Enyo Volt Air ATX Motherboard [ENY-114-08] ($461.99 vs $491.99)</t>
        </is>
      </c>
      <c r="S1219" s="47" t="inlineStr">
        <is>
          <t>PC building, gaming, workstation builds</t>
        </is>
      </c>
      <c r="T1219" s="0" t="inlineStr">
        <is>
          <t>in_stock</t>
        </is>
      </c>
      <c r="U1219" s="0" t="n">
        <v>30</v>
      </c>
      <c r="V1219" s="52" t="n">
        <v>530.99</v>
      </c>
      <c r="W1219" s="0" t="inlineStr">
        <is>
          <t>2026-09-19</t>
        </is>
      </c>
      <c r="X1219" s="0" t="inlineStr">
        <is>
          <t>N/A</t>
        </is>
      </c>
      <c r="Y1219" s="0" t="inlineStr">
        <is>
          <t>N/A</t>
        </is>
      </c>
      <c r="Z1219" s="0" t="inlineStr">
        <is>
          <t>N/A</t>
        </is>
      </c>
      <c r="AA1219" s="0" t="inlineStr">
        <is>
          <t>N/A</t>
        </is>
      </c>
    </row>
    <row r="1220" ht="15.75" customHeight="1" s="51">
      <c r="A1220" s="47" t="inlineStr">
        <is>
          <t>HYM-121-08</t>
        </is>
      </c>
      <c r="B1220" s="47" t="inlineStr">
        <is>
          <t>Hymenaeus</t>
        </is>
      </c>
      <c r="C1220" s="47" t="inlineStr">
        <is>
          <t>Computer Hardware</t>
        </is>
      </c>
      <c r="D1220" s="47" t="inlineStr">
        <is>
          <t>Monitor</t>
        </is>
      </c>
      <c r="E1220" s="48" t="inlineStr">
        <is>
          <t>Hymenaeus Aeon Lite 27" 1440p Monitor</t>
        </is>
      </c>
      <c r="F1220" s="49" t="n">
        <v>545.99</v>
      </c>
      <c r="G1220" s="47" t="inlineStr">
        <is>
          <t>the Aeon Lite; Hymenaeus Aeon Lite; Hymenaeuus Aeon Lite; Aeon Lite monitor</t>
        </is>
      </c>
      <c r="H1220" s="47" t="inlineStr">
        <is>
          <t>3 year limited</t>
        </is>
      </c>
      <c r="I1220" s="47" t="inlineStr">
        <is>
          <t>FCC, CE, RoHS, Energy Star, TUV Rheinland Low Blue Light, VESA DisplayHDR True Black 400</t>
        </is>
      </c>
      <c r="J1220" s="47" t="inlineStr">
        <is>
          <t>N/A</t>
        </is>
      </c>
      <c r="K1220" s="47" t="inlineStr">
        <is>
          <t>N/A</t>
        </is>
      </c>
      <c r="L1220" s="47" t="inlineStr">
        <is>
          <t>Fast IPS, 240Hz</t>
        </is>
      </c>
      <c r="M1220" s="47" t="inlineStr">
        <is>
          <t>2560x1440</t>
        </is>
      </c>
      <c r="N1220" s="47" t="inlineStr">
        <is>
          <t>2x HDMI 2.1, 1x DisplayPort 1.4, USB-C 90W, USB hub</t>
        </is>
      </c>
      <c r="O1220" s="47" t="inlineStr">
        <is>
          <t>N/A</t>
        </is>
      </c>
      <c r="P1220" s="47" t="inlineStr">
        <is>
          <t>N/A</t>
        </is>
      </c>
      <c r="Q1220" s="50" t="n">
        <v>4841</v>
      </c>
      <c r="R1220" s="47" t="inlineStr">
        <is>
          <t>Lighter than Atlas Apex SE 27" 1440p Monitor [ATL-122-09] (4,841 g vs 5,385 g); Lower price than Dione Lumen Air 27" 1440p Monitor [DIO-128-09] ($545.99 vs $584.99)</t>
        </is>
      </c>
      <c r="S1220" s="47" t="inlineStr">
        <is>
          <t>gaming, office, content creation</t>
        </is>
      </c>
      <c r="T1220" s="0" t="inlineStr">
        <is>
          <t>in_stock</t>
        </is>
      </c>
      <c r="U1220" s="0" t="n">
        <v>30</v>
      </c>
      <c r="V1220" s="52" t="n">
        <v>595.99</v>
      </c>
      <c r="W1220" s="0" t="inlineStr">
        <is>
          <t>2026-08-28</t>
        </is>
      </c>
      <c r="X1220" s="0" t="inlineStr">
        <is>
          <t>N/A</t>
        </is>
      </c>
      <c r="Y1220" s="0" t="inlineStr">
        <is>
          <t>N/A</t>
        </is>
      </c>
      <c r="Z1220" s="0" t="inlineStr">
        <is>
          <t>N/A</t>
        </is>
      </c>
      <c r="AA1220" s="0" t="inlineStr">
        <is>
          <t>N/A</t>
        </is>
      </c>
    </row>
    <row r="1221" ht="15.75" customHeight="1" s="51">
      <c r="A1221" s="47" t="inlineStr">
        <is>
          <t>HYM-121-09</t>
        </is>
      </c>
      <c r="B1221" s="47" t="inlineStr">
        <is>
          <t>Hymenaeus</t>
        </is>
      </c>
      <c r="C1221" s="47" t="inlineStr">
        <is>
          <t>Computer Hardware</t>
        </is>
      </c>
      <c r="D1221" s="47" t="inlineStr">
        <is>
          <t>Processor</t>
        </is>
      </c>
      <c r="E1221" s="48" t="inlineStr">
        <is>
          <t>Hymenaeus Rift Ultra Desktop CPU</t>
        </is>
      </c>
      <c r="F1221" s="49" t="n">
        <v>622.99</v>
      </c>
      <c r="G1221" s="47" t="inlineStr">
        <is>
          <t>the Rift Ultra; Hymenaeus Rift Ultra; Hymenaaeus Rift Ultra; Rift Ultra processor</t>
        </is>
      </c>
      <c r="H1221" s="47" t="inlineStr">
        <is>
          <t>3 year limited</t>
        </is>
      </c>
      <c r="I1221" s="47" t="inlineStr">
        <is>
          <t>FCC, CE, RoHS</t>
        </is>
      </c>
      <c r="J1221" s="47" t="inlineStr">
        <is>
          <t>Hymenaeus Rift 24-core / 48-thread, up to 5.6 GHz</t>
        </is>
      </c>
      <c r="K1221" s="47" t="inlineStr">
        <is>
          <t>None (discrete GPU required)</t>
        </is>
      </c>
      <c r="L1221" s="47" t="inlineStr">
        <is>
          <t>N/A</t>
        </is>
      </c>
      <c r="M1221" s="47" t="inlineStr">
        <is>
          <t>N/A</t>
        </is>
      </c>
      <c r="N1221" s="47" t="inlineStr">
        <is>
          <t>N/A</t>
        </is>
      </c>
      <c r="O1221" s="47" t="inlineStr">
        <is>
          <t>N/A</t>
        </is>
      </c>
      <c r="P1221" s="47" t="inlineStr">
        <is>
          <t>N/A</t>
        </is>
      </c>
      <c r="Q1221" s="50" t="n">
        <v>55</v>
      </c>
      <c r="R1221" s="47" t="inlineStr">
        <is>
          <t>Lighter than Phoebe Core Pro Desktop CPU [PHO-143-05] (55 g vs 58 g); Lower price than Kratos Core SE Desktop CPU [KRA-147-10] ($622.99 vs $651.99)</t>
        </is>
      </c>
      <c r="S1221" s="47" t="inlineStr">
        <is>
          <t>gaming, content creation, workstation builds</t>
        </is>
      </c>
      <c r="T1221" s="0" t="inlineStr">
        <is>
          <t>in_stock</t>
        </is>
      </c>
      <c r="U1221" s="0" t="n">
        <v>30</v>
      </c>
      <c r="V1221" s="52" t="n">
        <v>642.99</v>
      </c>
      <c r="W1221" s="0" t="inlineStr">
        <is>
          <t>2026-08-19</t>
        </is>
      </c>
      <c r="X1221" s="0" t="inlineStr">
        <is>
          <t>N/A</t>
        </is>
      </c>
      <c r="Y1221" s="0" t="inlineStr">
        <is>
          <t>N/A</t>
        </is>
      </c>
      <c r="Z1221" s="0" t="inlineStr">
        <is>
          <t>N/A</t>
        </is>
      </c>
      <c r="AA1221" s="0" t="inlineStr">
        <is>
          <t>N/A</t>
        </is>
      </c>
    </row>
    <row r="1222" ht="15.75" customHeight="1" s="51">
      <c r="A1222" s="47" t="inlineStr">
        <is>
          <t>HYM-121-10</t>
        </is>
      </c>
      <c r="B1222" s="47" t="inlineStr">
        <is>
          <t>Hymenaeus</t>
        </is>
      </c>
      <c r="C1222" s="47" t="inlineStr">
        <is>
          <t>Computer Hardware</t>
        </is>
      </c>
      <c r="D1222" s="47" t="inlineStr">
        <is>
          <t>Graphics Card</t>
        </is>
      </c>
      <c r="E1222" s="48" t="inlineStr">
        <is>
          <t>Hymenaeus Echo Graphics Card</t>
        </is>
      </c>
      <c r="F1222" s="49" t="n">
        <v>1150.99</v>
      </c>
      <c r="G1222" s="47" t="inlineStr">
        <is>
          <t>the Echo; Hymenaeus Echo; Hymmenaeus Echo; Echo graphics card</t>
        </is>
      </c>
      <c r="H1222" s="47" t="inlineStr">
        <is>
          <t>3 year limited</t>
        </is>
      </c>
      <c r="I1222" s="47" t="inlineStr">
        <is>
          <t>FCC, CE, RoHS</t>
        </is>
      </c>
      <c r="J1222" s="47" t="inlineStr">
        <is>
          <t>N/A</t>
        </is>
      </c>
      <c r="K1222" s="47" t="inlineStr">
        <is>
          <t>AMD Radeon RX 7900 XTX 24GB (Hymenaeus Echo edition)</t>
        </is>
      </c>
      <c r="L1222" s="47" t="inlineStr">
        <is>
          <t>N/A</t>
        </is>
      </c>
      <c r="M1222" s="47" t="inlineStr">
        <is>
          <t>N/A</t>
        </is>
      </c>
      <c r="N1222" s="47" t="inlineStr">
        <is>
          <t>2x DisplayPort 2.1, 1x HDMI 2.1, 1x USB-C</t>
        </is>
      </c>
      <c r="O1222" s="47" t="inlineStr">
        <is>
          <t>N/A</t>
        </is>
      </c>
      <c r="P1222" s="47" t="inlineStr">
        <is>
          <t>N/A</t>
        </is>
      </c>
      <c r="Q1222" s="50" t="n">
        <v>1265</v>
      </c>
      <c r="R1222" s="47" t="inlineStr">
        <is>
          <t>Lighter than Dione Nova Lite Graphics Card [DIO-128-10] (1,265 g vs 1,670 g); Lower price than Phoebe Orbit Max Graphics Card [PHO-143-10] ($1,150.99 vs $1,591.99)</t>
        </is>
      </c>
      <c r="S1222" s="47" t="inlineStr">
        <is>
          <t>gaming, 3D rendering, AI workloads</t>
        </is>
      </c>
      <c r="T1222" s="0" t="inlineStr">
        <is>
          <t>in_stock</t>
        </is>
      </c>
      <c r="U1222" s="0" t="n">
        <v>30</v>
      </c>
      <c r="V1222" s="52" t="n">
        <v>1202.99</v>
      </c>
      <c r="W1222" s="0" t="inlineStr">
        <is>
          <t>2026-08-26</t>
        </is>
      </c>
      <c r="X1222" s="0" t="inlineStr">
        <is>
          <t>N/A</t>
        </is>
      </c>
      <c r="Y1222" s="0" t="inlineStr">
        <is>
          <t>N/A</t>
        </is>
      </c>
      <c r="Z1222" s="0" t="inlineStr">
        <is>
          <t>N/A</t>
        </is>
      </c>
      <c r="AA1222" s="0" t="inlineStr">
        <is>
          <t>N/A</t>
        </is>
      </c>
    </row>
    <row r="1223" ht="15.75" customHeight="1" s="51">
      <c r="A1223" s="47" t="inlineStr">
        <is>
          <t>ATL-122-01</t>
        </is>
      </c>
      <c r="B1223" s="47" t="inlineStr">
        <is>
          <t>Atlas</t>
        </is>
      </c>
      <c r="C1223" s="47" t="inlineStr">
        <is>
          <t>Computer Hardware</t>
        </is>
      </c>
      <c r="D1223" s="47" t="inlineStr">
        <is>
          <t>Networking</t>
        </is>
      </c>
      <c r="E1223" s="48" t="inlineStr">
        <is>
          <t>Atlas Nova Ultra Wi-Fi 7 PCIe Card</t>
        </is>
      </c>
      <c r="F1223" s="49" t="n">
        <v>59.99</v>
      </c>
      <c r="G1223" s="47" t="inlineStr">
        <is>
          <t>the Nova Ultra; Atlas Nova Ultra; Attlas Nova Ultra; Nova Ultra networking</t>
        </is>
      </c>
      <c r="H1223" s="47" t="inlineStr">
        <is>
          <t>2 year limited</t>
        </is>
      </c>
      <c r="I1223" s="47" t="inlineStr">
        <is>
          <t>FCC, CE, RoHS, Wi-Fi CERTIFIED 7, Bluetooth SIG Qualified</t>
        </is>
      </c>
      <c r="J1223" s="47" t="inlineStr">
        <is>
          <t>Chipset: MediaTek MT7927</t>
        </is>
      </c>
      <c r="K1223" s="47" t="inlineStr">
        <is>
          <t>N/A</t>
        </is>
      </c>
      <c r="L1223" s="47" t="inlineStr">
        <is>
          <t>N/A</t>
        </is>
      </c>
      <c r="M1223" s="47" t="inlineStr">
        <is>
          <t>N/A</t>
        </is>
      </c>
      <c r="N1223" s="47" t="inlineStr">
        <is>
          <t>PCIe x1, internal USB 2.0 header (Bluetooth 5.4), 2x external antennas</t>
        </is>
      </c>
      <c r="O1223" s="47" t="inlineStr">
        <is>
          <t>N/A</t>
        </is>
      </c>
      <c r="P1223" s="47" t="inlineStr">
        <is>
          <t>N/A</t>
        </is>
      </c>
      <c r="Q1223" s="50" t="n">
        <v>72</v>
      </c>
      <c r="R1223" s="47" t="inlineStr">
        <is>
          <t>Lighter than Aidos Quanta Air Wi-Fi 7 PCIe Card [AID-135-01] (72 g vs 102 g); Lower price than Euterpe Flux SE Wi-Fi 7 PCIe Card [EUT-120-02] ($59.99 vs $61.99)</t>
        </is>
      </c>
      <c r="S1223" s="47" t="inlineStr">
        <is>
          <t>gaming, streaming, PC building</t>
        </is>
      </c>
      <c r="T1223" s="0" t="inlineStr">
        <is>
          <t>in_stock</t>
        </is>
      </c>
      <c r="U1223" s="0" t="n">
        <v>30</v>
      </c>
      <c r="V1223" s="52" t="n">
        <v>63.99</v>
      </c>
      <c r="W1223" s="0" t="inlineStr">
        <is>
          <t>2026-09-14</t>
        </is>
      </c>
      <c r="X1223" s="0" t="inlineStr">
        <is>
          <t>N/A</t>
        </is>
      </c>
      <c r="Y1223" s="0" t="inlineStr">
        <is>
          <t>N/A</t>
        </is>
      </c>
      <c r="Z1223" s="0" t="inlineStr">
        <is>
          <t>N/A</t>
        </is>
      </c>
      <c r="AA1223" s="0" t="inlineStr">
        <is>
          <t>N/A</t>
        </is>
      </c>
    </row>
    <row r="1224" ht="15.75" customHeight="1" s="51">
      <c r="A1224" s="47" t="inlineStr">
        <is>
          <t>ATL-122-02</t>
        </is>
      </c>
      <c r="B1224" s="47" t="inlineStr">
        <is>
          <t>Atlas</t>
        </is>
      </c>
      <c r="C1224" s="47" t="inlineStr">
        <is>
          <t>Computer Hardware</t>
        </is>
      </c>
      <c r="D1224" s="47" t="inlineStr">
        <is>
          <t>Mouse</t>
        </is>
      </c>
      <c r="E1224" s="48" t="inlineStr">
        <is>
          <t>Atlas Arc Plus Gaming Mouse</t>
        </is>
      </c>
      <c r="F1224" s="49" t="n">
        <v>100.99</v>
      </c>
      <c r="G1224" s="47" t="inlineStr">
        <is>
          <t>the Arc Plus; Atlas Arc Plus; Attlas Arc Plus; Arc Plus mouse</t>
        </is>
      </c>
      <c r="H1224" s="47" t="inlineStr">
        <is>
          <t>2 year limited</t>
        </is>
      </c>
      <c r="I1224" s="47" t="inlineStr">
        <is>
          <t>FCC, CE, RoHS, Bluetooth SIG Qualified</t>
        </is>
      </c>
      <c r="J1224" s="47" t="inlineStr">
        <is>
          <t>Sensor: 30K DPI optical</t>
        </is>
      </c>
      <c r="K1224" s="47" t="inlineStr">
        <is>
          <t>N/A</t>
        </is>
      </c>
      <c r="L1224" s="47" t="inlineStr">
        <is>
          <t>N/A</t>
        </is>
      </c>
      <c r="M1224" s="47" t="inlineStr">
        <is>
          <t>N/A</t>
        </is>
      </c>
      <c r="N1224" s="47" t="inlineStr">
        <is>
          <t>USB-C, 2.4GHz dongle, Bluetooth 5.1</t>
        </is>
      </c>
      <c r="O1224" s="47" t="inlineStr">
        <is>
          <t>N/A</t>
        </is>
      </c>
      <c r="P1224" s="47" t="n">
        <v>86</v>
      </c>
      <c r="Q1224" s="50" t="n">
        <v>59</v>
      </c>
      <c r="R1224" s="47" t="inlineStr">
        <is>
          <t>Lower price than Eucleia Flux SE Gaming Mouse [EUC-124-02] ($100.99 vs $104.99); Lighter than Pheme Zen X Gaming Mouse [PHE-102-01] (59 g vs 91 g)</t>
        </is>
      </c>
      <c r="S1224" s="47" t="inlineStr">
        <is>
          <t>gaming, esports</t>
        </is>
      </c>
      <c r="T1224" s="0" t="inlineStr">
        <is>
          <t>low_stock</t>
        </is>
      </c>
      <c r="U1224" s="0" t="n">
        <v>30</v>
      </c>
      <c r="V1224" s="52" t="n">
        <v>109.99</v>
      </c>
      <c r="W1224" s="0" t="inlineStr">
        <is>
          <t>2026-08-07</t>
        </is>
      </c>
      <c r="X1224" s="0" t="inlineStr">
        <is>
          <t>N/A</t>
        </is>
      </c>
      <c r="Y1224" s="0" t="inlineStr">
        <is>
          <t>N/A</t>
        </is>
      </c>
      <c r="Z1224" s="0" t="inlineStr">
        <is>
          <t>N/A</t>
        </is>
      </c>
      <c r="AA1224" s="0" t="inlineStr">
        <is>
          <t>N/A</t>
        </is>
      </c>
    </row>
    <row r="1225" ht="15.75" customHeight="1" s="51">
      <c r="A1225" s="47" t="inlineStr">
        <is>
          <t>ATL-122-03</t>
        </is>
      </c>
      <c r="B1225" s="47" t="inlineStr">
        <is>
          <t>Atlas</t>
        </is>
      </c>
      <c r="C1225" s="47" t="inlineStr">
        <is>
          <t>Computer Hardware</t>
        </is>
      </c>
      <c r="D1225" s="47" t="inlineStr">
        <is>
          <t>Power Supply</t>
        </is>
      </c>
      <c r="E1225" s="48" t="inlineStr">
        <is>
          <t>Atlas Pulse Lite 850W Power Supply</t>
        </is>
      </c>
      <c r="F1225" s="49" t="n">
        <v>101.99</v>
      </c>
      <c r="G1225" s="47" t="inlineStr">
        <is>
          <t>the Pulse Lite; Atlas Pulse Lite; Attlas Pulse Lite; Pulse Lite power supply</t>
        </is>
      </c>
      <c r="H1225" s="47" t="inlineStr">
        <is>
          <t>10 year limited</t>
        </is>
      </c>
      <c r="I1225" s="47" t="inlineStr">
        <is>
          <t>FCC, CE, RoHS, 80 PLUS Gold, UL Listed</t>
        </is>
      </c>
      <c r="J1225" s="47" t="inlineStr">
        <is>
          <t>N/A</t>
        </is>
      </c>
      <c r="K1225" s="47" t="inlineStr">
        <is>
          <t>N/A</t>
        </is>
      </c>
      <c r="L1225" s="47" t="inlineStr">
        <is>
          <t>N/A</t>
        </is>
      </c>
      <c r="M1225" s="47" t="inlineStr">
        <is>
          <t>N/A</t>
        </is>
      </c>
      <c r="N1225" s="47" t="inlineStr">
        <is>
          <t>ATX 3.1, native 12V-2x6 (600W) connector, semi-modular</t>
        </is>
      </c>
      <c r="O1225" s="47" t="inlineStr">
        <is>
          <t>N/A</t>
        </is>
      </c>
      <c r="P1225" s="47" t="inlineStr">
        <is>
          <t>N/A</t>
        </is>
      </c>
      <c r="Q1225" s="50" t="n">
        <v>1827</v>
      </c>
      <c r="R1225" s="47" t="inlineStr">
        <is>
          <t>Lower price than Uranus Prism 850W Power Supply [URA-113-05] ($101.99 vs $160.99); Lighter than Psyche Volt Max 850W Power Supply [PSY-144-07] (1,827 g vs 2,112 g)</t>
        </is>
      </c>
      <c r="S1225" s="47" t="inlineStr">
        <is>
          <t>PC building, high-end gaming</t>
        </is>
      </c>
      <c r="T1225" s="0" t="inlineStr">
        <is>
          <t>in_stock</t>
        </is>
      </c>
      <c r="U1225" s="0" t="n">
        <v>30</v>
      </c>
      <c r="V1225" s="52" t="n">
        <v>113.99</v>
      </c>
      <c r="W1225" s="0" t="inlineStr">
        <is>
          <t>2026-09-19</t>
        </is>
      </c>
      <c r="X1225" s="0" t="inlineStr">
        <is>
          <t>N/A</t>
        </is>
      </c>
      <c r="Y1225" s="0" t="inlineStr">
        <is>
          <t>N/A</t>
        </is>
      </c>
      <c r="Z1225" s="0" t="inlineStr">
        <is>
          <t>N/A</t>
        </is>
      </c>
      <c r="AA1225" s="0" t="inlineStr">
        <is>
          <t>N/A</t>
        </is>
      </c>
    </row>
    <row r="1226" ht="15.75" customHeight="1" s="51">
      <c r="A1226" s="47" t="inlineStr">
        <is>
          <t>ATL-122-04</t>
        </is>
      </c>
      <c r="B1226" s="47" t="inlineStr">
        <is>
          <t>Atlas</t>
        </is>
      </c>
      <c r="C1226" s="47" t="inlineStr">
        <is>
          <t>Computer Hardware</t>
        </is>
      </c>
      <c r="D1226" s="47" t="inlineStr">
        <is>
          <t>PC Case</t>
        </is>
      </c>
      <c r="E1226" s="48" t="inlineStr">
        <is>
          <t>Atlas Titan SE Mid-Tower PC Case</t>
        </is>
      </c>
      <c r="F1226" s="49" t="n">
        <v>115.99</v>
      </c>
      <c r="G1226" s="47" t="inlineStr">
        <is>
          <t>the Titan SE; Atlas Titan SE; Atlass Titan SE; Titan SE pc case</t>
        </is>
      </c>
      <c r="H1226" s="47" t="inlineStr">
        <is>
          <t>2 year limited</t>
        </is>
      </c>
      <c r="I1226" s="47" t="inlineStr">
        <is>
          <t>FCC, CE, RoHS, UL 94 V-0 (materials)</t>
        </is>
      </c>
      <c r="J1226" s="47" t="inlineStr">
        <is>
          <t>N/A</t>
        </is>
      </c>
      <c r="K1226" s="47" t="inlineStr">
        <is>
          <t>N/A</t>
        </is>
      </c>
      <c r="L1226" s="47" t="inlineStr">
        <is>
          <t>N/A</t>
        </is>
      </c>
      <c r="M1226" s="47" t="inlineStr">
        <is>
          <t>N/A</t>
        </is>
      </c>
      <c r="N1226" s="47" t="inlineStr">
        <is>
          <t>Front I/O: 1x USB-C 10Gbps, 2x USB-A 3.0, 3.5mm combo audio</t>
        </is>
      </c>
      <c r="O1226" s="47" t="inlineStr">
        <is>
          <t>N/A</t>
        </is>
      </c>
      <c r="P1226" s="47" t="inlineStr">
        <is>
          <t>N/A</t>
        </is>
      </c>
      <c r="Q1226" s="50" t="n">
        <v>7922</v>
      </c>
      <c r="R1226" s="47" t="inlineStr">
        <is>
          <t>Lighter than Kairos Vertex Air Mid-Tower PC Case [KAI-142-04] (7,922 g vs 9,278 g); Lower price than Perses Orbit Plus Mid-Tower PC Case [PER-101-05] ($115.99 vs $178.99)</t>
        </is>
      </c>
      <c r="S1226" s="47" t="inlineStr">
        <is>
          <t>PC building, gaming</t>
        </is>
      </c>
      <c r="T1226" s="0" t="inlineStr">
        <is>
          <t>in_stock</t>
        </is>
      </c>
      <c r="U1226" s="0" t="n">
        <v>30</v>
      </c>
      <c r="V1226" s="52" t="n">
        <v>133.99</v>
      </c>
      <c r="W1226" s="0" t="inlineStr">
        <is>
          <t>2026-09-06</t>
        </is>
      </c>
      <c r="X1226" s="0" t="inlineStr">
        <is>
          <t>N/A</t>
        </is>
      </c>
      <c r="Y1226" s="0" t="inlineStr">
        <is>
          <t>N/A</t>
        </is>
      </c>
      <c r="Z1226" s="0" t="inlineStr">
        <is>
          <t>N/A</t>
        </is>
      </c>
      <c r="AA1226" s="0" t="inlineStr">
        <is>
          <t>N/A</t>
        </is>
      </c>
    </row>
    <row r="1227" ht="15.75" customHeight="1" s="51">
      <c r="A1227" s="47" t="inlineStr">
        <is>
          <t>ATL-122-05</t>
        </is>
      </c>
      <c r="B1227" s="47" t="inlineStr">
        <is>
          <t>Atlas</t>
        </is>
      </c>
      <c r="C1227" s="47" t="inlineStr">
        <is>
          <t>Computer Hardware</t>
        </is>
      </c>
      <c r="D1227" s="47" t="inlineStr">
        <is>
          <t>Storage</t>
        </is>
      </c>
      <c r="E1227" s="48" t="inlineStr">
        <is>
          <t>Atlas Aria Pro 4TB External Hard Drive</t>
        </is>
      </c>
      <c r="F1227" s="49" t="n">
        <v>139.99</v>
      </c>
      <c r="G1227" s="47" t="inlineStr">
        <is>
          <t>the Aria Pro; Atlas Aria Pro; Atla Aria Pro; Aria Pro storage</t>
        </is>
      </c>
      <c r="H1227" s="47" t="inlineStr">
        <is>
          <t>2 year limited</t>
        </is>
      </c>
      <c r="I1227" s="47" t="inlineStr">
        <is>
          <t>FCC, CE, RoHS, USB-IF Certified</t>
        </is>
      </c>
      <c r="J1227" s="47" t="inlineStr">
        <is>
          <t>N/A</t>
        </is>
      </c>
      <c r="K1227" s="47" t="inlineStr">
        <is>
          <t>N/A</t>
        </is>
      </c>
      <c r="L1227" s="47" t="inlineStr">
        <is>
          <t>N/A</t>
        </is>
      </c>
      <c r="M1227" s="47" t="inlineStr">
        <is>
          <t>N/A</t>
        </is>
      </c>
      <c r="N1227" s="47" t="inlineStr">
        <is>
          <t>USB-C (USB 3.2 Gen 1)</t>
        </is>
      </c>
      <c r="O1227" s="47" t="inlineStr">
        <is>
          <t>N/A</t>
        </is>
      </c>
      <c r="P1227" s="47" t="inlineStr">
        <is>
          <t>N/A</t>
        </is>
      </c>
      <c r="Q1227" s="50" t="n">
        <v>236</v>
      </c>
      <c r="R1227" s="47" t="inlineStr">
        <is>
          <t>Lower price than Eris Vibe X 4TB External Hard Drive [ERI-148-05] ($139.99 vs $161.99); Lighter than Nyx Flux SE 4TB External Hard Drive [NYX-115-04] (236 g vs 256 g)</t>
        </is>
      </c>
      <c r="S1227" s="47" t="inlineStr">
        <is>
          <t>backup, media storage</t>
        </is>
      </c>
      <c r="T1227" s="0" t="inlineStr">
        <is>
          <t>low_stock</t>
        </is>
      </c>
      <c r="U1227" s="0" t="n">
        <v>30</v>
      </c>
      <c r="V1227" s="52" t="n">
        <v>146.99</v>
      </c>
      <c r="W1227" s="0" t="inlineStr">
        <is>
          <t>2026-09-13</t>
        </is>
      </c>
      <c r="X1227" s="0" t="inlineStr">
        <is>
          <t>N/A</t>
        </is>
      </c>
      <c r="Y1227" s="0" t="inlineStr">
        <is>
          <t>N/A</t>
        </is>
      </c>
      <c r="Z1227" s="0" t="inlineStr">
        <is>
          <t>N/A</t>
        </is>
      </c>
      <c r="AA1227" s="0" t="inlineStr">
        <is>
          <t>N/A</t>
        </is>
      </c>
    </row>
    <row r="1228" ht="15.75" customHeight="1" s="51">
      <c r="A1228" s="47" t="inlineStr">
        <is>
          <t>ATL-122-06</t>
        </is>
      </c>
      <c r="B1228" s="47" t="inlineStr">
        <is>
          <t>Atlas</t>
        </is>
      </c>
      <c r="C1228" s="47" t="inlineStr">
        <is>
          <t>Computer Hardware</t>
        </is>
      </c>
      <c r="D1228" s="47" t="inlineStr">
        <is>
          <t>Docking Station</t>
        </is>
      </c>
      <c r="E1228" s="48" t="inlineStr">
        <is>
          <t>Atlas Aria Air USB-C Docking Station</t>
        </is>
      </c>
      <c r="F1228" s="49" t="n">
        <v>154.99</v>
      </c>
      <c r="G1228" s="47" t="inlineStr">
        <is>
          <t>the Aria Air; Atlas Aria Air; Altas Aria Air; Aria Air docking station</t>
        </is>
      </c>
      <c r="H1228" s="47" t="inlineStr">
        <is>
          <t>2 year limited</t>
        </is>
      </c>
      <c r="I1228" s="47" t="inlineStr">
        <is>
          <t>FCC, CE, RoHS, USB-IF Certified, UL Listed</t>
        </is>
      </c>
      <c r="J1228" s="47" t="inlineStr">
        <is>
          <t>N/A</t>
        </is>
      </c>
      <c r="K1228" s="47" t="inlineStr">
        <is>
          <t>N/A</t>
        </is>
      </c>
      <c r="L1228" s="47" t="inlineStr">
        <is>
          <t>N/A</t>
        </is>
      </c>
      <c r="M1228" s="47" t="inlineStr">
        <is>
          <t>N/A</t>
        </is>
      </c>
      <c r="N1228" s="47" t="inlineStr">
        <is>
          <t>1x HDMI 2.0, 2x USB-A, 1x USB-C, SD card, 100W PD pass-through</t>
        </is>
      </c>
      <c r="O1228" s="47" t="inlineStr">
        <is>
          <t>N/A</t>
        </is>
      </c>
      <c r="P1228" s="47" t="inlineStr">
        <is>
          <t>N/A</t>
        </is>
      </c>
      <c r="Q1228" s="50" t="n">
        <v>385</v>
      </c>
      <c r="R1228" s="47" t="inlineStr">
        <is>
          <t>Lower price than Uranus Aria X USB-C Docking Station [URA-113-09] ($154.99 vs $344.99); Lighter than Pheme Sable Lite USB-C Docking Station [PHE-102-07] (385 g vs 456 g)</t>
        </is>
      </c>
      <c r="S1228" s="47" t="inlineStr">
        <is>
          <t>office, remote work, multi-monitor</t>
        </is>
      </c>
      <c r="T1228" s="0" t="inlineStr">
        <is>
          <t>in_stock</t>
        </is>
      </c>
      <c r="U1228" s="0" t="n">
        <v>30</v>
      </c>
      <c r="V1228" s="52" t="n">
        <v>173.99</v>
      </c>
      <c r="W1228" s="0" t="inlineStr">
        <is>
          <t>2026-09-14</t>
        </is>
      </c>
      <c r="X1228" s="0" t="inlineStr">
        <is>
          <t>N/A</t>
        </is>
      </c>
      <c r="Y1228" s="0" t="inlineStr">
        <is>
          <t>N/A</t>
        </is>
      </c>
      <c r="Z1228" s="0" t="inlineStr">
        <is>
          <t>N/A</t>
        </is>
      </c>
      <c r="AA1228" s="0" t="inlineStr">
        <is>
          <t>N/A</t>
        </is>
      </c>
    </row>
    <row r="1229" ht="15.75" customHeight="1" s="51">
      <c r="A1229" s="47" t="inlineStr">
        <is>
          <t>ATL-122-07</t>
        </is>
      </c>
      <c r="B1229" s="47" t="inlineStr">
        <is>
          <t>Atlas</t>
        </is>
      </c>
      <c r="C1229" s="47" t="inlineStr">
        <is>
          <t>Computer Hardware</t>
        </is>
      </c>
      <c r="D1229" s="47" t="inlineStr">
        <is>
          <t>Keyboard</t>
        </is>
      </c>
      <c r="E1229" s="48" t="inlineStr">
        <is>
          <t>Atlas Strata Ultra Mechanical Keyboard</t>
        </is>
      </c>
      <c r="F1229" s="49" t="n">
        <v>177.99</v>
      </c>
      <c r="G1229" s="47" t="inlineStr">
        <is>
          <t>the Strata Ultra; Atlas Strata Ultra; Attlas Strata Ultra; Strata Ultra keyboard</t>
        </is>
      </c>
      <c r="H1229" s="47" t="inlineStr">
        <is>
          <t>2 year limited</t>
        </is>
      </c>
      <c r="I1229" s="47" t="inlineStr">
        <is>
          <t>FCC, CE, RoHS, Bluetooth SIG Qualified</t>
        </is>
      </c>
      <c r="J1229" s="47" t="inlineStr">
        <is>
          <t>N/A</t>
        </is>
      </c>
      <c r="K1229" s="47" t="inlineStr">
        <is>
          <t>N/A</t>
        </is>
      </c>
      <c r="L1229" s="47" t="inlineStr">
        <is>
          <t>N/A</t>
        </is>
      </c>
      <c r="M1229" s="47" t="inlineStr">
        <is>
          <t>N/A</t>
        </is>
      </c>
      <c r="N1229" s="47" t="inlineStr">
        <is>
          <t>USB-C, 2.4GHz dongle, Bluetooth 5.1</t>
        </is>
      </c>
      <c r="O1229" s="47" t="inlineStr">
        <is>
          <t>N/A</t>
        </is>
      </c>
      <c r="P1229" s="47" t="n">
        <v>220</v>
      </c>
      <c r="Q1229" s="50" t="n">
        <v>985</v>
      </c>
      <c r="R1229" s="47" t="inlineStr">
        <is>
          <t>Lighter than Eirene Axis Max Mechanical Keyboard [EIR-112-07] (985 g vs 1,039 g); Lower price than Iris Prism Mechanical Keyboard [IRI-130-07] ($177.99 vs $233.99)</t>
        </is>
      </c>
      <c r="S1229" s="47" t="inlineStr">
        <is>
          <t>gaming, typing, office</t>
        </is>
      </c>
      <c r="T1229" s="0" t="inlineStr">
        <is>
          <t>in_stock</t>
        </is>
      </c>
      <c r="U1229" s="0" t="n">
        <v>30</v>
      </c>
      <c r="V1229" s="52" t="n">
        <v>190.99</v>
      </c>
      <c r="W1229" s="0" t="inlineStr">
        <is>
          <t>2026-09-12</t>
        </is>
      </c>
      <c r="X1229" s="0" t="inlineStr">
        <is>
          <t>N/A</t>
        </is>
      </c>
      <c r="Y1229" s="0" t="inlineStr">
        <is>
          <t>N/A</t>
        </is>
      </c>
      <c r="Z1229" s="0" t="inlineStr">
        <is>
          <t>N/A</t>
        </is>
      </c>
      <c r="AA1229" s="0" t="inlineStr">
        <is>
          <t>N/A</t>
        </is>
      </c>
    </row>
    <row r="1230" ht="15.75" customHeight="1" s="51">
      <c r="A1230" s="47" t="inlineStr">
        <is>
          <t>ATL-122-08</t>
        </is>
      </c>
      <c r="B1230" s="47" t="inlineStr">
        <is>
          <t>Atlas</t>
        </is>
      </c>
      <c r="C1230" s="47" t="inlineStr">
        <is>
          <t>Computer Hardware</t>
        </is>
      </c>
      <c r="D1230" s="47" t="inlineStr">
        <is>
          <t>Cooling</t>
        </is>
      </c>
      <c r="E1230" s="48" t="inlineStr">
        <is>
          <t>Atlas Arc Ultra 360mm AIO CPU Cooler</t>
        </is>
      </c>
      <c r="F1230" s="49" t="n">
        <v>274.99</v>
      </c>
      <c r="G1230" s="47" t="inlineStr">
        <is>
          <t>the Arc Ultra; Atlas Arc Ultra; Altas Arc Ultra; Arc Ultra cooling</t>
        </is>
      </c>
      <c r="H1230" s="47" t="inlineStr">
        <is>
          <t>6 year limited</t>
        </is>
      </c>
      <c r="I1230" s="47" t="inlineStr">
        <is>
          <t>FCC, CE, RoHS</t>
        </is>
      </c>
      <c r="J1230" s="47" t="inlineStr">
        <is>
          <t>N/A</t>
        </is>
      </c>
      <c r="K1230" s="47" t="inlineStr">
        <is>
          <t>N/A</t>
        </is>
      </c>
      <c r="L1230" s="47" t="inlineStr">
        <is>
          <t>IPS pump-head screen</t>
        </is>
      </c>
      <c r="M1230" s="47" t="inlineStr">
        <is>
          <t>480x480</t>
        </is>
      </c>
      <c r="N1230" s="47" t="inlineStr">
        <is>
          <t>3x 4-pin PWM fans, 3-pin pump header, ARGB 5V; LGA1700/LGA1851/AM5 mounts</t>
        </is>
      </c>
      <c r="O1230" s="47" t="inlineStr">
        <is>
          <t>N/A</t>
        </is>
      </c>
      <c r="P1230" s="47" t="inlineStr">
        <is>
          <t>N/A</t>
        </is>
      </c>
      <c r="Q1230" s="50" t="n">
        <v>1533</v>
      </c>
      <c r="R1230" s="47" t="inlineStr">
        <is>
          <t>Lighter than Cronus Zen Lite 360mm AIO CPU Cooler [CRO-105-03] (1,533 g vs 1,800 g)</t>
        </is>
      </c>
      <c r="S1230" s="47" t="inlineStr">
        <is>
          <t>overclocking, gaming, quiet builds</t>
        </is>
      </c>
      <c r="T1230" s="0" t="inlineStr">
        <is>
          <t>in_stock</t>
        </is>
      </c>
      <c r="U1230" s="0" t="n">
        <v>30</v>
      </c>
      <c r="V1230" s="52" t="n">
        <v>307.99</v>
      </c>
      <c r="W1230" s="0" t="inlineStr">
        <is>
          <t>2026-09-24</t>
        </is>
      </c>
      <c r="X1230" s="0" t="inlineStr">
        <is>
          <t>N/A</t>
        </is>
      </c>
      <c r="Y1230" s="0" t="inlineStr">
        <is>
          <t>N/A</t>
        </is>
      </c>
      <c r="Z1230" s="0" t="inlineStr">
        <is>
          <t>N/A</t>
        </is>
      </c>
      <c r="AA1230" s="0" t="inlineStr">
        <is>
          <t>N/A</t>
        </is>
      </c>
    </row>
    <row r="1231" ht="15.75" customHeight="1" s="51">
      <c r="A1231" s="47" t="inlineStr">
        <is>
          <t>ATL-122-09</t>
        </is>
      </c>
      <c r="B1231" s="47" t="inlineStr">
        <is>
          <t>Atlas</t>
        </is>
      </c>
      <c r="C1231" s="47" t="inlineStr">
        <is>
          <t>Computer Hardware</t>
        </is>
      </c>
      <c r="D1231" s="47" t="inlineStr">
        <is>
          <t>Monitor</t>
        </is>
      </c>
      <c r="E1231" s="48" t="inlineStr">
        <is>
          <t>Atlas Apex SE 27" 1440p Monitor</t>
        </is>
      </c>
      <c r="F1231" s="49" t="n">
        <v>375.99</v>
      </c>
      <c r="G1231" s="47" t="inlineStr">
        <is>
          <t>the Apex SE; Atlas Apex SE; Atlaas Apex SE; Apex SE monitor</t>
        </is>
      </c>
      <c r="H1231" s="47" t="inlineStr">
        <is>
          <t>3 year limited</t>
        </is>
      </c>
      <c r="I1231" s="47" t="inlineStr">
        <is>
          <t>FCC, CE, RoHS, Energy Star, TUV Rheinland Low Blue Light, VESA DisplayHDR 600</t>
        </is>
      </c>
      <c r="J1231" s="47" t="inlineStr">
        <is>
          <t>N/A</t>
        </is>
      </c>
      <c r="K1231" s="47" t="inlineStr">
        <is>
          <t>N/A</t>
        </is>
      </c>
      <c r="L1231" s="47" t="inlineStr">
        <is>
          <t>IPS, 165Hz</t>
        </is>
      </c>
      <c r="M1231" s="47" t="inlineStr">
        <is>
          <t>2560x1440</t>
        </is>
      </c>
      <c r="N1231" s="47" t="inlineStr">
        <is>
          <t>2x HDMI 2.1, 1x DisplayPort 1.4</t>
        </is>
      </c>
      <c r="O1231" s="47" t="inlineStr">
        <is>
          <t>N/A</t>
        </is>
      </c>
      <c r="P1231" s="47" t="inlineStr">
        <is>
          <t>N/A</t>
        </is>
      </c>
      <c r="Q1231" s="50" t="n">
        <v>5385</v>
      </c>
      <c r="R1231" s="47" t="inlineStr">
        <is>
          <t>Lighter than Bia Aeon Max 27" 1440p Monitor [BIA-107-09] (5,385 g vs 6,015 g); Lower price than Iris Volt Ultra 27" 1440p Monitor [IRI-130-09] ($375.99 vs $540.99)</t>
        </is>
      </c>
      <c r="S1231" s="47" t="inlineStr">
        <is>
          <t>gaming, office, content creation</t>
        </is>
      </c>
      <c r="T1231" s="0" t="inlineStr">
        <is>
          <t>low_stock</t>
        </is>
      </c>
      <c r="U1231" s="0" t="n">
        <v>30</v>
      </c>
      <c r="V1231" s="52" t="n">
        <v>401.99</v>
      </c>
      <c r="W1231" s="0" t="inlineStr">
        <is>
          <t>2026-08-27</t>
        </is>
      </c>
      <c r="X1231" s="0" t="inlineStr">
        <is>
          <t>N/A</t>
        </is>
      </c>
      <c r="Y1231" s="0" t="inlineStr">
        <is>
          <t>N/A</t>
        </is>
      </c>
      <c r="Z1231" s="0" t="inlineStr">
        <is>
          <t>N/A</t>
        </is>
      </c>
      <c r="AA1231" s="0" t="inlineStr">
        <is>
          <t>N/A</t>
        </is>
      </c>
    </row>
    <row r="1232" ht="15.75" customHeight="1" s="51">
      <c r="A1232" s="47" t="inlineStr">
        <is>
          <t>ATL-122-10</t>
        </is>
      </c>
      <c r="B1232" s="47" t="inlineStr">
        <is>
          <t>Atlas</t>
        </is>
      </c>
      <c r="C1232" s="47" t="inlineStr">
        <is>
          <t>Computer Hardware</t>
        </is>
      </c>
      <c r="D1232" s="47" t="inlineStr">
        <is>
          <t>Processor</t>
        </is>
      </c>
      <c r="E1232" s="48" t="inlineStr">
        <is>
          <t>Atlas Echo Air Desktop CPU</t>
        </is>
      </c>
      <c r="F1232" s="49" t="n">
        <v>412.99</v>
      </c>
      <c r="G1232" s="47" t="inlineStr">
        <is>
          <t>the Echo Air; Atlas Echo Air; Atlass Echo Air; Echo Air processor</t>
        </is>
      </c>
      <c r="H1232" s="47" t="inlineStr">
        <is>
          <t>3 year limited</t>
        </is>
      </c>
      <c r="I1232" s="47" t="inlineStr">
        <is>
          <t>FCC, CE, RoHS</t>
        </is>
      </c>
      <c r="J1232" s="47" t="inlineStr">
        <is>
          <t>Atlas Echo 12-core / 24-thread, up to 5.2 GHz</t>
        </is>
      </c>
      <c r="K1232" s="47" t="inlineStr">
        <is>
          <t>None (discrete GPU required)</t>
        </is>
      </c>
      <c r="L1232" s="47" t="inlineStr">
        <is>
          <t>N/A</t>
        </is>
      </c>
      <c r="M1232" s="47" t="inlineStr">
        <is>
          <t>N/A</t>
        </is>
      </c>
      <c r="N1232" s="47" t="inlineStr">
        <is>
          <t>N/A</t>
        </is>
      </c>
      <c r="O1232" s="47" t="inlineStr">
        <is>
          <t>N/A</t>
        </is>
      </c>
      <c r="P1232" s="47" t="inlineStr">
        <is>
          <t>N/A</t>
        </is>
      </c>
      <c r="Q1232" s="50" t="n">
        <v>47</v>
      </c>
      <c r="R1232" s="47" t="inlineStr">
        <is>
          <t>Lighter than Ceto Pulse Ultra Desktop CPU [CET-131-09] (47 g vs 59 g); Lower price than Aidos Onyx X Desktop CPU [AID-135-09] ($412.99 vs $542.99)</t>
        </is>
      </c>
      <c r="S1232" s="47" t="inlineStr">
        <is>
          <t>gaming, content creation, workstation builds</t>
        </is>
      </c>
      <c r="T1232" s="0" t="inlineStr">
        <is>
          <t>in_stock</t>
        </is>
      </c>
      <c r="U1232" s="0" t="n">
        <v>30</v>
      </c>
      <c r="V1232" s="52" t="n">
        <v>425.99</v>
      </c>
      <c r="W1232" s="0" t="inlineStr">
        <is>
          <t>2026-08-28</t>
        </is>
      </c>
      <c r="X1232" s="0" t="inlineStr">
        <is>
          <t>N/A</t>
        </is>
      </c>
      <c r="Y1232" s="0" t="inlineStr">
        <is>
          <t>N/A</t>
        </is>
      </c>
      <c r="Z1232" s="0" t="inlineStr">
        <is>
          <t>N/A</t>
        </is>
      </c>
      <c r="AA1232" s="0" t="inlineStr">
        <is>
          <t>N/A</t>
        </is>
      </c>
    </row>
    <row r="1233" ht="15.75" customHeight="1" s="51">
      <c r="A1233" s="47" t="inlineStr">
        <is>
          <t>HYP-123-01</t>
        </is>
      </c>
      <c r="B1233" s="47" t="inlineStr">
        <is>
          <t>Hyperion</t>
        </is>
      </c>
      <c r="C1233" s="47" t="inlineStr">
        <is>
          <t>Computer Hardware</t>
        </is>
      </c>
      <c r="D1233" s="47" t="inlineStr">
        <is>
          <t>Webcam</t>
        </is>
      </c>
      <c r="E1233" s="48" t="inlineStr">
        <is>
          <t>Hyperion Titan Air 4K Webcam</t>
        </is>
      </c>
      <c r="F1233" s="49" t="n">
        <v>57.99</v>
      </c>
      <c r="G1233" s="47" t="inlineStr">
        <is>
          <t>the Titan Air; Hyperion Titan Air; Hyyperion Titan Air; Titan Air webcam</t>
        </is>
      </c>
      <c r="H1233" s="47" t="inlineStr">
        <is>
          <t>2 year limited</t>
        </is>
      </c>
      <c r="I1233" s="47" t="inlineStr">
        <is>
          <t>FCC, CE, RoHS, USB-IF Certified</t>
        </is>
      </c>
      <c r="J1233" s="47" t="inlineStr">
        <is>
          <t>N/A</t>
        </is>
      </c>
      <c r="K1233" s="47" t="inlineStr">
        <is>
          <t>N/A</t>
        </is>
      </c>
      <c r="L1233" s="47" t="inlineStr">
        <is>
          <t>N/A</t>
        </is>
      </c>
      <c r="M1233" s="47" t="inlineStr">
        <is>
          <t>3840x2160 @ 30fps, 1080p @ 60fps</t>
        </is>
      </c>
      <c r="N1233" s="47" t="inlineStr">
        <is>
          <t>USB-C (USB 3.0)</t>
        </is>
      </c>
      <c r="O1233" s="47" t="inlineStr">
        <is>
          <t>N/A</t>
        </is>
      </c>
      <c r="P1233" s="47" t="inlineStr">
        <is>
          <t>N/A</t>
        </is>
      </c>
      <c r="Q1233" s="50" t="n">
        <v>124</v>
      </c>
      <c r="R1233" s="47" t="inlineStr">
        <is>
          <t>Lower price than Iris Arc 4K Webcam [IRI-130-05] ($57.99 vs $207.99); Lighter than Ceto Nova Pro 4K Webcam [CET-131-07] (124 g vs 149 g)</t>
        </is>
      </c>
      <c r="S1233" s="47" t="inlineStr">
        <is>
          <t>video calls, streaming, remote work</t>
        </is>
      </c>
      <c r="T1233" s="0" t="inlineStr">
        <is>
          <t>in_stock</t>
        </is>
      </c>
      <c r="U1233" s="0" t="n">
        <v>14</v>
      </c>
      <c r="V1233" s="52" t="n">
        <v>64.98999999999999</v>
      </c>
      <c r="W1233" s="0" t="inlineStr">
        <is>
          <t>2026-08-02</t>
        </is>
      </c>
      <c r="X1233" s="0" t="inlineStr">
        <is>
          <t>N/A</t>
        </is>
      </c>
      <c r="Y1233" s="0" t="inlineStr">
        <is>
          <t>N/A</t>
        </is>
      </c>
      <c r="Z1233" s="0" t="inlineStr">
        <is>
          <t>N/A</t>
        </is>
      </c>
      <c r="AA1233" s="0" t="inlineStr">
        <is>
          <t>N/A</t>
        </is>
      </c>
    </row>
    <row r="1234" ht="15.75" customHeight="1" s="51">
      <c r="A1234" s="47" t="inlineStr">
        <is>
          <t>HYP-123-02</t>
        </is>
      </c>
      <c r="B1234" s="47" t="inlineStr">
        <is>
          <t>Hyperion</t>
        </is>
      </c>
      <c r="C1234" s="47" t="inlineStr">
        <is>
          <t>Computer Hardware</t>
        </is>
      </c>
      <c r="D1234" s="47" t="inlineStr">
        <is>
          <t>Case Fans</t>
        </is>
      </c>
      <c r="E1234" s="48" t="inlineStr">
        <is>
          <t>Hyperion Axis Ultra RGB Case Fan 3-Pack</t>
        </is>
      </c>
      <c r="F1234" s="49" t="n">
        <v>74.98999999999999</v>
      </c>
      <c r="G1234" s="47" t="inlineStr">
        <is>
          <t>the Axis Ultra; Hyperion Axis Ultra; Hyperio Axis Ultra; Axis Ultra case fans</t>
        </is>
      </c>
      <c r="H1234" s="47" t="inlineStr">
        <is>
          <t>2 year limited</t>
        </is>
      </c>
      <c r="I1234" s="47" t="inlineStr">
        <is>
          <t>FCC, CE, RoHS</t>
        </is>
      </c>
      <c r="J1234" s="47" t="inlineStr">
        <is>
          <t>N/A</t>
        </is>
      </c>
      <c r="K1234" s="47" t="inlineStr">
        <is>
          <t>N/A</t>
        </is>
      </c>
      <c r="L1234" s="47" t="inlineStr">
        <is>
          <t>N/A</t>
        </is>
      </c>
      <c r="M1234" s="47" t="inlineStr">
        <is>
          <t>N/A</t>
        </is>
      </c>
      <c r="N1234" s="47" t="inlineStr">
        <is>
          <t>4-pin PWM, 3-pin 5V ARGB, daisy-chain connectors</t>
        </is>
      </c>
      <c r="O1234" s="47" t="inlineStr">
        <is>
          <t>N/A</t>
        </is>
      </c>
      <c r="P1234" s="47" t="inlineStr">
        <is>
          <t>N/A</t>
        </is>
      </c>
      <c r="Q1234" s="50" t="n">
        <v>384</v>
      </c>
      <c r="R1234" s="47" t="inlineStr">
        <is>
          <t>Lower price than Crius Nimbus X RGB Case Fan 3-Pack [CRI-139-02] ($74.99 vs $94.99); Lighter than Ceto Echo RGB Case Fan 3-Pack [CET-131-01] (384 g vs 440 g)</t>
        </is>
      </c>
      <c r="S1234" s="47" t="inlineStr">
        <is>
          <t>PC building, cooling, RGB builds</t>
        </is>
      </c>
      <c r="T1234" s="0" t="inlineStr">
        <is>
          <t>in_stock</t>
        </is>
      </c>
      <c r="U1234" s="0" t="n">
        <v>14</v>
      </c>
      <c r="V1234" s="52" t="n">
        <v>84.98999999999999</v>
      </c>
      <c r="W1234" s="0" t="inlineStr">
        <is>
          <t>2026-09-02</t>
        </is>
      </c>
      <c r="X1234" s="0" t="inlineStr">
        <is>
          <t>N/A</t>
        </is>
      </c>
      <c r="Y1234" s="0" t="inlineStr">
        <is>
          <t>N/A</t>
        </is>
      </c>
      <c r="Z1234" s="0" t="inlineStr">
        <is>
          <t>N/A</t>
        </is>
      </c>
      <c r="AA1234" s="0" t="inlineStr">
        <is>
          <t>N/A</t>
        </is>
      </c>
    </row>
    <row r="1235" ht="15.75" customHeight="1" s="51">
      <c r="A1235" s="47" t="inlineStr">
        <is>
          <t>HYP-123-03</t>
        </is>
      </c>
      <c r="B1235" s="47" t="inlineStr">
        <is>
          <t>Hyperion</t>
        </is>
      </c>
      <c r="C1235" s="47" t="inlineStr">
        <is>
          <t>Computer Hardware</t>
        </is>
      </c>
      <c r="D1235" s="47" t="inlineStr">
        <is>
          <t>Storage</t>
        </is>
      </c>
      <c r="E1235" s="48" t="inlineStr">
        <is>
          <t>Hyperion Aria 4TB External Hard Drive</t>
        </is>
      </c>
      <c r="F1235" s="49" t="n">
        <v>88.98999999999999</v>
      </c>
      <c r="G1235" s="47" t="inlineStr">
        <is>
          <t>the Aria; Hyperion Aria; Hypeiron Aria; Aria storage</t>
        </is>
      </c>
      <c r="H1235" s="47" t="inlineStr">
        <is>
          <t>2 year limited</t>
        </is>
      </c>
      <c r="I1235" s="47" t="inlineStr">
        <is>
          <t>FCC, CE, RoHS, USB-IF Certified</t>
        </is>
      </c>
      <c r="J1235" s="47" t="inlineStr">
        <is>
          <t>N/A</t>
        </is>
      </c>
      <c r="K1235" s="47" t="inlineStr">
        <is>
          <t>N/A</t>
        </is>
      </c>
      <c r="L1235" s="47" t="inlineStr">
        <is>
          <t>N/A</t>
        </is>
      </c>
      <c r="M1235" s="47" t="inlineStr">
        <is>
          <t>N/A</t>
        </is>
      </c>
      <c r="N1235" s="47" t="inlineStr">
        <is>
          <t>USB-C (USB 3.2 Gen 1)</t>
        </is>
      </c>
      <c r="O1235" s="47" t="inlineStr">
        <is>
          <t>N/A</t>
        </is>
      </c>
      <c r="P1235" s="47" t="inlineStr">
        <is>
          <t>N/A</t>
        </is>
      </c>
      <c r="Q1235" s="50" t="n">
        <v>213</v>
      </c>
      <c r="R1235" s="47" t="inlineStr">
        <is>
          <t>Lower price than Urania Sable X 4TB External Hard Drive [URA-136-07] ($88.99 vs $196.99); Lighter than Eurybia Quanta SE 4TB External Hard Drive [EUR-104-02] (213 g vs 215 g)</t>
        </is>
      </c>
      <c r="S1235" s="47" t="inlineStr">
        <is>
          <t>backup, media storage</t>
        </is>
      </c>
      <c r="T1235" s="0" t="inlineStr">
        <is>
          <t>in_stock</t>
        </is>
      </c>
      <c r="U1235" s="0" t="n">
        <v>14</v>
      </c>
      <c r="V1235" s="52" t="n">
        <v>93.98999999999999</v>
      </c>
      <c r="W1235" s="0" t="inlineStr">
        <is>
          <t>2026-08-13</t>
        </is>
      </c>
      <c r="X1235" s="0" t="inlineStr">
        <is>
          <t>N/A</t>
        </is>
      </c>
      <c r="Y1235" s="0" t="inlineStr">
        <is>
          <t>N/A</t>
        </is>
      </c>
      <c r="Z1235" s="0" t="inlineStr">
        <is>
          <t>N/A</t>
        </is>
      </c>
      <c r="AA1235" s="0" t="inlineStr">
        <is>
          <t>N/A</t>
        </is>
      </c>
    </row>
    <row r="1236" ht="15.75" customHeight="1" s="51">
      <c r="A1236" s="47" t="inlineStr">
        <is>
          <t>HYP-123-04</t>
        </is>
      </c>
      <c r="B1236" s="47" t="inlineStr">
        <is>
          <t>Hyperion</t>
        </is>
      </c>
      <c r="C1236" s="47" t="inlineStr">
        <is>
          <t>Computer Hardware</t>
        </is>
      </c>
      <c r="D1236" s="47" t="inlineStr">
        <is>
          <t>Mouse</t>
        </is>
      </c>
      <c r="E1236" s="48" t="inlineStr">
        <is>
          <t>Hyperion Quanta Air Gaming Mouse</t>
        </is>
      </c>
      <c r="F1236" s="49" t="n">
        <v>95.98999999999999</v>
      </c>
      <c r="G1236" s="47" t="inlineStr">
        <is>
          <t>the Quanta Air; Hyperion Quanta Air; Hiperion Quanta Air; Quanta Air mouse</t>
        </is>
      </c>
      <c r="H1236" s="47" t="inlineStr">
        <is>
          <t>2 year limited</t>
        </is>
      </c>
      <c r="I1236" s="47" t="inlineStr">
        <is>
          <t>FCC, CE, RoHS, Bluetooth SIG Qualified</t>
        </is>
      </c>
      <c r="J1236" s="47" t="inlineStr">
        <is>
          <t>Sensor: 30K DPI optical</t>
        </is>
      </c>
      <c r="K1236" s="47" t="inlineStr">
        <is>
          <t>N/A</t>
        </is>
      </c>
      <c r="L1236" s="47" t="inlineStr">
        <is>
          <t>N/A</t>
        </is>
      </c>
      <c r="M1236" s="47" t="inlineStr">
        <is>
          <t>N/A</t>
        </is>
      </c>
      <c r="N1236" s="47" t="inlineStr">
        <is>
          <t>USB-C, 2.4GHz dongle, Bluetooth 5.1</t>
        </is>
      </c>
      <c r="O1236" s="47" t="inlineStr">
        <is>
          <t>N/A</t>
        </is>
      </c>
      <c r="P1236" s="47" t="n">
        <v>101</v>
      </c>
      <c r="Q1236" s="50" t="n">
        <v>93</v>
      </c>
      <c r="R1236" s="47" t="inlineStr">
        <is>
          <t>Lower price than Aphrodite Volt Gaming Mouse [APH-141-05] ($95.99 vs $122.99); Longer battery than Thalassa Crest Max Gaming Mouse [THA-126-02] (101 vs 89 hrs)</t>
        </is>
      </c>
      <c r="S1236" s="47" t="inlineStr">
        <is>
          <t>gaming, esports</t>
        </is>
      </c>
      <c r="T1236" s="0" t="inlineStr">
        <is>
          <t>in_stock</t>
        </is>
      </c>
      <c r="U1236" s="0" t="n">
        <v>14</v>
      </c>
      <c r="V1236" s="52" t="n">
        <v>108.99</v>
      </c>
      <c r="W1236" s="0" t="inlineStr">
        <is>
          <t>2026-08-05</t>
        </is>
      </c>
      <c r="X1236" s="0" t="inlineStr">
        <is>
          <t>N/A</t>
        </is>
      </c>
      <c r="Y1236" s="0" t="inlineStr">
        <is>
          <t>N/A</t>
        </is>
      </c>
      <c r="Z1236" s="0" t="inlineStr">
        <is>
          <t>N/A</t>
        </is>
      </c>
      <c r="AA1236" s="0" t="inlineStr">
        <is>
          <t>N/A</t>
        </is>
      </c>
    </row>
    <row r="1237" ht="15.75" customHeight="1" s="51">
      <c r="A1237" s="47" t="inlineStr">
        <is>
          <t>HYP-123-05</t>
        </is>
      </c>
      <c r="B1237" s="47" t="inlineStr">
        <is>
          <t>Hyperion</t>
        </is>
      </c>
      <c r="C1237" s="47" t="inlineStr">
        <is>
          <t>Computer Hardware</t>
        </is>
      </c>
      <c r="D1237" s="47" t="inlineStr">
        <is>
          <t>Cooling</t>
        </is>
      </c>
      <c r="E1237" s="48" t="inlineStr">
        <is>
          <t>Hyperion Nimbus SE 360mm AIO CPU Cooler</t>
        </is>
      </c>
      <c r="F1237" s="49" t="n">
        <v>114.99</v>
      </c>
      <c r="G1237" s="47" t="inlineStr">
        <is>
          <t>the Nimbus SE; Hyperion Nimbus SE; Hyperionn Nimbus SE; Nimbus SE cooling</t>
        </is>
      </c>
      <c r="H1237" s="47" t="inlineStr">
        <is>
          <t>5 year limited</t>
        </is>
      </c>
      <c r="I1237" s="47" t="inlineStr">
        <is>
          <t>FCC, CE, RoHS</t>
        </is>
      </c>
      <c r="J1237" s="47" t="inlineStr">
        <is>
          <t>N/A</t>
        </is>
      </c>
      <c r="K1237" s="47" t="inlineStr">
        <is>
          <t>N/A</t>
        </is>
      </c>
      <c r="L1237" s="47" t="inlineStr">
        <is>
          <t>N/A</t>
        </is>
      </c>
      <c r="M1237" s="47" t="inlineStr">
        <is>
          <t>N/A</t>
        </is>
      </c>
      <c r="N1237" s="47" t="inlineStr">
        <is>
          <t>3x 4-pin PWM fans, 3-pin pump header, ARGB 5V; LGA1700/LGA1851/AM5 mounts</t>
        </is>
      </c>
      <c r="O1237" s="47" t="inlineStr">
        <is>
          <t>N/A</t>
        </is>
      </c>
      <c r="P1237" s="47" t="inlineStr">
        <is>
          <t>N/A</t>
        </is>
      </c>
      <c r="Q1237" s="50" t="n">
        <v>1875</v>
      </c>
      <c r="R1237" s="47" t="inlineStr">
        <is>
          <t>Lower price than Astraeus Volt Pro 360mm AIO CPU Cooler [AST-146-04] ($114.99 vs $168.99); Lighter than Apate Aria Ultra 360mm AIO CPU Cooler [APA-110-05] (1,875 g vs 1,987 g)</t>
        </is>
      </c>
      <c r="S1237" s="47" t="inlineStr">
        <is>
          <t>overclocking, gaming, quiet builds</t>
        </is>
      </c>
      <c r="T1237" s="0" t="inlineStr">
        <is>
          <t>in_stock</t>
        </is>
      </c>
      <c r="U1237" s="0" t="n">
        <v>14</v>
      </c>
      <c r="V1237" s="52" t="n">
        <v>129.99</v>
      </c>
      <c r="W1237" s="0" t="inlineStr">
        <is>
          <t>2026-09-16</t>
        </is>
      </c>
      <c r="X1237" s="0" t="inlineStr">
        <is>
          <t>N/A</t>
        </is>
      </c>
      <c r="Y1237" s="0" t="inlineStr">
        <is>
          <t>N/A</t>
        </is>
      </c>
      <c r="Z1237" s="0" t="inlineStr">
        <is>
          <t>N/A</t>
        </is>
      </c>
      <c r="AA1237" s="0" t="inlineStr">
        <is>
          <t>N/A</t>
        </is>
      </c>
    </row>
    <row r="1238" ht="15.75" customHeight="1" s="51">
      <c r="A1238" s="47" t="inlineStr">
        <is>
          <t>HYP-123-06</t>
        </is>
      </c>
      <c r="B1238" s="47" t="inlineStr">
        <is>
          <t>Hyperion</t>
        </is>
      </c>
      <c r="C1238" s="47" t="inlineStr">
        <is>
          <t>Computer Hardware</t>
        </is>
      </c>
      <c r="D1238" s="47" t="inlineStr">
        <is>
          <t>Keyboard</t>
        </is>
      </c>
      <c r="E1238" s="48" t="inlineStr">
        <is>
          <t>Hyperion Titan X Mechanical Keyboard</t>
        </is>
      </c>
      <c r="F1238" s="49" t="n">
        <v>132.99</v>
      </c>
      <c r="G1238" s="47" t="inlineStr">
        <is>
          <t>the Titan X; Hyperion Titan X; Hyyperion Titan X; Titan X keyboard</t>
        </is>
      </c>
      <c r="H1238" s="47" t="inlineStr">
        <is>
          <t>2 year limited</t>
        </is>
      </c>
      <c r="I1238" s="47" t="inlineStr">
        <is>
          <t>FCC, CE, RoHS, Bluetooth SIG Qualified</t>
        </is>
      </c>
      <c r="J1238" s="47" t="inlineStr">
        <is>
          <t>N/A</t>
        </is>
      </c>
      <c r="K1238" s="47" t="inlineStr">
        <is>
          <t>N/A</t>
        </is>
      </c>
      <c r="L1238" s="47" t="inlineStr">
        <is>
          <t>N/A</t>
        </is>
      </c>
      <c r="M1238" s="47" t="inlineStr">
        <is>
          <t>N/A</t>
        </is>
      </c>
      <c r="N1238" s="47" t="inlineStr">
        <is>
          <t>USB-C, 2.4GHz dongle, Bluetooth 5.1</t>
        </is>
      </c>
      <c r="O1238" s="47" t="inlineStr">
        <is>
          <t>N/A</t>
        </is>
      </c>
      <c r="P1238" s="47" t="n">
        <v>314</v>
      </c>
      <c r="Q1238" s="50" t="n">
        <v>805</v>
      </c>
      <c r="R1238" s="47" t="inlineStr">
        <is>
          <t>Lower price than Ceto Aria Mechanical Keyboard [CET-131-08] ($132.99 vs $213.99); Lighter than Eros Apex Pro Mechanical Keyboard [ERO-134-02] (805 g vs 940 g)</t>
        </is>
      </c>
      <c r="S1238" s="47" t="inlineStr">
        <is>
          <t>gaming, typing, office</t>
        </is>
      </c>
      <c r="T1238" s="0" t="inlineStr">
        <is>
          <t>in_stock</t>
        </is>
      </c>
      <c r="U1238" s="0" t="n">
        <v>14</v>
      </c>
      <c r="V1238" s="52" t="n">
        <v>146.99</v>
      </c>
      <c r="W1238" s="0" t="inlineStr">
        <is>
          <t>2026-08-25</t>
        </is>
      </c>
      <c r="X1238" s="0" t="inlineStr">
        <is>
          <t>N/A</t>
        </is>
      </c>
      <c r="Y1238" s="0" t="inlineStr">
        <is>
          <t>N/A</t>
        </is>
      </c>
      <c r="Z1238" s="0" t="inlineStr">
        <is>
          <t>N/A</t>
        </is>
      </c>
      <c r="AA1238" s="0" t="inlineStr">
        <is>
          <t>N/A</t>
        </is>
      </c>
    </row>
    <row r="1239" ht="15.75" customHeight="1" s="51">
      <c r="A1239" s="47" t="inlineStr">
        <is>
          <t>HYP-123-07</t>
        </is>
      </c>
      <c r="B1239" s="47" t="inlineStr">
        <is>
          <t>Hyperion</t>
        </is>
      </c>
      <c r="C1239" s="47" t="inlineStr">
        <is>
          <t>Computer Hardware</t>
        </is>
      </c>
      <c r="D1239" s="47" t="inlineStr">
        <is>
          <t>Docking Station</t>
        </is>
      </c>
      <c r="E1239" s="48" t="inlineStr">
        <is>
          <t>Hyperion Drift Ultra USB-C Docking Station</t>
        </is>
      </c>
      <c r="F1239" s="49" t="n">
        <v>183.99</v>
      </c>
      <c r="G1239" s="47" t="inlineStr">
        <is>
          <t>the Drift Ultra; Hyperion Drift Ultra; Hpyerion Drift Ultra; Drift Ultra docking station</t>
        </is>
      </c>
      <c r="H1239" s="47" t="inlineStr">
        <is>
          <t>2 year limited</t>
        </is>
      </c>
      <c r="I1239" s="47" t="inlineStr">
        <is>
          <t>FCC, CE, RoHS, USB-IF Certified, UL Listed</t>
        </is>
      </c>
      <c r="J1239" s="47" t="inlineStr">
        <is>
          <t>N/A</t>
        </is>
      </c>
      <c r="K1239" s="47" t="inlineStr">
        <is>
          <t>N/A</t>
        </is>
      </c>
      <c r="L1239" s="47" t="inlineStr">
        <is>
          <t>N/A</t>
        </is>
      </c>
      <c r="M1239" s="47" t="inlineStr">
        <is>
          <t>N/A</t>
        </is>
      </c>
      <c r="N1239" s="47" t="inlineStr">
        <is>
          <t>2x HDMI 2.0, 1x DisplayPort 1.4, 3x USB-A 3.2, 2x USB-C, 2.5GbE, SD card, 100W PD</t>
        </is>
      </c>
      <c r="O1239" s="47" t="inlineStr">
        <is>
          <t>N/A</t>
        </is>
      </c>
      <c r="P1239" s="47" t="inlineStr">
        <is>
          <t>N/A</t>
        </is>
      </c>
      <c r="Q1239" s="50" t="n">
        <v>346</v>
      </c>
      <c r="R1239" s="47" t="inlineStr">
        <is>
          <t>Lighter than Kairos Sable Plus USB-C Docking Station [KAI-142-09] (346 g vs 407 g); Lower price than Astraeus Vibe USB-C Docking Station [AST-146-07] ($183.99 vs $260.99)</t>
        </is>
      </c>
      <c r="S1239" s="47" t="inlineStr">
        <is>
          <t>office, remote work, multi-monitor</t>
        </is>
      </c>
      <c r="T1239" s="0" t="inlineStr">
        <is>
          <t>in_stock</t>
        </is>
      </c>
      <c r="U1239" s="0" t="n">
        <v>14</v>
      </c>
      <c r="V1239" s="52" t="n">
        <v>190.99</v>
      </c>
      <c r="W1239" s="0" t="inlineStr">
        <is>
          <t>2026-09-18</t>
        </is>
      </c>
      <c r="X1239" s="0" t="inlineStr">
        <is>
          <t>N/A</t>
        </is>
      </c>
      <c r="Y1239" s="0" t="inlineStr">
        <is>
          <t>N/A</t>
        </is>
      </c>
      <c r="Z1239" s="0" t="inlineStr">
        <is>
          <t>N/A</t>
        </is>
      </c>
      <c r="AA1239" s="0" t="inlineStr">
        <is>
          <t>N/A</t>
        </is>
      </c>
    </row>
    <row r="1240" ht="15.75" customHeight="1" s="51">
      <c r="A1240" s="47" t="inlineStr">
        <is>
          <t>HYP-123-08</t>
        </is>
      </c>
      <c r="B1240" s="47" t="inlineStr">
        <is>
          <t>Hyperion</t>
        </is>
      </c>
      <c r="C1240" s="47" t="inlineStr">
        <is>
          <t>Computer Hardware</t>
        </is>
      </c>
      <c r="D1240" s="47" t="inlineStr">
        <is>
          <t>Motherboard</t>
        </is>
      </c>
      <c r="E1240" s="48" t="inlineStr">
        <is>
          <t>Hyperion Spark ATX Motherboard</t>
        </is>
      </c>
      <c r="F1240" s="49" t="n">
        <v>208.99</v>
      </c>
      <c r="G1240" s="47" t="inlineStr">
        <is>
          <t>the Spark; Hyperion Spark; Hpyerion Spark; Spark motherboard</t>
        </is>
      </c>
      <c r="H1240" s="47" t="inlineStr">
        <is>
          <t>3 year limited</t>
        </is>
      </c>
      <c r="I1240" s="47" t="inlineStr">
        <is>
          <t>FCC, CE, RoHS</t>
        </is>
      </c>
      <c r="J1240" s="47" t="inlineStr">
        <is>
          <t>Supports Intel Core Ultra 200S (LGA1851)</t>
        </is>
      </c>
      <c r="K1240" s="47" t="inlineStr">
        <is>
          <t>N/A</t>
        </is>
      </c>
      <c r="L1240" s="47" t="inlineStr">
        <is>
          <t>N/A</t>
        </is>
      </c>
      <c r="M1240" s="47" t="inlineStr">
        <is>
          <t>N/A</t>
        </is>
      </c>
      <c r="N1240" s="47" t="inlineStr">
        <is>
          <t>Rear I/O: 1x HDMI, 6x USB-A, 1x USB-C 10Gbps, 2.5GbE, Wi-Fi 6E</t>
        </is>
      </c>
      <c r="O1240" s="47" t="inlineStr">
        <is>
          <t>N/A</t>
        </is>
      </c>
      <c r="P1240" s="47" t="inlineStr">
        <is>
          <t>N/A</t>
        </is>
      </c>
      <c r="Q1240" s="50" t="n">
        <v>1112</v>
      </c>
      <c r="R1240" s="47" t="inlineStr">
        <is>
          <t>Lighter than Hera Wave Air ATX Motherboard [HER-129-07] (1,112 g vs 1,499 g); Lower price than Hestia Crest SE ATX Motherboard [HES-116-08] ($208.99 vs $214.99)</t>
        </is>
      </c>
      <c r="S1240" s="47" t="inlineStr">
        <is>
          <t>PC building, gaming, workstation builds</t>
        </is>
      </c>
      <c r="T1240" s="0" t="inlineStr">
        <is>
          <t>in_stock</t>
        </is>
      </c>
      <c r="U1240" s="0" t="n">
        <v>14</v>
      </c>
      <c r="V1240" s="52" t="n">
        <v>223.99</v>
      </c>
      <c r="W1240" s="0" t="inlineStr">
        <is>
          <t>2026-09-22</t>
        </is>
      </c>
      <c r="X1240" s="0" t="inlineStr">
        <is>
          <t>N/A</t>
        </is>
      </c>
      <c r="Y1240" s="0" t="inlineStr">
        <is>
          <t>N/A</t>
        </is>
      </c>
      <c r="Z1240" s="0" t="inlineStr">
        <is>
          <t>N/A</t>
        </is>
      </c>
      <c r="AA1240" s="0" t="inlineStr">
        <is>
          <t>N/A</t>
        </is>
      </c>
    </row>
    <row r="1241" ht="15.75" customHeight="1" s="51">
      <c r="A1241" s="47" t="inlineStr">
        <is>
          <t>HYP-123-09</t>
        </is>
      </c>
      <c r="B1241" s="47" t="inlineStr">
        <is>
          <t>Hyperion</t>
        </is>
      </c>
      <c r="C1241" s="47" t="inlineStr">
        <is>
          <t>Computer Hardware</t>
        </is>
      </c>
      <c r="D1241" s="47" t="inlineStr">
        <is>
          <t>Processor</t>
        </is>
      </c>
      <c r="E1241" s="48" t="inlineStr">
        <is>
          <t>Hyperion Volt Desktop CPU</t>
        </is>
      </c>
      <c r="F1241" s="49" t="n">
        <v>477.99</v>
      </c>
      <c r="G1241" s="47" t="inlineStr">
        <is>
          <t>the Volt; Hyperion Volt; Hyyperion Volt; Volt processor</t>
        </is>
      </c>
      <c r="H1241" s="47" t="inlineStr">
        <is>
          <t>3 year limited</t>
        </is>
      </c>
      <c r="I1241" s="47" t="inlineStr">
        <is>
          <t>FCC, CE, RoHS</t>
        </is>
      </c>
      <c r="J1241" s="47" t="inlineStr">
        <is>
          <t>Hyperion Volt 16-core / 32-thread, up to 5.3 GHz</t>
        </is>
      </c>
      <c r="K1241" s="47" t="inlineStr">
        <is>
          <t>None (discrete GPU required)</t>
        </is>
      </c>
      <c r="L1241" s="47" t="inlineStr">
        <is>
          <t>N/A</t>
        </is>
      </c>
      <c r="M1241" s="47" t="inlineStr">
        <is>
          <t>N/A</t>
        </is>
      </c>
      <c r="N1241" s="47" t="inlineStr">
        <is>
          <t>N/A</t>
        </is>
      </c>
      <c r="O1241" s="47" t="inlineStr">
        <is>
          <t>N/A</t>
        </is>
      </c>
      <c r="P1241" s="47" t="inlineStr">
        <is>
          <t>N/A</t>
        </is>
      </c>
      <c r="Q1241" s="50" t="n">
        <v>50</v>
      </c>
      <c r="R1241" s="47" t="inlineStr">
        <is>
          <t>Lower price than Eos Volt Plus Desktop CPU [EOS-111-09] ($477.99 vs $692.99); Lighter than Eucleia Quanta Lite Desktop CPU [EUC-124-06] (50 g vs 51 g)</t>
        </is>
      </c>
      <c r="S1241" s="47" t="inlineStr">
        <is>
          <t>gaming, content creation, workstation builds</t>
        </is>
      </c>
      <c r="T1241" s="0" t="inlineStr">
        <is>
          <t>low_stock</t>
        </is>
      </c>
      <c r="U1241" s="0" t="n">
        <v>14</v>
      </c>
      <c r="V1241" s="52" t="n">
        <v>510.99</v>
      </c>
      <c r="W1241" s="0" t="inlineStr">
        <is>
          <t>2026-09-11</t>
        </is>
      </c>
      <c r="X1241" s="0" t="inlineStr">
        <is>
          <t>N/A</t>
        </is>
      </c>
      <c r="Y1241" s="0" t="inlineStr">
        <is>
          <t>N/A</t>
        </is>
      </c>
      <c r="Z1241" s="0" t="inlineStr">
        <is>
          <t>N/A</t>
        </is>
      </c>
      <c r="AA1241" s="0" t="inlineStr">
        <is>
          <t>N/A</t>
        </is>
      </c>
    </row>
    <row r="1242" ht="15.75" customHeight="1" s="51">
      <c r="A1242" s="47" t="inlineStr">
        <is>
          <t>HYP-123-10</t>
        </is>
      </c>
      <c r="B1242" s="47" t="inlineStr">
        <is>
          <t>Hyperion</t>
        </is>
      </c>
      <c r="C1242" s="47" t="inlineStr">
        <is>
          <t>Computer Hardware</t>
        </is>
      </c>
      <c r="D1242" s="47" t="inlineStr">
        <is>
          <t>Monitor</t>
        </is>
      </c>
      <c r="E1242" s="48" t="inlineStr">
        <is>
          <t>Hyperion Arc Ultra 27" 1440p Monitor</t>
        </is>
      </c>
      <c r="F1242" s="49" t="n">
        <v>616.99</v>
      </c>
      <c r="G1242" s="47" t="inlineStr">
        <is>
          <t>the Arc Ultra; Hyperion Arc Ultra; Hyperiion Arc Ultra; Arc Ultra monitor</t>
        </is>
      </c>
      <c r="H1242" s="47" t="inlineStr">
        <is>
          <t>3 year limited</t>
        </is>
      </c>
      <c r="I1242" s="47" t="inlineStr">
        <is>
          <t>FCC, CE, RoHS, Energy Star, TUV Rheinland Low Blue Light, VESA DisplayHDR True Black 400</t>
        </is>
      </c>
      <c r="J1242" s="47" t="inlineStr">
        <is>
          <t>N/A</t>
        </is>
      </c>
      <c r="K1242" s="47" t="inlineStr">
        <is>
          <t>N/A</t>
        </is>
      </c>
      <c r="L1242" s="47" t="inlineStr">
        <is>
          <t>QD-OLED, 360Hz</t>
        </is>
      </c>
      <c r="M1242" s="47" t="inlineStr">
        <is>
          <t>2560x1440</t>
        </is>
      </c>
      <c r="N1242" s="47" t="inlineStr">
        <is>
          <t>2x HDMI 2.1, 1x DisplayPort 1.4, USB-C 90W, USB hub</t>
        </is>
      </c>
      <c r="O1242" s="47" t="inlineStr">
        <is>
          <t>N/A</t>
        </is>
      </c>
      <c r="P1242" s="47" t="inlineStr">
        <is>
          <t>N/A</t>
        </is>
      </c>
      <c r="Q1242" s="50" t="n">
        <v>6938</v>
      </c>
      <c r="R1242" s="47" t="inlineStr">
        <is>
          <t>Lighter than Eris Crest Plus 27" 1440p Monitor [ERI-148-10] (6,938 g vs 7,023 g); Lower price than Notus Core Air 27" 1440p Monitor [NOT-108-09] ($616.99 vs $636.99)</t>
        </is>
      </c>
      <c r="S1242" s="47" t="inlineStr">
        <is>
          <t>gaming, office, content creation</t>
        </is>
      </c>
      <c r="T1242" s="0" t="inlineStr">
        <is>
          <t>in_stock</t>
        </is>
      </c>
      <c r="U1242" s="0" t="n">
        <v>14</v>
      </c>
      <c r="V1242" s="52" t="n">
        <v>643.99</v>
      </c>
      <c r="W1242" s="0" t="inlineStr">
        <is>
          <t>2026-09-06</t>
        </is>
      </c>
      <c r="X1242" s="0" t="inlineStr">
        <is>
          <t>N/A</t>
        </is>
      </c>
      <c r="Y1242" s="0" t="inlineStr">
        <is>
          <t>N/A</t>
        </is>
      </c>
      <c r="Z1242" s="0" t="inlineStr">
        <is>
          <t>N/A</t>
        </is>
      </c>
      <c r="AA1242" s="0" t="inlineStr">
        <is>
          <t>N/A</t>
        </is>
      </c>
    </row>
    <row r="1243" ht="15.75" customHeight="1" s="51">
      <c r="A1243" s="47" t="inlineStr">
        <is>
          <t>EUC-124-01</t>
        </is>
      </c>
      <c r="B1243" s="47" t="inlineStr">
        <is>
          <t>Eucleia</t>
        </is>
      </c>
      <c r="C1243" s="47" t="inlineStr">
        <is>
          <t>Computer Hardware</t>
        </is>
      </c>
      <c r="D1243" s="47" t="inlineStr">
        <is>
          <t>Case Fans</t>
        </is>
      </c>
      <c r="E1243" s="48" t="inlineStr">
        <is>
          <t>Eucleia Halo RGB Case Fan 3-Pack</t>
        </is>
      </c>
      <c r="F1243" s="49" t="n">
        <v>53.99</v>
      </c>
      <c r="G1243" s="47" t="inlineStr">
        <is>
          <t>the Halo; Eucleia Halo; Eucliea Halo; Halo case fans</t>
        </is>
      </c>
      <c r="H1243" s="47" t="inlineStr">
        <is>
          <t>2 year limited</t>
        </is>
      </c>
      <c r="I1243" s="47" t="inlineStr">
        <is>
          <t>FCC, CE, RoHS</t>
        </is>
      </c>
      <c r="J1243" s="47" t="inlineStr">
        <is>
          <t>N/A</t>
        </is>
      </c>
      <c r="K1243" s="47" t="inlineStr">
        <is>
          <t>N/A</t>
        </is>
      </c>
      <c r="L1243" s="47" t="inlineStr">
        <is>
          <t>N/A</t>
        </is>
      </c>
      <c r="M1243" s="47" t="inlineStr">
        <is>
          <t>N/A</t>
        </is>
      </c>
      <c r="N1243" s="47" t="inlineStr">
        <is>
          <t>4-pin PWM, 3-pin 5V ARGB, daisy-chain connectors</t>
        </is>
      </c>
      <c r="O1243" s="47" t="inlineStr">
        <is>
          <t>N/A</t>
        </is>
      </c>
      <c r="P1243" s="47" t="inlineStr">
        <is>
          <t>N/A</t>
        </is>
      </c>
      <c r="Q1243" s="50" t="n">
        <v>519</v>
      </c>
      <c r="R1243" s="47" t="inlineStr">
        <is>
          <t>Lower price than Bia Volt Lite RGB Case Fan 3-Pack [BIA-107-01] ($53.99 vs $76.99)</t>
        </is>
      </c>
      <c r="S1243" s="47" t="inlineStr">
        <is>
          <t>PC building, cooling, RGB builds</t>
        </is>
      </c>
      <c r="T1243" s="0" t="inlineStr">
        <is>
          <t>in_stock</t>
        </is>
      </c>
      <c r="U1243" s="0" t="n">
        <v>15</v>
      </c>
      <c r="V1243" s="52" t="n">
        <v>61.99</v>
      </c>
      <c r="W1243" s="0" t="inlineStr">
        <is>
          <t>2026-08-26</t>
        </is>
      </c>
      <c r="X1243" s="0" t="inlineStr">
        <is>
          <t>N/A</t>
        </is>
      </c>
      <c r="Y1243" s="0" t="inlineStr">
        <is>
          <t>N/A</t>
        </is>
      </c>
      <c r="Z1243" s="0" t="inlineStr">
        <is>
          <t>N/A</t>
        </is>
      </c>
      <c r="AA1243" s="0" t="inlineStr">
        <is>
          <t>N/A</t>
        </is>
      </c>
    </row>
    <row r="1244" ht="15.75" customHeight="1" s="51">
      <c r="A1244" s="47" t="inlineStr">
        <is>
          <t>EUC-124-02</t>
        </is>
      </c>
      <c r="B1244" s="47" t="inlineStr">
        <is>
          <t>Eucleia</t>
        </is>
      </c>
      <c r="C1244" s="47" t="inlineStr">
        <is>
          <t>Computer Hardware</t>
        </is>
      </c>
      <c r="D1244" s="47" t="inlineStr">
        <is>
          <t>Mouse</t>
        </is>
      </c>
      <c r="E1244" s="48" t="inlineStr">
        <is>
          <t>Eucleia Flux SE Gaming Mouse</t>
        </is>
      </c>
      <c r="F1244" s="49" t="n">
        <v>104.99</v>
      </c>
      <c r="G1244" s="47" t="inlineStr">
        <is>
          <t>the Flux SE; Eucleia Flux SE; Eucleiaa Flux SE; Flux SE mouse</t>
        </is>
      </c>
      <c r="H1244" s="47" t="inlineStr">
        <is>
          <t>2 year limited</t>
        </is>
      </c>
      <c r="I1244" s="47" t="inlineStr">
        <is>
          <t>FCC, CE, RoHS, Bluetooth SIG Qualified</t>
        </is>
      </c>
      <c r="J1244" s="47" t="inlineStr">
        <is>
          <t>Sensor: 30K DPI optical</t>
        </is>
      </c>
      <c r="K1244" s="47" t="inlineStr">
        <is>
          <t>N/A</t>
        </is>
      </c>
      <c r="L1244" s="47" t="inlineStr">
        <is>
          <t>N/A</t>
        </is>
      </c>
      <c r="M1244" s="47" t="inlineStr">
        <is>
          <t>N/A</t>
        </is>
      </c>
      <c r="N1244" s="47" t="inlineStr">
        <is>
          <t>USB-C, 2.4GHz dongle, Bluetooth 5.1</t>
        </is>
      </c>
      <c r="O1244" s="47" t="inlineStr">
        <is>
          <t>N/A</t>
        </is>
      </c>
      <c r="P1244" s="47" t="n">
        <v>120</v>
      </c>
      <c r="Q1244" s="50" t="n">
        <v>67</v>
      </c>
      <c r="R1244" s="47" t="inlineStr">
        <is>
          <t>Longer battery than Crius Nova Pro Gaming Mouse [CRI-139-01] (120 vs 73 hrs); Lower price than Artemis Strata Gaming Mouse [ART-150-03] ($104.99 vs $121.99)</t>
        </is>
      </c>
      <c r="S1244" s="47" t="inlineStr">
        <is>
          <t>gaming, esports</t>
        </is>
      </c>
      <c r="T1244" s="0" t="inlineStr">
        <is>
          <t>in_stock</t>
        </is>
      </c>
      <c r="U1244" s="0" t="n">
        <v>15</v>
      </c>
      <c r="V1244" s="52" t="n">
        <v>120.99</v>
      </c>
      <c r="W1244" s="0" t="inlineStr">
        <is>
          <t>2026-08-11</t>
        </is>
      </c>
      <c r="X1244" s="0" t="inlineStr">
        <is>
          <t>N/A</t>
        </is>
      </c>
      <c r="Y1244" s="0" t="inlineStr">
        <is>
          <t>N/A</t>
        </is>
      </c>
      <c r="Z1244" s="0" t="inlineStr">
        <is>
          <t>N/A</t>
        </is>
      </c>
      <c r="AA1244" s="0" t="inlineStr">
        <is>
          <t>N/A</t>
        </is>
      </c>
    </row>
    <row r="1245" ht="15.75" customHeight="1" s="51">
      <c r="A1245" s="47" t="inlineStr">
        <is>
          <t>EUC-124-03</t>
        </is>
      </c>
      <c r="B1245" s="47" t="inlineStr">
        <is>
          <t>Eucleia</t>
        </is>
      </c>
      <c r="C1245" s="47" t="inlineStr">
        <is>
          <t>Computer Hardware</t>
        </is>
      </c>
      <c r="D1245" s="47" t="inlineStr">
        <is>
          <t>Storage</t>
        </is>
      </c>
      <c r="E1245" s="48" t="inlineStr">
        <is>
          <t>Eucleia Rift X 2TB NVMe SSD</t>
        </is>
      </c>
      <c r="F1245" s="49" t="n">
        <v>109.99</v>
      </c>
      <c r="G1245" s="47" t="inlineStr">
        <is>
          <t>the Rift X; Eucleia Rift X; Euclei Rift X; Rift X storage</t>
        </is>
      </c>
      <c r="H1245" s="47" t="inlineStr">
        <is>
          <t>5 year limited</t>
        </is>
      </c>
      <c r="I1245" s="47" t="inlineStr">
        <is>
          <t>FCC, CE, RoHS</t>
        </is>
      </c>
      <c r="J1245" s="47" t="inlineStr">
        <is>
          <t>Controller: Phison E21T</t>
        </is>
      </c>
      <c r="K1245" s="47" t="inlineStr">
        <is>
          <t>N/A</t>
        </is>
      </c>
      <c r="L1245" s="47" t="inlineStr">
        <is>
          <t>N/A</t>
        </is>
      </c>
      <c r="M1245" s="47" t="inlineStr">
        <is>
          <t>N/A</t>
        </is>
      </c>
      <c r="N1245" s="47" t="inlineStr">
        <is>
          <t>M.2 2280, PCIe 4.0 x4 NVMe</t>
        </is>
      </c>
      <c r="O1245" s="47" t="inlineStr">
        <is>
          <t>N/A</t>
        </is>
      </c>
      <c r="P1245" s="47" t="inlineStr">
        <is>
          <t>N/A</t>
        </is>
      </c>
      <c r="Q1245" s="50" t="n">
        <v>15</v>
      </c>
      <c r="R1245" s="47" t="inlineStr">
        <is>
          <t>Lighter than Dionysus Orbit Max 2TB NVMe SSD [DIO-118-08] (15 g vs 23 g); Lower price than Eos Arc 2TB NVMe SSD [EOS-111-03] ($109.99 vs $112.99)</t>
        </is>
      </c>
      <c r="S1245" s="47" t="inlineStr">
        <is>
          <t>gaming, fast boot, content creation</t>
        </is>
      </c>
      <c r="T1245" s="0" t="inlineStr">
        <is>
          <t>in_stock</t>
        </is>
      </c>
      <c r="U1245" s="0" t="n">
        <v>15</v>
      </c>
      <c r="V1245" s="52" t="n">
        <v>115.99</v>
      </c>
      <c r="W1245" s="0" t="inlineStr">
        <is>
          <t>2026-08-09</t>
        </is>
      </c>
      <c r="X1245" s="0" t="inlineStr">
        <is>
          <t>N/A</t>
        </is>
      </c>
      <c r="Y1245" s="0" t="inlineStr">
        <is>
          <t>N/A</t>
        </is>
      </c>
      <c r="Z1245" s="0" t="inlineStr">
        <is>
          <t>N/A</t>
        </is>
      </c>
      <c r="AA1245" s="0" t="inlineStr">
        <is>
          <t>N/A</t>
        </is>
      </c>
    </row>
    <row r="1246" ht="15.75" customHeight="1" s="51">
      <c r="A1246" s="47" t="inlineStr">
        <is>
          <t>EUC-124-04</t>
        </is>
      </c>
      <c r="B1246" s="47" t="inlineStr">
        <is>
          <t>Eucleia</t>
        </is>
      </c>
      <c r="C1246" s="47" t="inlineStr">
        <is>
          <t>Computer Hardware</t>
        </is>
      </c>
      <c r="D1246" s="47" t="inlineStr">
        <is>
          <t>Cooling</t>
        </is>
      </c>
      <c r="E1246" s="48" t="inlineStr">
        <is>
          <t>Eucleia Onyx Ultra 360mm AIO CPU Cooler</t>
        </is>
      </c>
      <c r="F1246" s="49" t="n">
        <v>119.99</v>
      </c>
      <c r="G1246" s="47" t="inlineStr">
        <is>
          <t>the Onyx Ultra; Eucleia Onyx Ultra; Eucleiia Onyx Ultra; Onyx Ultra cooling</t>
        </is>
      </c>
      <c r="H1246" s="47" t="inlineStr">
        <is>
          <t>5 year limited</t>
        </is>
      </c>
      <c r="I1246" s="47" t="inlineStr">
        <is>
          <t>FCC, CE, RoHS</t>
        </is>
      </c>
      <c r="J1246" s="47" t="inlineStr">
        <is>
          <t>N/A</t>
        </is>
      </c>
      <c r="K1246" s="47" t="inlineStr">
        <is>
          <t>N/A</t>
        </is>
      </c>
      <c r="L1246" s="47" t="inlineStr">
        <is>
          <t>N/A</t>
        </is>
      </c>
      <c r="M1246" s="47" t="inlineStr">
        <is>
          <t>N/A</t>
        </is>
      </c>
      <c r="N1246" s="47" t="inlineStr">
        <is>
          <t>3x 4-pin PWM fans, 3-pin pump header, ARGB 5V; LGA1700/LGA1851/AM5 mounts</t>
        </is>
      </c>
      <c r="O1246" s="47" t="inlineStr">
        <is>
          <t>N/A</t>
        </is>
      </c>
      <c r="P1246" s="47" t="inlineStr">
        <is>
          <t>N/A</t>
        </is>
      </c>
      <c r="Q1246" s="50" t="n">
        <v>1938</v>
      </c>
      <c r="R1246" s="47" t="inlineStr">
        <is>
          <t>Lower price than Hestia Nimbus 360mm AIO CPU Cooler [HES-116-07] ($119.99 vs $210.99); Lighter than Bia Echo Max 360mm AIO CPU Cooler [BIA-107-08] (1,938 g vs 2,006 g)</t>
        </is>
      </c>
      <c r="S1246" s="47" t="inlineStr">
        <is>
          <t>overclocking, gaming, quiet builds</t>
        </is>
      </c>
      <c r="T1246" s="0" t="inlineStr">
        <is>
          <t>in_stock</t>
        </is>
      </c>
      <c r="U1246" s="0" t="n">
        <v>15</v>
      </c>
      <c r="V1246" s="52" t="n">
        <v>124.99</v>
      </c>
      <c r="W1246" s="0" t="inlineStr">
        <is>
          <t>2026-09-22</t>
        </is>
      </c>
      <c r="X1246" s="0" t="inlineStr">
        <is>
          <t>N/A</t>
        </is>
      </c>
      <c r="Y1246" s="0" t="inlineStr">
        <is>
          <t>N/A</t>
        </is>
      </c>
      <c r="Z1246" s="0" t="inlineStr">
        <is>
          <t>N/A</t>
        </is>
      </c>
      <c r="AA1246" s="0" t="inlineStr">
        <is>
          <t>N/A</t>
        </is>
      </c>
    </row>
    <row r="1247" ht="15.75" customHeight="1" s="51">
      <c r="A1247" s="47" t="inlineStr">
        <is>
          <t>EUC-124-05</t>
        </is>
      </c>
      <c r="B1247" s="47" t="inlineStr">
        <is>
          <t>Eucleia</t>
        </is>
      </c>
      <c r="C1247" s="47" t="inlineStr">
        <is>
          <t>Computer Hardware</t>
        </is>
      </c>
      <c r="D1247" s="47" t="inlineStr">
        <is>
          <t>Storage</t>
        </is>
      </c>
      <c r="E1247" s="48" t="inlineStr">
        <is>
          <t>Eucleia Vibe SE 4TB External Hard Drive</t>
        </is>
      </c>
      <c r="F1247" s="49" t="n">
        <v>151.99</v>
      </c>
      <c r="G1247" s="47" t="inlineStr">
        <is>
          <t>the Vibe SE; Eucleia Vibe SE; Euclleia Vibe SE; Vibe SE storage</t>
        </is>
      </c>
      <c r="H1247" s="47" t="inlineStr">
        <is>
          <t>2 year limited</t>
        </is>
      </c>
      <c r="I1247" s="47" t="inlineStr">
        <is>
          <t>FCC, CE, RoHS, USB-IF Certified</t>
        </is>
      </c>
      <c r="J1247" s="47" t="inlineStr">
        <is>
          <t>N/A</t>
        </is>
      </c>
      <c r="K1247" s="47" t="inlineStr">
        <is>
          <t>N/A</t>
        </is>
      </c>
      <c r="L1247" s="47" t="inlineStr">
        <is>
          <t>N/A</t>
        </is>
      </c>
      <c r="M1247" s="47" t="inlineStr">
        <is>
          <t>N/A</t>
        </is>
      </c>
      <c r="N1247" s="47" t="inlineStr">
        <is>
          <t>USB-C (USB 3.2 Gen 1)</t>
        </is>
      </c>
      <c r="O1247" s="47" t="inlineStr">
        <is>
          <t>N/A</t>
        </is>
      </c>
      <c r="P1247" s="47" t="inlineStr">
        <is>
          <t>N/A</t>
        </is>
      </c>
      <c r="Q1247" s="50" t="n">
        <v>202</v>
      </c>
      <c r="R1247" s="47" t="inlineStr">
        <is>
          <t>Lighter than Atlas Aria Pro 4TB External Hard Drive [ATL-122-05] (202 g vs 236 g); Lower price than Palaemon Arc Air 4TB External Hard Drive [PAL-127-06] ($151.99 vs $198.99)</t>
        </is>
      </c>
      <c r="S1247" s="47" t="inlineStr">
        <is>
          <t>backup, media storage</t>
        </is>
      </c>
      <c r="T1247" s="0" t="inlineStr">
        <is>
          <t>in_stock</t>
        </is>
      </c>
      <c r="U1247" s="0" t="n">
        <v>15</v>
      </c>
      <c r="V1247" s="52" t="n">
        <v>172.99</v>
      </c>
      <c r="W1247" s="0" t="inlineStr">
        <is>
          <t>2026-09-04</t>
        </is>
      </c>
      <c r="X1247" s="0" t="inlineStr">
        <is>
          <t>N/A</t>
        </is>
      </c>
      <c r="Y1247" s="0" t="inlineStr">
        <is>
          <t>N/A</t>
        </is>
      </c>
      <c r="Z1247" s="0" t="inlineStr">
        <is>
          <t>N/A</t>
        </is>
      </c>
      <c r="AA1247" s="0" t="inlineStr">
        <is>
          <t>N/A</t>
        </is>
      </c>
    </row>
    <row r="1248" ht="15.75" customHeight="1" s="51">
      <c r="A1248" s="47" t="inlineStr">
        <is>
          <t>EUC-124-06</t>
        </is>
      </c>
      <c r="B1248" s="47" t="inlineStr">
        <is>
          <t>Eucleia</t>
        </is>
      </c>
      <c r="C1248" s="47" t="inlineStr">
        <is>
          <t>Computer Hardware</t>
        </is>
      </c>
      <c r="D1248" s="47" t="inlineStr">
        <is>
          <t>Processor</t>
        </is>
      </c>
      <c r="E1248" s="48" t="inlineStr">
        <is>
          <t>Eucleia Quanta Lite Desktop CPU</t>
        </is>
      </c>
      <c r="F1248" s="49" t="n">
        <v>174.99</v>
      </c>
      <c r="G1248" s="47" t="inlineStr">
        <is>
          <t>the Quanta Lite; Eucleia Quanta Lite; Eucleeia Quanta Lite; Quanta Lite processor</t>
        </is>
      </c>
      <c r="H1248" s="47" t="inlineStr">
        <is>
          <t>3 year limited</t>
        </is>
      </c>
      <c r="I1248" s="47" t="inlineStr">
        <is>
          <t>FCC, CE, RoHS</t>
        </is>
      </c>
      <c r="J1248" s="47" t="inlineStr">
        <is>
          <t>Eucleia Quanta 6-core / 12-thread, up to 4.7 GHz</t>
        </is>
      </c>
      <c r="K1248" s="47" t="inlineStr">
        <is>
          <t>None (discrete GPU required)</t>
        </is>
      </c>
      <c r="L1248" s="47" t="inlineStr">
        <is>
          <t>N/A</t>
        </is>
      </c>
      <c r="M1248" s="47" t="inlineStr">
        <is>
          <t>N/A</t>
        </is>
      </c>
      <c r="N1248" s="47" t="inlineStr">
        <is>
          <t>N/A</t>
        </is>
      </c>
      <c r="O1248" s="47" t="inlineStr">
        <is>
          <t>N/A</t>
        </is>
      </c>
      <c r="P1248" s="47" t="inlineStr">
        <is>
          <t>N/A</t>
        </is>
      </c>
      <c r="Q1248" s="50" t="n">
        <v>51</v>
      </c>
      <c r="R1248" s="47" t="inlineStr">
        <is>
          <t>Lower price than Hyperion Volt Desktop CPU [HYP-123-09] ($174.99 vs $477.99); Lighter than Eirene Rift Lite Desktop CPU [EIR-112-09] (51 g vs 56 g)</t>
        </is>
      </c>
      <c r="S1248" s="47" t="inlineStr">
        <is>
          <t>gaming, content creation, workstation builds</t>
        </is>
      </c>
      <c r="T1248" s="0" t="inlineStr">
        <is>
          <t>in_stock</t>
        </is>
      </c>
      <c r="U1248" s="0" t="n">
        <v>15</v>
      </c>
      <c r="V1248" s="52" t="n">
        <v>187.99</v>
      </c>
      <c r="W1248" s="0" t="inlineStr">
        <is>
          <t>2026-09-16</t>
        </is>
      </c>
      <c r="X1248" s="0" t="inlineStr">
        <is>
          <t>N/A</t>
        </is>
      </c>
      <c r="Y1248" s="0" t="inlineStr">
        <is>
          <t>N/A</t>
        </is>
      </c>
      <c r="Z1248" s="0" t="inlineStr">
        <is>
          <t>N/A</t>
        </is>
      </c>
      <c r="AA1248" s="0" t="inlineStr">
        <is>
          <t>N/A</t>
        </is>
      </c>
    </row>
    <row r="1249" ht="15.75" customHeight="1" s="51">
      <c r="A1249" s="47" t="inlineStr">
        <is>
          <t>EUC-124-07</t>
        </is>
      </c>
      <c r="B1249" s="47" t="inlineStr">
        <is>
          <t>Eucleia</t>
        </is>
      </c>
      <c r="C1249" s="47" t="inlineStr">
        <is>
          <t>Computer Hardware</t>
        </is>
      </c>
      <c r="D1249" s="47" t="inlineStr">
        <is>
          <t>Power Supply</t>
        </is>
      </c>
      <c r="E1249" s="48" t="inlineStr">
        <is>
          <t>Eucleia Aria Pro 850W Power Supply</t>
        </is>
      </c>
      <c r="F1249" s="49" t="n">
        <v>205.99</v>
      </c>
      <c r="G1249" s="47" t="inlineStr">
        <is>
          <t>the Aria Pro; Eucleia Aria Pro; Euclei Aria Pro; Aria Pro power supply</t>
        </is>
      </c>
      <c r="H1249" s="47" t="inlineStr">
        <is>
          <t>10 year limited</t>
        </is>
      </c>
      <c r="I1249" s="47" t="inlineStr">
        <is>
          <t>FCC, CE, RoHS, 80 PLUS Titanium, UL Listed</t>
        </is>
      </c>
      <c r="J1249" s="47" t="inlineStr">
        <is>
          <t>N/A</t>
        </is>
      </c>
      <c r="K1249" s="47" t="inlineStr">
        <is>
          <t>N/A</t>
        </is>
      </c>
      <c r="L1249" s="47" t="inlineStr">
        <is>
          <t>N/A</t>
        </is>
      </c>
      <c r="M1249" s="47" t="inlineStr">
        <is>
          <t>N/A</t>
        </is>
      </c>
      <c r="N1249" s="47" t="inlineStr">
        <is>
          <t>ATX 3.1, native 12V-2x6 (600W) connector, fully modular</t>
        </is>
      </c>
      <c r="O1249" s="47" t="inlineStr">
        <is>
          <t>N/A</t>
        </is>
      </c>
      <c r="P1249" s="47" t="inlineStr">
        <is>
          <t>N/A</t>
        </is>
      </c>
      <c r="Q1249" s="50" t="n">
        <v>1848</v>
      </c>
      <c r="R1249" s="47" t="inlineStr">
        <is>
          <t>Lower price than Artemis Spark Ultra 850W Power Supply [ART-150-07] ($205.99 vs $218.99); Lighter than Thalassa Apex Air 850W Power Supply [THA-126-07] (1,848 g vs 1,995 g)</t>
        </is>
      </c>
      <c r="S1249" s="47" t="inlineStr">
        <is>
          <t>PC building, high-end gaming</t>
        </is>
      </c>
      <c r="T1249" s="0" t="inlineStr">
        <is>
          <t>in_stock</t>
        </is>
      </c>
      <c r="U1249" s="0" t="n">
        <v>15</v>
      </c>
      <c r="V1249" s="52" t="n">
        <v>236.99</v>
      </c>
      <c r="W1249" s="0" t="inlineStr">
        <is>
          <t>2026-09-11</t>
        </is>
      </c>
      <c r="X1249" s="0" t="inlineStr">
        <is>
          <t>N/A</t>
        </is>
      </c>
      <c r="Y1249" s="0" t="inlineStr">
        <is>
          <t>N/A</t>
        </is>
      </c>
      <c r="Z1249" s="0" t="inlineStr">
        <is>
          <t>N/A</t>
        </is>
      </c>
      <c r="AA1249" s="0" t="inlineStr">
        <is>
          <t>N/A</t>
        </is>
      </c>
    </row>
    <row r="1250" ht="15.75" customHeight="1" s="51">
      <c r="A1250" s="47" t="inlineStr">
        <is>
          <t>EUC-124-08</t>
        </is>
      </c>
      <c r="B1250" s="47" t="inlineStr">
        <is>
          <t>Eucleia</t>
        </is>
      </c>
      <c r="C1250" s="47" t="inlineStr">
        <is>
          <t>Computer Hardware</t>
        </is>
      </c>
      <c r="D1250" s="47" t="inlineStr">
        <is>
          <t>Memory</t>
        </is>
      </c>
      <c r="E1250" s="48" t="inlineStr">
        <is>
          <t>Eucleia Volt 32GB DDR5 RAM Kit</t>
        </is>
      </c>
      <c r="F1250" s="49" t="n">
        <v>211.99</v>
      </c>
      <c r="G1250" s="47" t="inlineStr">
        <is>
          <t>the Volt; Eucleia Volt; Euccleia Volt; Volt memory</t>
        </is>
      </c>
      <c r="H1250" s="47" t="inlineStr">
        <is>
          <t>Limited lifetime</t>
        </is>
      </c>
      <c r="I1250" s="47" t="inlineStr">
        <is>
          <t>FCC, CE, RoHS</t>
        </is>
      </c>
      <c r="J1250" s="47" t="inlineStr">
        <is>
          <t>N/A</t>
        </is>
      </c>
      <c r="K1250" s="47" t="inlineStr">
        <is>
          <t>N/A</t>
        </is>
      </c>
      <c r="L1250" s="47" t="inlineStr">
        <is>
          <t>N/A</t>
        </is>
      </c>
      <c r="M1250" s="47" t="inlineStr">
        <is>
          <t>N/A</t>
        </is>
      </c>
      <c r="N1250" s="47" t="inlineStr">
        <is>
          <t>2x 16GB DDR5 288-pin DIMM, 6400 MT/s</t>
        </is>
      </c>
      <c r="O1250" s="47" t="inlineStr">
        <is>
          <t>N/A</t>
        </is>
      </c>
      <c r="P1250" s="47" t="inlineStr">
        <is>
          <t>N/A</t>
        </is>
      </c>
      <c r="Q1250" s="50" t="n">
        <v>90</v>
      </c>
      <c r="R1250" s="47" t="inlineStr">
        <is>
          <t>Lower price than Enyo Onyx Lite 32GB DDR5 RAM Kit [ENY-114-05] ($211.99 vs $221.99)</t>
        </is>
      </c>
      <c r="S1250" s="47" t="inlineStr">
        <is>
          <t>gaming, multitasking, PC building</t>
        </is>
      </c>
      <c r="T1250" s="0" t="inlineStr">
        <is>
          <t>in_stock</t>
        </is>
      </c>
      <c r="U1250" s="0" t="n">
        <v>15</v>
      </c>
      <c r="V1250" s="52" t="n">
        <v>238.99</v>
      </c>
      <c r="W1250" s="0" t="inlineStr">
        <is>
          <t>2026-09-12</t>
        </is>
      </c>
      <c r="X1250" s="0" t="inlineStr">
        <is>
          <t>N/A</t>
        </is>
      </c>
      <c r="Y1250" s="0" t="inlineStr">
        <is>
          <t>N/A</t>
        </is>
      </c>
      <c r="Z1250" s="0" t="inlineStr">
        <is>
          <t>N/A</t>
        </is>
      </c>
      <c r="AA1250" s="0" t="inlineStr">
        <is>
          <t>N/A</t>
        </is>
      </c>
    </row>
    <row r="1251" ht="15.75" customHeight="1" s="51">
      <c r="A1251" s="47" t="inlineStr">
        <is>
          <t>EUC-124-09</t>
        </is>
      </c>
      <c r="B1251" s="47" t="inlineStr">
        <is>
          <t>Eucleia</t>
        </is>
      </c>
      <c r="C1251" s="47" t="inlineStr">
        <is>
          <t>Computer Hardware</t>
        </is>
      </c>
      <c r="D1251" s="47" t="inlineStr">
        <is>
          <t>Monitor</t>
        </is>
      </c>
      <c r="E1251" s="48" t="inlineStr">
        <is>
          <t>Eucleia Core X 27" 1440p Monitor</t>
        </is>
      </c>
      <c r="F1251" s="49" t="n">
        <v>252.99</v>
      </c>
      <c r="G1251" s="47" t="inlineStr">
        <is>
          <t>the Core X; Eucleia Core X; Eucliea Core X; Core X monitor</t>
        </is>
      </c>
      <c r="H1251" s="47" t="inlineStr">
        <is>
          <t>3 year limited</t>
        </is>
      </c>
      <c r="I1251" s="47" t="inlineStr">
        <is>
          <t>FCC, CE, RoHS, Energy Star, TUV Rheinland Low Blue Light, VESA DisplayHDR 400</t>
        </is>
      </c>
      <c r="J1251" s="47" t="inlineStr">
        <is>
          <t>N/A</t>
        </is>
      </c>
      <c r="K1251" s="47" t="inlineStr">
        <is>
          <t>N/A</t>
        </is>
      </c>
      <c r="L1251" s="47" t="inlineStr">
        <is>
          <t>VA, 144Hz</t>
        </is>
      </c>
      <c r="M1251" s="47" t="inlineStr">
        <is>
          <t>2560x1440</t>
        </is>
      </c>
      <c r="N1251" s="47" t="inlineStr">
        <is>
          <t>2x HDMI 2.1, 1x DisplayPort 1.4</t>
        </is>
      </c>
      <c r="O1251" s="47" t="inlineStr">
        <is>
          <t>N/A</t>
        </is>
      </c>
      <c r="P1251" s="47" t="inlineStr">
        <is>
          <t>N/A</t>
        </is>
      </c>
      <c r="Q1251" s="50" t="n">
        <v>6972</v>
      </c>
      <c r="R1251" s="47" t="inlineStr">
        <is>
          <t>Lower price than Phanes Flux Ultra 27" 1440p Monitor [PHA-138-09] ($252.99 vs $566.99); Lighter than Kairos Titan Ultra 27" 1440p Monitor [KAI-142-10] (6,972 g vs 7,013 g)</t>
        </is>
      </c>
      <c r="S1251" s="47" t="inlineStr">
        <is>
          <t>gaming, office, content creation</t>
        </is>
      </c>
      <c r="T1251" s="0" t="inlineStr">
        <is>
          <t>in_stock</t>
        </is>
      </c>
      <c r="U1251" s="0" t="n">
        <v>15</v>
      </c>
      <c r="V1251" s="52" t="n">
        <v>267.99</v>
      </c>
      <c r="W1251" s="0" t="inlineStr">
        <is>
          <t>2026-08-09</t>
        </is>
      </c>
      <c r="X1251" s="0" t="inlineStr">
        <is>
          <t>N/A</t>
        </is>
      </c>
      <c r="Y1251" s="0" t="inlineStr">
        <is>
          <t>N/A</t>
        </is>
      </c>
      <c r="Z1251" s="0" t="inlineStr">
        <is>
          <t>N/A</t>
        </is>
      </c>
      <c r="AA1251" s="0" t="inlineStr">
        <is>
          <t>N/A</t>
        </is>
      </c>
    </row>
    <row r="1252" ht="15.75" customHeight="1" s="51">
      <c r="A1252" s="47" t="inlineStr">
        <is>
          <t>EUC-124-10</t>
        </is>
      </c>
      <c r="B1252" s="47" t="inlineStr">
        <is>
          <t>Eucleia</t>
        </is>
      </c>
      <c r="C1252" s="47" t="inlineStr">
        <is>
          <t>Computer Hardware</t>
        </is>
      </c>
      <c r="D1252" s="47" t="inlineStr">
        <is>
          <t>Graphics Card</t>
        </is>
      </c>
      <c r="E1252" s="48" t="inlineStr">
        <is>
          <t>Eucleia Nimbus Pro Graphics Card</t>
        </is>
      </c>
      <c r="F1252" s="49" t="n">
        <v>1993.99</v>
      </c>
      <c r="G1252" s="47" t="inlineStr">
        <is>
          <t>the Nimbus Pro; Eucleia Nimbus Pro; Eucleeia Nimbus Pro; Nimbus Pro graphics card</t>
        </is>
      </c>
      <c r="H1252" s="47" t="inlineStr">
        <is>
          <t>3 year limited</t>
        </is>
      </c>
      <c r="I1252" s="47" t="inlineStr">
        <is>
          <t>FCC, CE, RoHS</t>
        </is>
      </c>
      <c r="J1252" s="47" t="inlineStr">
        <is>
          <t>N/A</t>
        </is>
      </c>
      <c r="K1252" s="47" t="inlineStr">
        <is>
          <t>NVIDIA GeForce RTX 4090 24GB (Eucleia Nimbus edition)</t>
        </is>
      </c>
      <c r="L1252" s="47" t="inlineStr">
        <is>
          <t>N/A</t>
        </is>
      </c>
      <c r="M1252" s="47" t="inlineStr">
        <is>
          <t>N/A</t>
        </is>
      </c>
      <c r="N1252" s="47" t="inlineStr">
        <is>
          <t>3x DisplayPort 1.4a, 1x HDMI 2.1a</t>
        </is>
      </c>
      <c r="O1252" s="47" t="inlineStr">
        <is>
          <t>N/A</t>
        </is>
      </c>
      <c r="P1252" s="47" t="inlineStr">
        <is>
          <t>N/A</t>
        </is>
      </c>
      <c r="Q1252" s="50" t="n">
        <v>832</v>
      </c>
      <c r="R1252" s="47" t="inlineStr">
        <is>
          <t>Lighter than Nike Arc Lite Graphics Card [NIK-132-10] (832 g vs 2,071 g)</t>
        </is>
      </c>
      <c r="S1252" s="47" t="inlineStr">
        <is>
          <t>gaming, 3D rendering, AI workloads</t>
        </is>
      </c>
      <c r="T1252" s="0" t="inlineStr">
        <is>
          <t>in_stock</t>
        </is>
      </c>
      <c r="U1252" s="0" t="n">
        <v>15</v>
      </c>
      <c r="V1252" s="52" t="n">
        <v>2205.99</v>
      </c>
      <c r="W1252" s="0" t="inlineStr">
        <is>
          <t>2026-09-07</t>
        </is>
      </c>
      <c r="X1252" s="0" t="inlineStr">
        <is>
          <t>N/A</t>
        </is>
      </c>
      <c r="Y1252" s="0" t="inlineStr">
        <is>
          <t>N/A</t>
        </is>
      </c>
      <c r="Z1252" s="0" t="inlineStr">
        <is>
          <t>N/A</t>
        </is>
      </c>
      <c r="AA1252" s="0" t="inlineStr">
        <is>
          <t>N/A</t>
        </is>
      </c>
    </row>
    <row r="1253" ht="15.75" customHeight="1" s="51">
      <c r="A1253" s="47" t="inlineStr">
        <is>
          <t>GAI-125-01</t>
        </is>
      </c>
      <c r="B1253" s="47" t="inlineStr">
        <is>
          <t>Gaia</t>
        </is>
      </c>
      <c r="C1253" s="47" t="inlineStr">
        <is>
          <t>Computer Hardware</t>
        </is>
      </c>
      <c r="D1253" s="47" t="inlineStr">
        <is>
          <t>Mouse</t>
        </is>
      </c>
      <c r="E1253" s="48" t="inlineStr">
        <is>
          <t>Gaia Axis X Gaming Mouse</t>
        </is>
      </c>
      <c r="F1253" s="49" t="n">
        <v>63.99</v>
      </c>
      <c r="G1253" s="47" t="inlineStr">
        <is>
          <t>the Axis X; Gaia Axis X; Gaiia Axis X; Axis X mouse</t>
        </is>
      </c>
      <c r="H1253" s="47" t="inlineStr">
        <is>
          <t>2 year limited</t>
        </is>
      </c>
      <c r="I1253" s="47" t="inlineStr">
        <is>
          <t>FCC, CE, RoHS</t>
        </is>
      </c>
      <c r="J1253" s="47" t="inlineStr">
        <is>
          <t>Sensor: 26K DPI optical</t>
        </is>
      </c>
      <c r="K1253" s="47" t="inlineStr">
        <is>
          <t>N/A</t>
        </is>
      </c>
      <c r="L1253" s="47" t="inlineStr">
        <is>
          <t>N/A</t>
        </is>
      </c>
      <c r="M1253" s="47" t="inlineStr">
        <is>
          <t>N/A</t>
        </is>
      </c>
      <c r="N1253" s="47" t="inlineStr">
        <is>
          <t>USB-C wired</t>
        </is>
      </c>
      <c r="O1253" s="47" t="inlineStr">
        <is>
          <t>N/A</t>
        </is>
      </c>
      <c r="P1253" s="47" t="inlineStr">
        <is>
          <t>N/A</t>
        </is>
      </c>
      <c r="Q1253" s="50" t="n">
        <v>84</v>
      </c>
      <c r="R1253" s="47" t="inlineStr">
        <is>
          <t>Lower price than Euterpe Axis Ultra Gaming Mouse [EUT-120-03] ($63.99 vs $116.99); Lighter than Hermes Wave Gaming Mouse [HER-103-01] (84 g vs 85 g)</t>
        </is>
      </c>
      <c r="S1253" s="47" t="inlineStr">
        <is>
          <t>gaming, esports</t>
        </is>
      </c>
      <c r="T1253" s="0" t="inlineStr">
        <is>
          <t>in_stock</t>
        </is>
      </c>
      <c r="U1253" s="0" t="n">
        <v>60</v>
      </c>
      <c r="V1253" s="52" t="n">
        <v>73.98999999999999</v>
      </c>
      <c r="W1253" s="0" t="inlineStr">
        <is>
          <t>2026-08-28</t>
        </is>
      </c>
      <c r="X1253" s="0" t="inlineStr">
        <is>
          <t>N/A</t>
        </is>
      </c>
      <c r="Y1253" s="0" t="inlineStr">
        <is>
          <t>N/A</t>
        </is>
      </c>
      <c r="Z1253" s="0" t="inlineStr">
        <is>
          <t>N/A</t>
        </is>
      </c>
      <c r="AA1253" s="0" t="inlineStr">
        <is>
          <t>N/A</t>
        </is>
      </c>
    </row>
    <row r="1254" ht="15.75" customHeight="1" s="51">
      <c r="A1254" s="47" t="inlineStr">
        <is>
          <t>GAI-125-02</t>
        </is>
      </c>
      <c r="B1254" s="47" t="inlineStr">
        <is>
          <t>Gaia</t>
        </is>
      </c>
      <c r="C1254" s="47" t="inlineStr">
        <is>
          <t>Computer Hardware</t>
        </is>
      </c>
      <c r="D1254" s="47" t="inlineStr">
        <is>
          <t>Keyboard</t>
        </is>
      </c>
      <c r="E1254" s="48" t="inlineStr">
        <is>
          <t>Gaia Blaze Lite Mechanical Keyboard</t>
        </is>
      </c>
      <c r="F1254" s="49" t="n">
        <v>92.98999999999999</v>
      </c>
      <c r="G1254" s="47" t="inlineStr">
        <is>
          <t>the Blaze Lite; Gaia Blaze Lite; Gaaia Blaze Lite; Blaze Lite keyboard</t>
        </is>
      </c>
      <c r="H1254" s="47" t="inlineStr">
        <is>
          <t>2 year limited</t>
        </is>
      </c>
      <c r="I1254" s="47" t="inlineStr">
        <is>
          <t>FCC, CE, RoHS</t>
        </is>
      </c>
      <c r="J1254" s="47" t="inlineStr">
        <is>
          <t>N/A</t>
        </is>
      </c>
      <c r="K1254" s="47" t="inlineStr">
        <is>
          <t>N/A</t>
        </is>
      </c>
      <c r="L1254" s="47" t="inlineStr">
        <is>
          <t>N/A</t>
        </is>
      </c>
      <c r="M1254" s="47" t="inlineStr">
        <is>
          <t>N/A</t>
        </is>
      </c>
      <c r="N1254" s="47" t="inlineStr">
        <is>
          <t>USB-C wired</t>
        </is>
      </c>
      <c r="O1254" s="47" t="inlineStr">
        <is>
          <t>N/A</t>
        </is>
      </c>
      <c r="P1254" s="47" t="inlineStr">
        <is>
          <t>N/A</t>
        </is>
      </c>
      <c r="Q1254" s="50" t="n">
        <v>968</v>
      </c>
      <c r="R1254" s="47" t="inlineStr">
        <is>
          <t>Lower price than Ceto Aria Mechanical Keyboard [CET-131-08] ($92.99 vs $213.99); Lighter than Artemis Volt Plus Mechanical Keyboard [ART-150-02] (968 g vs 993 g)</t>
        </is>
      </c>
      <c r="S1254" s="47" t="inlineStr">
        <is>
          <t>gaming, typing, office</t>
        </is>
      </c>
      <c r="T1254" s="0" t="inlineStr">
        <is>
          <t>in_stock</t>
        </is>
      </c>
      <c r="U1254" s="0" t="n">
        <v>60</v>
      </c>
      <c r="V1254" s="52" t="n">
        <v>98.98999999999999</v>
      </c>
      <c r="W1254" s="0" t="inlineStr">
        <is>
          <t>2026-08-02</t>
        </is>
      </c>
      <c r="X1254" s="0" t="inlineStr">
        <is>
          <t>N/A</t>
        </is>
      </c>
      <c r="Y1254" s="0" t="inlineStr">
        <is>
          <t>N/A</t>
        </is>
      </c>
      <c r="Z1254" s="0" t="inlineStr">
        <is>
          <t>N/A</t>
        </is>
      </c>
      <c r="AA1254" s="0" t="inlineStr">
        <is>
          <t>N/A</t>
        </is>
      </c>
    </row>
    <row r="1255" ht="15.75" customHeight="1" s="51">
      <c r="A1255" s="47" t="inlineStr">
        <is>
          <t>GAI-125-03</t>
        </is>
      </c>
      <c r="B1255" s="47" t="inlineStr">
        <is>
          <t>Gaia</t>
        </is>
      </c>
      <c r="C1255" s="47" t="inlineStr">
        <is>
          <t>Computer Hardware</t>
        </is>
      </c>
      <c r="D1255" s="47" t="inlineStr">
        <is>
          <t>Storage</t>
        </is>
      </c>
      <c r="E1255" s="48" t="inlineStr">
        <is>
          <t>Gaia Crest Pro 4TB External Hard Drive</t>
        </is>
      </c>
      <c r="F1255" s="49" t="n">
        <v>141.99</v>
      </c>
      <c r="G1255" s="47" t="inlineStr">
        <is>
          <t>the Crest Pro; Gaia Crest Pro; Giaa Crest Pro; Crest Pro storage</t>
        </is>
      </c>
      <c r="H1255" s="47" t="inlineStr">
        <is>
          <t>2 year limited</t>
        </is>
      </c>
      <c r="I1255" s="47" t="inlineStr">
        <is>
          <t>FCC, CE, RoHS, USB-IF Certified</t>
        </is>
      </c>
      <c r="J1255" s="47" t="inlineStr">
        <is>
          <t>N/A</t>
        </is>
      </c>
      <c r="K1255" s="47" t="inlineStr">
        <is>
          <t>N/A</t>
        </is>
      </c>
      <c r="L1255" s="47" t="inlineStr">
        <is>
          <t>N/A</t>
        </is>
      </c>
      <c r="M1255" s="47" t="inlineStr">
        <is>
          <t>N/A</t>
        </is>
      </c>
      <c r="N1255" s="47" t="inlineStr">
        <is>
          <t>USB-C (USB 3.2 Gen 1)</t>
        </is>
      </c>
      <c r="O1255" s="47" t="inlineStr">
        <is>
          <t>N/A</t>
        </is>
      </c>
      <c r="P1255" s="47" t="inlineStr">
        <is>
          <t>N/A</t>
        </is>
      </c>
      <c r="Q1255" s="50" t="n">
        <v>222</v>
      </c>
      <c r="R1255" s="47" t="inlineStr">
        <is>
          <t>Lower price than Eos Pulse Pro 4TB External Hard Drive [EOS-111-05] ($141.99 vs $175.99); Lighter than Aidos Orbit 4TB External Hard Drive [AID-135-05] (222 g vs 250 g)</t>
        </is>
      </c>
      <c r="S1255" s="47" t="inlineStr">
        <is>
          <t>backup, media storage</t>
        </is>
      </c>
      <c r="T1255" s="0" t="inlineStr">
        <is>
          <t>low_stock</t>
        </is>
      </c>
      <c r="U1255" s="0" t="n">
        <v>60</v>
      </c>
      <c r="V1255" s="52" t="n">
        <v>151.99</v>
      </c>
      <c r="W1255" s="0" t="inlineStr">
        <is>
          <t>2026-08-17</t>
        </is>
      </c>
      <c r="X1255" s="0" t="inlineStr">
        <is>
          <t>N/A</t>
        </is>
      </c>
      <c r="Y1255" s="0" t="inlineStr">
        <is>
          <t>N/A</t>
        </is>
      </c>
      <c r="Z1255" s="0" t="inlineStr">
        <is>
          <t>N/A</t>
        </is>
      </c>
      <c r="AA1255" s="0" t="inlineStr">
        <is>
          <t>N/A</t>
        </is>
      </c>
    </row>
    <row r="1256" ht="15.75" customHeight="1" s="51">
      <c r="A1256" s="47" t="inlineStr">
        <is>
          <t>GAI-125-04</t>
        </is>
      </c>
      <c r="B1256" s="47" t="inlineStr">
        <is>
          <t>Gaia</t>
        </is>
      </c>
      <c r="C1256" s="47" t="inlineStr">
        <is>
          <t>Computer Hardware</t>
        </is>
      </c>
      <c r="D1256" s="47" t="inlineStr">
        <is>
          <t>Webcam</t>
        </is>
      </c>
      <c r="E1256" s="48" t="inlineStr">
        <is>
          <t>Gaia Aria X 4K Webcam</t>
        </is>
      </c>
      <c r="F1256" s="49" t="n">
        <v>158.99</v>
      </c>
      <c r="G1256" s="47" t="inlineStr">
        <is>
          <t>the Aria X; Gaia Aria X; Gaiia Aria X; Aria X webcam</t>
        </is>
      </c>
      <c r="H1256" s="47" t="inlineStr">
        <is>
          <t>2 year limited</t>
        </is>
      </c>
      <c r="I1256" s="47" t="inlineStr">
        <is>
          <t>FCC, CE, RoHS, USB-IF Certified</t>
        </is>
      </c>
      <c r="J1256" s="47" t="inlineStr">
        <is>
          <t>N/A</t>
        </is>
      </c>
      <c r="K1256" s="47" t="inlineStr">
        <is>
          <t>N/A</t>
        </is>
      </c>
      <c r="L1256" s="47" t="inlineStr">
        <is>
          <t>N/A</t>
        </is>
      </c>
      <c r="M1256" s="47" t="inlineStr">
        <is>
          <t>3840x2160 @ 30fps, 1080p @ 60fps</t>
        </is>
      </c>
      <c r="N1256" s="47" t="inlineStr">
        <is>
          <t>USB-C (USB 3.0)</t>
        </is>
      </c>
      <c r="O1256" s="47" t="inlineStr">
        <is>
          <t>N/A</t>
        </is>
      </c>
      <c r="P1256" s="47" t="inlineStr">
        <is>
          <t>N/A</t>
        </is>
      </c>
      <c r="Q1256" s="50" t="n">
        <v>136</v>
      </c>
      <c r="R1256" s="47" t="inlineStr">
        <is>
          <t>Lighter than Iris Arc 4K Webcam [IRI-130-05] (136 g vs 155 g); Lower price than Euterpe Zen SE 4K Webcam [EUT-120-04] ($158.99 vs $221.99)</t>
        </is>
      </c>
      <c r="S1256" s="47" t="inlineStr">
        <is>
          <t>video calls, streaming, remote work</t>
        </is>
      </c>
      <c r="T1256" s="0" t="inlineStr">
        <is>
          <t>in_stock</t>
        </is>
      </c>
      <c r="U1256" s="0" t="n">
        <v>60</v>
      </c>
      <c r="V1256" s="52" t="n">
        <v>180.99</v>
      </c>
      <c r="W1256" s="0" t="inlineStr">
        <is>
          <t>2026-08-02</t>
        </is>
      </c>
      <c r="X1256" s="0" t="inlineStr">
        <is>
          <t>N/A</t>
        </is>
      </c>
      <c r="Y1256" s="0" t="inlineStr">
        <is>
          <t>N/A</t>
        </is>
      </c>
      <c r="Z1256" s="0" t="inlineStr">
        <is>
          <t>N/A</t>
        </is>
      </c>
      <c r="AA1256" s="0" t="inlineStr">
        <is>
          <t>N/A</t>
        </is>
      </c>
    </row>
    <row r="1257" ht="15.75" customHeight="1" s="51">
      <c r="A1257" s="47" t="inlineStr">
        <is>
          <t>GAI-125-05</t>
        </is>
      </c>
      <c r="B1257" s="47" t="inlineStr">
        <is>
          <t>Gaia</t>
        </is>
      </c>
      <c r="C1257" s="47" t="inlineStr">
        <is>
          <t>Computer Hardware</t>
        </is>
      </c>
      <c r="D1257" s="47" t="inlineStr">
        <is>
          <t>Storage</t>
        </is>
      </c>
      <c r="E1257" s="48" t="inlineStr">
        <is>
          <t>Gaia Aeon Lite 2TB NVMe SSD</t>
        </is>
      </c>
      <c r="F1257" s="49" t="n">
        <v>173.99</v>
      </c>
      <c r="G1257" s="47" t="inlineStr">
        <is>
          <t>the Aeon Lite; Gaia Aeon Lite; Gaaia Aeon Lite; Aeon Lite storage</t>
        </is>
      </c>
      <c r="H1257" s="47" t="inlineStr">
        <is>
          <t>5 year limited</t>
        </is>
      </c>
      <c r="I1257" s="47" t="inlineStr">
        <is>
          <t>FCC, CE, RoHS</t>
        </is>
      </c>
      <c r="J1257" s="47" t="inlineStr">
        <is>
          <t>Controller: Phison E27T</t>
        </is>
      </c>
      <c r="K1257" s="47" t="inlineStr">
        <is>
          <t>N/A</t>
        </is>
      </c>
      <c r="L1257" s="47" t="inlineStr">
        <is>
          <t>N/A</t>
        </is>
      </c>
      <c r="M1257" s="47" t="inlineStr">
        <is>
          <t>N/A</t>
        </is>
      </c>
      <c r="N1257" s="47" t="inlineStr">
        <is>
          <t>M.2 2280, PCIe 4.0 x4 NVMe</t>
        </is>
      </c>
      <c r="O1257" s="47" t="inlineStr">
        <is>
          <t>N/A</t>
        </is>
      </c>
      <c r="P1257" s="47" t="inlineStr">
        <is>
          <t>N/A</t>
        </is>
      </c>
      <c r="Q1257" s="50" t="n">
        <v>22</v>
      </c>
      <c r="R1257" s="47" t="inlineStr">
        <is>
          <t>Lower price than Hemera Onyx Pro 2TB NVMe SSD [HEM-117-06] ($173.99 vs $189.99); Lighter than Uranus Drift Plus 2TB NVMe SSD [URA-113-06] (22 g vs 29 g)</t>
        </is>
      </c>
      <c r="S1257" s="47" t="inlineStr">
        <is>
          <t>gaming, fast boot, content creation</t>
        </is>
      </c>
      <c r="T1257" s="0" t="inlineStr">
        <is>
          <t>in_stock</t>
        </is>
      </c>
      <c r="U1257" s="0" t="n">
        <v>60</v>
      </c>
      <c r="V1257" s="52" t="n">
        <v>184.99</v>
      </c>
      <c r="W1257" s="0" t="inlineStr">
        <is>
          <t>2026-08-04</t>
        </is>
      </c>
      <c r="X1257" s="0" t="inlineStr">
        <is>
          <t>N/A</t>
        </is>
      </c>
      <c r="Y1257" s="0" t="inlineStr">
        <is>
          <t>N/A</t>
        </is>
      </c>
      <c r="Z1257" s="0" t="inlineStr">
        <is>
          <t>N/A</t>
        </is>
      </c>
      <c r="AA1257" s="0" t="inlineStr">
        <is>
          <t>N/A</t>
        </is>
      </c>
    </row>
    <row r="1258" ht="15.75" customHeight="1" s="51">
      <c r="A1258" s="47" t="inlineStr">
        <is>
          <t>GAI-125-06</t>
        </is>
      </c>
      <c r="B1258" s="47" t="inlineStr">
        <is>
          <t>Gaia</t>
        </is>
      </c>
      <c r="C1258" s="47" t="inlineStr">
        <is>
          <t>Computer Hardware</t>
        </is>
      </c>
      <c r="D1258" s="47" t="inlineStr">
        <is>
          <t>Motherboard</t>
        </is>
      </c>
      <c r="E1258" s="48" t="inlineStr">
        <is>
          <t>Gaia Nimbus X ATX Motherboard</t>
        </is>
      </c>
      <c r="F1258" s="49" t="n">
        <v>201.99</v>
      </c>
      <c r="G1258" s="47" t="inlineStr">
        <is>
          <t>the Nimbus X; Gaia Nimbus X; Gaaia Nimbus X; Nimbus X motherboard</t>
        </is>
      </c>
      <c r="H1258" s="47" t="inlineStr">
        <is>
          <t>3 year limited</t>
        </is>
      </c>
      <c r="I1258" s="47" t="inlineStr">
        <is>
          <t>FCC, CE, RoHS</t>
        </is>
      </c>
      <c r="J1258" s="47" t="inlineStr">
        <is>
          <t>Supports Intel Core 12th-14th Gen (LGA1700)</t>
        </is>
      </c>
      <c r="K1258" s="47" t="inlineStr">
        <is>
          <t>N/A</t>
        </is>
      </c>
      <c r="L1258" s="47" t="inlineStr">
        <is>
          <t>N/A</t>
        </is>
      </c>
      <c r="M1258" s="47" t="inlineStr">
        <is>
          <t>N/A</t>
        </is>
      </c>
      <c r="N1258" s="47" t="inlineStr">
        <is>
          <t>Rear I/O: 1x HDMI, 6x USB-A, 1x USB-C 10Gbps, 2.5GbE, Wi-Fi 6E</t>
        </is>
      </c>
      <c r="O1258" s="47" t="inlineStr">
        <is>
          <t>N/A</t>
        </is>
      </c>
      <c r="P1258" s="47" t="inlineStr">
        <is>
          <t>N/A</t>
        </is>
      </c>
      <c r="Q1258" s="50" t="n">
        <v>1780</v>
      </c>
      <c r="R1258" s="47" t="inlineStr">
        <is>
          <t>Lower price than Phanes Lumen Lite ATX Motherboard [PHA-138-08] ($201.99 vs $255.99); Lighter than Pheme Axis Lite ATX Motherboard [PHE-102-09] (1,780 g vs 1,785 g)</t>
        </is>
      </c>
      <c r="S1258" s="47" t="inlineStr">
        <is>
          <t>PC building, gaming, workstation builds</t>
        </is>
      </c>
      <c r="T1258" s="0" t="inlineStr">
        <is>
          <t>in_stock</t>
        </is>
      </c>
      <c r="U1258" s="0" t="n">
        <v>60</v>
      </c>
      <c r="V1258" s="52" t="n">
        <v>221.99</v>
      </c>
      <c r="W1258" s="0" t="inlineStr">
        <is>
          <t>2026-08-28</t>
        </is>
      </c>
      <c r="X1258" s="0" t="inlineStr">
        <is>
          <t>N/A</t>
        </is>
      </c>
      <c r="Y1258" s="0" t="inlineStr">
        <is>
          <t>N/A</t>
        </is>
      </c>
      <c r="Z1258" s="0" t="inlineStr">
        <is>
          <t>N/A</t>
        </is>
      </c>
      <c r="AA1258" s="0" t="inlineStr">
        <is>
          <t>N/A</t>
        </is>
      </c>
    </row>
    <row r="1259" ht="15.75" customHeight="1" s="51">
      <c r="A1259" s="47" t="inlineStr">
        <is>
          <t>GAI-125-07</t>
        </is>
      </c>
      <c r="B1259" s="47" t="inlineStr">
        <is>
          <t>Gaia</t>
        </is>
      </c>
      <c r="C1259" s="47" t="inlineStr">
        <is>
          <t>Computer Hardware</t>
        </is>
      </c>
      <c r="D1259" s="47" t="inlineStr">
        <is>
          <t>Docking Station</t>
        </is>
      </c>
      <c r="E1259" s="48" t="inlineStr">
        <is>
          <t>Gaia Nimbus Plus USB-C Docking Station</t>
        </is>
      </c>
      <c r="F1259" s="49" t="n">
        <v>218.99</v>
      </c>
      <c r="G1259" s="47" t="inlineStr">
        <is>
          <t>the Nimbus Plus; Gaia Nimbus Plus; Gaiia Nimbus Plus; Nimbus Plus docking station</t>
        </is>
      </c>
      <c r="H1259" s="47" t="inlineStr">
        <is>
          <t>2 year limited</t>
        </is>
      </c>
      <c r="I1259" s="47" t="inlineStr">
        <is>
          <t>FCC, CE, RoHS, USB-IF Certified, UL Listed</t>
        </is>
      </c>
      <c r="J1259" s="47" t="inlineStr">
        <is>
          <t>N/A</t>
        </is>
      </c>
      <c r="K1259" s="47" t="inlineStr">
        <is>
          <t>N/A</t>
        </is>
      </c>
      <c r="L1259" s="47" t="inlineStr">
        <is>
          <t>N/A</t>
        </is>
      </c>
      <c r="M1259" s="47" t="inlineStr">
        <is>
          <t>N/A</t>
        </is>
      </c>
      <c r="N1259" s="47" t="inlineStr">
        <is>
          <t>2x HDMI 2.0, 1x DisplayPort 1.4, 3x USB-A 3.2, 2x USB-C, 2.5GbE, SD card, 100W PD</t>
        </is>
      </c>
      <c r="O1259" s="47" t="inlineStr">
        <is>
          <t>N/A</t>
        </is>
      </c>
      <c r="P1259" s="47" t="inlineStr">
        <is>
          <t>N/A</t>
        </is>
      </c>
      <c r="Q1259" s="50" t="n">
        <v>420</v>
      </c>
      <c r="R1259" s="47" t="inlineStr">
        <is>
          <t>Lighter than Themis Apex Pro USB-C Docking Station [THE-145-06] (420 g vs 445 g); Lower price than Eileithyia Aria USB-C Docking Station [EIL-149-08] ($218.99 vs $321.99)</t>
        </is>
      </c>
      <c r="S1259" s="47" t="inlineStr">
        <is>
          <t>office, remote work, multi-monitor</t>
        </is>
      </c>
      <c r="T1259" s="0" t="inlineStr">
        <is>
          <t>in_stock</t>
        </is>
      </c>
      <c r="U1259" s="0" t="n">
        <v>60</v>
      </c>
      <c r="V1259" s="52" t="n">
        <v>235.99</v>
      </c>
      <c r="W1259" s="0" t="inlineStr">
        <is>
          <t>2026-08-03</t>
        </is>
      </c>
      <c r="X1259" s="0" t="inlineStr">
        <is>
          <t>N/A</t>
        </is>
      </c>
      <c r="Y1259" s="0" t="inlineStr">
        <is>
          <t>N/A</t>
        </is>
      </c>
      <c r="Z1259" s="0" t="inlineStr">
        <is>
          <t>N/A</t>
        </is>
      </c>
      <c r="AA1259" s="0" t="inlineStr">
        <is>
          <t>N/A</t>
        </is>
      </c>
    </row>
    <row r="1260" ht="15.75" customHeight="1" s="51">
      <c r="A1260" s="47" t="inlineStr">
        <is>
          <t>GAI-125-08</t>
        </is>
      </c>
      <c r="B1260" s="47" t="inlineStr">
        <is>
          <t>Gaia</t>
        </is>
      </c>
      <c r="C1260" s="47" t="inlineStr">
        <is>
          <t>Computer Hardware</t>
        </is>
      </c>
      <c r="D1260" s="47" t="inlineStr">
        <is>
          <t>Cooling</t>
        </is>
      </c>
      <c r="E1260" s="48" t="inlineStr">
        <is>
          <t>Gaia Quanta Plus 360mm AIO CPU Cooler</t>
        </is>
      </c>
      <c r="F1260" s="49" t="n">
        <v>243.99</v>
      </c>
      <c r="G1260" s="47" t="inlineStr">
        <is>
          <t>the Quanta Plus; Gaia Quanta Plus; Gaiaa Quanta Plus; Quanta Plus cooling</t>
        </is>
      </c>
      <c r="H1260" s="47" t="inlineStr">
        <is>
          <t>5 year limited</t>
        </is>
      </c>
      <c r="I1260" s="47" t="inlineStr">
        <is>
          <t>FCC, CE, RoHS</t>
        </is>
      </c>
      <c r="J1260" s="47" t="inlineStr">
        <is>
          <t>N/A</t>
        </is>
      </c>
      <c r="K1260" s="47" t="inlineStr">
        <is>
          <t>N/A</t>
        </is>
      </c>
      <c r="L1260" s="47" t="inlineStr">
        <is>
          <t>IPS pump-head screen</t>
        </is>
      </c>
      <c r="M1260" s="47" t="inlineStr">
        <is>
          <t>480x480</t>
        </is>
      </c>
      <c r="N1260" s="47" t="inlineStr">
        <is>
          <t>3x 4-pin PWM fans, 3-pin pump header, ARGB 5V; LGA1700/LGA1851/AM5 mounts</t>
        </is>
      </c>
      <c r="O1260" s="47" t="inlineStr">
        <is>
          <t>N/A</t>
        </is>
      </c>
      <c r="P1260" s="47" t="inlineStr">
        <is>
          <t>N/A</t>
        </is>
      </c>
      <c r="Q1260" s="50" t="n">
        <v>1824</v>
      </c>
      <c r="R1260" s="47" t="inlineStr">
        <is>
          <t>Lighter than Bia Echo Max 360mm AIO CPU Cooler [BIA-107-08] (1,824 g vs 2,006 g); Lower price than Ares Crest 360mm AIO CPU Cooler [ARE-140-09] ($243.99 vs $245.99)</t>
        </is>
      </c>
      <c r="S1260" s="47" t="inlineStr">
        <is>
          <t>overclocking, gaming, quiet builds</t>
        </is>
      </c>
      <c r="T1260" s="0" t="inlineStr">
        <is>
          <t>in_stock</t>
        </is>
      </c>
      <c r="U1260" s="0" t="n">
        <v>60</v>
      </c>
      <c r="V1260" s="52" t="n">
        <v>267.99</v>
      </c>
      <c r="W1260" s="0" t="inlineStr">
        <is>
          <t>2026-09-09</t>
        </is>
      </c>
      <c r="X1260" s="0" t="inlineStr">
        <is>
          <t>N/A</t>
        </is>
      </c>
      <c r="Y1260" s="0" t="inlineStr">
        <is>
          <t>N/A</t>
        </is>
      </c>
      <c r="Z1260" s="0" t="inlineStr">
        <is>
          <t>N/A</t>
        </is>
      </c>
      <c r="AA1260" s="0" t="inlineStr">
        <is>
          <t>N/A</t>
        </is>
      </c>
    </row>
    <row r="1261" ht="15.75" customHeight="1" s="51">
      <c r="A1261" s="47" t="inlineStr">
        <is>
          <t>GAI-125-09</t>
        </is>
      </c>
      <c r="B1261" s="47" t="inlineStr">
        <is>
          <t>Gaia</t>
        </is>
      </c>
      <c r="C1261" s="47" t="inlineStr">
        <is>
          <t>Computer Hardware</t>
        </is>
      </c>
      <c r="D1261" s="47" t="inlineStr">
        <is>
          <t>Monitor</t>
        </is>
      </c>
      <c r="E1261" s="48" t="inlineStr">
        <is>
          <t>Gaia Rift Air 27" 1440p Monitor</t>
        </is>
      </c>
      <c r="F1261" s="49" t="n">
        <v>445.99</v>
      </c>
      <c r="G1261" s="47" t="inlineStr">
        <is>
          <t>the Rift Air; Gaia Rift Air; Gaiia Rift Air; Rift Air monitor</t>
        </is>
      </c>
      <c r="H1261" s="47" t="inlineStr">
        <is>
          <t>3 year limited</t>
        </is>
      </c>
      <c r="I1261" s="47" t="inlineStr">
        <is>
          <t>FCC, CE, RoHS, Energy Star, TUV Rheinland Low Blue Light, VESA DisplayHDR 600</t>
        </is>
      </c>
      <c r="J1261" s="47" t="inlineStr">
        <is>
          <t>N/A</t>
        </is>
      </c>
      <c r="K1261" s="47" t="inlineStr">
        <is>
          <t>N/A</t>
        </is>
      </c>
      <c r="L1261" s="47" t="inlineStr">
        <is>
          <t>IPS, 180Hz</t>
        </is>
      </c>
      <c r="M1261" s="47" t="inlineStr">
        <is>
          <t>2560x1440</t>
        </is>
      </c>
      <c r="N1261" s="47" t="inlineStr">
        <is>
          <t>2x HDMI 2.1, 1x DisplayPort 1.4</t>
        </is>
      </c>
      <c r="O1261" s="47" t="inlineStr">
        <is>
          <t>N/A</t>
        </is>
      </c>
      <c r="P1261" s="47" t="inlineStr">
        <is>
          <t>N/A</t>
        </is>
      </c>
      <c r="Q1261" s="50" t="n">
        <v>6710</v>
      </c>
      <c r="R1261" s="47" t="inlineStr">
        <is>
          <t>Lower price than Palaemon Nimbus SE 27" 1440p Monitor [PAL-127-09] ($445.99 vs $672.99); Lighter than Kairos Titan Ultra 27" 1440p Monitor [KAI-142-10] (6,710 g vs 7,013 g)</t>
        </is>
      </c>
      <c r="S1261" s="47" t="inlineStr">
        <is>
          <t>gaming, office, content creation</t>
        </is>
      </c>
      <c r="T1261" s="0" t="inlineStr">
        <is>
          <t>low_stock</t>
        </is>
      </c>
      <c r="U1261" s="0" t="n">
        <v>60</v>
      </c>
      <c r="V1261" s="52" t="n">
        <v>502.99</v>
      </c>
      <c r="W1261" s="0" t="inlineStr">
        <is>
          <t>2026-08-01</t>
        </is>
      </c>
      <c r="X1261" s="0" t="inlineStr">
        <is>
          <t>N/A</t>
        </is>
      </c>
      <c r="Y1261" s="0" t="inlineStr">
        <is>
          <t>N/A</t>
        </is>
      </c>
      <c r="Z1261" s="0" t="inlineStr">
        <is>
          <t>N/A</t>
        </is>
      </c>
      <c r="AA1261" s="0" t="inlineStr">
        <is>
          <t>N/A</t>
        </is>
      </c>
    </row>
    <row r="1262" ht="15.75" customHeight="1" s="51">
      <c r="A1262" s="47" t="inlineStr">
        <is>
          <t>GAI-125-10</t>
        </is>
      </c>
      <c r="B1262" s="47" t="inlineStr">
        <is>
          <t>Gaia</t>
        </is>
      </c>
      <c r="C1262" s="47" t="inlineStr">
        <is>
          <t>Computer Hardware</t>
        </is>
      </c>
      <c r="D1262" s="47" t="inlineStr">
        <is>
          <t>Graphics Card</t>
        </is>
      </c>
      <c r="E1262" s="48" t="inlineStr">
        <is>
          <t>Gaia Quanta SE Graphics Card</t>
        </is>
      </c>
      <c r="F1262" s="49" t="n">
        <v>1280.99</v>
      </c>
      <c r="G1262" s="47" t="inlineStr">
        <is>
          <t>the Quanta SE; Gaia Quanta SE; Gaaia Quanta SE; Quanta SE graphics card</t>
        </is>
      </c>
      <c r="H1262" s="47" t="inlineStr">
        <is>
          <t>3 year limited</t>
        </is>
      </c>
      <c r="I1262" s="47" t="inlineStr">
        <is>
          <t>FCC, CE, RoHS</t>
        </is>
      </c>
      <c r="J1262" s="47" t="inlineStr">
        <is>
          <t>N/A</t>
        </is>
      </c>
      <c r="K1262" s="47" t="inlineStr">
        <is>
          <t>NVIDIA GeForce RTX 4090 24GB (Gaia Quanta edition)</t>
        </is>
      </c>
      <c r="L1262" s="47" t="inlineStr">
        <is>
          <t>N/A</t>
        </is>
      </c>
      <c r="M1262" s="47" t="inlineStr">
        <is>
          <t>N/A</t>
        </is>
      </c>
      <c r="N1262" s="47" t="inlineStr">
        <is>
          <t>3x DisplayPort 1.4a, 1x HDMI 2.1a</t>
        </is>
      </c>
      <c r="O1262" s="47" t="inlineStr">
        <is>
          <t>N/A</t>
        </is>
      </c>
      <c r="P1262" s="47" t="inlineStr">
        <is>
          <t>N/A</t>
        </is>
      </c>
      <c r="Q1262" s="50" t="n">
        <v>875</v>
      </c>
      <c r="R1262" s="47" t="inlineStr">
        <is>
          <t>Lower price than Phanes Spark Ultra Graphics Card [PHA-138-10] ($1,280.99 vs $1,630.99); Lighter than Apate Apex Graphics Card [APA-110-10] (875 g vs 1,528 g)</t>
        </is>
      </c>
      <c r="S1262" s="47" t="inlineStr">
        <is>
          <t>gaming, 3D rendering, AI workloads</t>
        </is>
      </c>
      <c r="T1262" s="0" t="inlineStr">
        <is>
          <t>in_stock</t>
        </is>
      </c>
      <c r="U1262" s="0" t="n">
        <v>60</v>
      </c>
      <c r="V1262" s="52" t="n">
        <v>1352.99</v>
      </c>
      <c r="W1262" s="0" t="inlineStr">
        <is>
          <t>2026-08-29</t>
        </is>
      </c>
      <c r="X1262" s="0" t="inlineStr">
        <is>
          <t>N/A</t>
        </is>
      </c>
      <c r="Y1262" s="0" t="inlineStr">
        <is>
          <t>N/A</t>
        </is>
      </c>
      <c r="Z1262" s="0" t="inlineStr">
        <is>
          <t>N/A</t>
        </is>
      </c>
      <c r="AA1262" s="0" t="inlineStr">
        <is>
          <t>N/A</t>
        </is>
      </c>
    </row>
    <row r="1263" ht="15.75" customHeight="1" s="51">
      <c r="A1263" s="47" t="inlineStr">
        <is>
          <t>THA-126-01</t>
        </is>
      </c>
      <c r="B1263" s="47" t="inlineStr">
        <is>
          <t>Thalassa</t>
        </is>
      </c>
      <c r="C1263" s="47" t="inlineStr">
        <is>
          <t>Computer Hardware</t>
        </is>
      </c>
      <c r="D1263" s="47" t="inlineStr">
        <is>
          <t>Case Fans</t>
        </is>
      </c>
      <c r="E1263" s="48" t="inlineStr">
        <is>
          <t>Thalassa Onyx Plus RGB Case Fan 3-Pack</t>
        </is>
      </c>
      <c r="F1263" s="49" t="n">
        <v>42.99</v>
      </c>
      <c r="G1263" s="47" t="inlineStr">
        <is>
          <t>the Onyx Plus; Thalassa Onyx Plus; Thallassa Onyx Plus; Onyx Plus case fans</t>
        </is>
      </c>
      <c r="H1263" s="47" t="inlineStr">
        <is>
          <t>2 year limited</t>
        </is>
      </c>
      <c r="I1263" s="47" t="inlineStr">
        <is>
          <t>FCC, CE, RoHS</t>
        </is>
      </c>
      <c r="J1263" s="47" t="inlineStr">
        <is>
          <t>N/A</t>
        </is>
      </c>
      <c r="K1263" s="47" t="inlineStr">
        <is>
          <t>N/A</t>
        </is>
      </c>
      <c r="L1263" s="47" t="inlineStr">
        <is>
          <t>N/A</t>
        </is>
      </c>
      <c r="M1263" s="47" t="inlineStr">
        <is>
          <t>N/A</t>
        </is>
      </c>
      <c r="N1263" s="47" t="inlineStr">
        <is>
          <t>4-pin PWM, 3-pin 5V ARGB, daisy-chain connectors</t>
        </is>
      </c>
      <c r="O1263" s="47" t="inlineStr">
        <is>
          <t>N/A</t>
        </is>
      </c>
      <c r="P1263" s="47" t="inlineStr">
        <is>
          <t>N/A</t>
        </is>
      </c>
      <c r="Q1263" s="50" t="n">
        <v>432</v>
      </c>
      <c r="R1263" s="47" t="inlineStr">
        <is>
          <t>Lower price than Nyx Strata RGB Case Fan 3-Pack [NYX-115-03] ($42.99 vs $87.99); Lighter than Nike Prism Max RGB Case Fan 3-Pack [NIK-132-01] (432 g vs 490 g)</t>
        </is>
      </c>
      <c r="S1263" s="47" t="inlineStr">
        <is>
          <t>PC building, cooling, RGB builds</t>
        </is>
      </c>
      <c r="T1263" s="0" t="inlineStr">
        <is>
          <t>low_stock</t>
        </is>
      </c>
      <c r="U1263" s="0" t="n">
        <v>30</v>
      </c>
      <c r="V1263" s="52" t="n">
        <v>45.99</v>
      </c>
      <c r="W1263" s="0" t="inlineStr">
        <is>
          <t>2026-09-20</t>
        </is>
      </c>
      <c r="X1263" s="0" t="inlineStr">
        <is>
          <t>N/A</t>
        </is>
      </c>
      <c r="Y1263" s="0" t="inlineStr">
        <is>
          <t>N/A</t>
        </is>
      </c>
      <c r="Z1263" s="0" t="inlineStr">
        <is>
          <t>N/A</t>
        </is>
      </c>
      <c r="AA1263" s="0" t="inlineStr">
        <is>
          <t>N/A</t>
        </is>
      </c>
    </row>
    <row r="1264" ht="15.75" customHeight="1" s="51">
      <c r="A1264" s="47" t="inlineStr">
        <is>
          <t>THA-126-02</t>
        </is>
      </c>
      <c r="B1264" s="47" t="inlineStr">
        <is>
          <t>Thalassa</t>
        </is>
      </c>
      <c r="C1264" s="47" t="inlineStr">
        <is>
          <t>Computer Hardware</t>
        </is>
      </c>
      <c r="D1264" s="47" t="inlineStr">
        <is>
          <t>Mouse</t>
        </is>
      </c>
      <c r="E1264" s="48" t="inlineStr">
        <is>
          <t>Thalassa Crest Max Gaming Mouse</t>
        </is>
      </c>
      <c r="F1264" s="49" t="n">
        <v>71.98999999999999</v>
      </c>
      <c r="G1264" s="47" t="inlineStr">
        <is>
          <t>the Crest Max; Thalassa Crest Max; Thalsasa Crest Max; Crest Max mouse</t>
        </is>
      </c>
      <c r="H1264" s="47" t="inlineStr">
        <is>
          <t>2 year limited</t>
        </is>
      </c>
      <c r="I1264" s="47" t="inlineStr">
        <is>
          <t>FCC, CE, RoHS, Bluetooth SIG Qualified</t>
        </is>
      </c>
      <c r="J1264" s="47" t="inlineStr">
        <is>
          <t>Sensor: 26K DPI optical</t>
        </is>
      </c>
      <c r="K1264" s="47" t="inlineStr">
        <is>
          <t>N/A</t>
        </is>
      </c>
      <c r="L1264" s="47" t="inlineStr">
        <is>
          <t>N/A</t>
        </is>
      </c>
      <c r="M1264" s="47" t="inlineStr">
        <is>
          <t>N/A</t>
        </is>
      </c>
      <c r="N1264" s="47" t="inlineStr">
        <is>
          <t>USB-C, 2.4GHz dongle, Bluetooth 5.1</t>
        </is>
      </c>
      <c r="O1264" s="47" t="inlineStr">
        <is>
          <t>N/A</t>
        </is>
      </c>
      <c r="P1264" s="47" t="n">
        <v>89</v>
      </c>
      <c r="Q1264" s="50" t="n">
        <v>57</v>
      </c>
      <c r="R1264" s="47" t="inlineStr">
        <is>
          <t>Lighter than Pheme Zen X Gaming Mouse [PHE-102-01] (57 g vs 91 g); Lower price than Hestia Halo Gaming Mouse [HES-116-03] ($71.99 vs $153.99)</t>
        </is>
      </c>
      <c r="S1264" s="47" t="inlineStr">
        <is>
          <t>gaming, esports</t>
        </is>
      </c>
      <c r="T1264" s="0" t="inlineStr">
        <is>
          <t>in_stock</t>
        </is>
      </c>
      <c r="U1264" s="0" t="n">
        <v>30</v>
      </c>
      <c r="V1264" s="52" t="n">
        <v>77.98999999999999</v>
      </c>
      <c r="W1264" s="0" t="inlineStr">
        <is>
          <t>2026-08-05</t>
        </is>
      </c>
      <c r="X1264" s="0" t="inlineStr">
        <is>
          <t>N/A</t>
        </is>
      </c>
      <c r="Y1264" s="0" t="inlineStr">
        <is>
          <t>N/A</t>
        </is>
      </c>
      <c r="Z1264" s="0" t="inlineStr">
        <is>
          <t>N/A</t>
        </is>
      </c>
      <c r="AA1264" s="0" t="inlineStr">
        <is>
          <t>N/A</t>
        </is>
      </c>
    </row>
    <row r="1265" ht="15.75" customHeight="1" s="51">
      <c r="A1265" s="47" t="inlineStr">
        <is>
          <t>THA-126-03</t>
        </is>
      </c>
      <c r="B1265" s="47" t="inlineStr">
        <is>
          <t>Thalassa</t>
        </is>
      </c>
      <c r="C1265" s="47" t="inlineStr">
        <is>
          <t>Computer Hardware</t>
        </is>
      </c>
      <c r="D1265" s="47" t="inlineStr">
        <is>
          <t>Networking</t>
        </is>
      </c>
      <c r="E1265" s="48" t="inlineStr">
        <is>
          <t>Thalassa Volt Lite Wi-Fi 7 PCIe Card</t>
        </is>
      </c>
      <c r="F1265" s="49" t="n">
        <v>125.99</v>
      </c>
      <c r="G1265" s="47" t="inlineStr">
        <is>
          <t>the Volt Lite; Thalassa Volt Lite; Thalaassa Volt Lite; Volt Lite networking</t>
        </is>
      </c>
      <c r="H1265" s="47" t="inlineStr">
        <is>
          <t>2 year limited</t>
        </is>
      </c>
      <c r="I1265" s="47" t="inlineStr">
        <is>
          <t>FCC, CE, RoHS, Wi-Fi CERTIFIED 7, Bluetooth SIG Qualified</t>
        </is>
      </c>
      <c r="J1265" s="47" t="inlineStr">
        <is>
          <t>Chipset: MediaTek MT7927</t>
        </is>
      </c>
      <c r="K1265" s="47" t="inlineStr">
        <is>
          <t>N/A</t>
        </is>
      </c>
      <c r="L1265" s="47" t="inlineStr">
        <is>
          <t>N/A</t>
        </is>
      </c>
      <c r="M1265" s="47" t="inlineStr">
        <is>
          <t>N/A</t>
        </is>
      </c>
      <c r="N1265" s="47" t="inlineStr">
        <is>
          <t>PCIe x1, internal USB 2.0 header (Bluetooth 5.4), 2x external antennas</t>
        </is>
      </c>
      <c r="O1265" s="47" t="inlineStr">
        <is>
          <t>N/A</t>
        </is>
      </c>
      <c r="P1265" s="47" t="inlineStr">
        <is>
          <t>N/A</t>
        </is>
      </c>
      <c r="Q1265" s="50" t="n">
        <v>79</v>
      </c>
      <c r="R1265" s="47" t="inlineStr">
        <is>
          <t>Lighter than Psyche Rift SE Wi-Fi 7 PCIe Card [PSY-144-02] (79 g vs 88 g); Lower price than Hera Zen Air Wi-Fi 7 PCIe Card [HER-129-03] ($125.99 vs $128.99)</t>
        </is>
      </c>
      <c r="S1265" s="47" t="inlineStr">
        <is>
          <t>gaming, streaming, PC building</t>
        </is>
      </c>
      <c r="T1265" s="0" t="inlineStr">
        <is>
          <t>in_stock</t>
        </is>
      </c>
      <c r="U1265" s="0" t="n">
        <v>30</v>
      </c>
      <c r="V1265" s="52" t="n">
        <v>139.99</v>
      </c>
      <c r="W1265" s="0" t="inlineStr">
        <is>
          <t>2026-09-08</t>
        </is>
      </c>
      <c r="X1265" s="0" t="inlineStr">
        <is>
          <t>N/A</t>
        </is>
      </c>
      <c r="Y1265" s="0" t="inlineStr">
        <is>
          <t>N/A</t>
        </is>
      </c>
      <c r="Z1265" s="0" t="inlineStr">
        <is>
          <t>N/A</t>
        </is>
      </c>
      <c r="AA1265" s="0" t="inlineStr">
        <is>
          <t>N/A</t>
        </is>
      </c>
    </row>
    <row r="1266" ht="15.75" customHeight="1" s="51">
      <c r="A1266" s="47" t="inlineStr">
        <is>
          <t>THA-126-04</t>
        </is>
      </c>
      <c r="B1266" s="47" t="inlineStr">
        <is>
          <t>Thalassa</t>
        </is>
      </c>
      <c r="C1266" s="47" t="inlineStr">
        <is>
          <t>Computer Hardware</t>
        </is>
      </c>
      <c r="D1266" s="47" t="inlineStr">
        <is>
          <t>Cooling</t>
        </is>
      </c>
      <c r="E1266" s="48" t="inlineStr">
        <is>
          <t>Thalassa Quanta SE 360mm AIO CPU Cooler</t>
        </is>
      </c>
      <c r="F1266" s="49" t="n">
        <v>161.99</v>
      </c>
      <c r="G1266" s="47" t="inlineStr">
        <is>
          <t>the Quanta SE; Thalassa Quanta SE; Thaalassa Quanta SE; Quanta SE cooling</t>
        </is>
      </c>
      <c r="H1266" s="47" t="inlineStr">
        <is>
          <t>6 year limited</t>
        </is>
      </c>
      <c r="I1266" s="47" t="inlineStr">
        <is>
          <t>FCC, CE, RoHS</t>
        </is>
      </c>
      <c r="J1266" s="47" t="inlineStr">
        <is>
          <t>N/A</t>
        </is>
      </c>
      <c r="K1266" s="47" t="inlineStr">
        <is>
          <t>N/A</t>
        </is>
      </c>
      <c r="L1266" s="47" t="inlineStr">
        <is>
          <t>N/A</t>
        </is>
      </c>
      <c r="M1266" s="47" t="inlineStr">
        <is>
          <t>N/A</t>
        </is>
      </c>
      <c r="N1266" s="47" t="inlineStr">
        <is>
          <t>3x 4-pin PWM fans, 3-pin pump header, ARGB 5V; LGA1700/LGA1851/AM5 mounts</t>
        </is>
      </c>
      <c r="O1266" s="47" t="inlineStr">
        <is>
          <t>N/A</t>
        </is>
      </c>
      <c r="P1266" s="47" t="inlineStr">
        <is>
          <t>N/A</t>
        </is>
      </c>
      <c r="Q1266" s="50" t="n">
        <v>1864</v>
      </c>
      <c r="R1266" s="47" t="inlineStr">
        <is>
          <t>Lighter than Hyperion Nimbus SE 360mm AIO CPU Cooler [HYP-123-05] (1,864 g vs 1,875 g); Lower price than Eurybia Wave 360mm AIO CPU Cooler [EUR-104-05] ($161.99 vs $169.99)</t>
        </is>
      </c>
      <c r="S1266" s="47" t="inlineStr">
        <is>
          <t>overclocking, gaming, quiet builds</t>
        </is>
      </c>
      <c r="T1266" s="0" t="inlineStr">
        <is>
          <t>low_stock</t>
        </is>
      </c>
      <c r="U1266" s="0" t="n">
        <v>30</v>
      </c>
      <c r="V1266" s="52" t="n">
        <v>171.99</v>
      </c>
      <c r="W1266" s="0" t="inlineStr">
        <is>
          <t>2026-09-10</t>
        </is>
      </c>
      <c r="X1266" s="0" t="inlineStr">
        <is>
          <t>N/A</t>
        </is>
      </c>
      <c r="Y1266" s="0" t="inlineStr">
        <is>
          <t>N/A</t>
        </is>
      </c>
      <c r="Z1266" s="0" t="inlineStr">
        <is>
          <t>N/A</t>
        </is>
      </c>
      <c r="AA1266" s="0" t="inlineStr">
        <is>
          <t>N/A</t>
        </is>
      </c>
    </row>
    <row r="1267" ht="15.75" customHeight="1" s="51">
      <c r="A1267" s="47" t="inlineStr">
        <is>
          <t>THA-126-05</t>
        </is>
      </c>
      <c r="B1267" s="47" t="inlineStr">
        <is>
          <t>Thalassa</t>
        </is>
      </c>
      <c r="C1267" s="47" t="inlineStr">
        <is>
          <t>Computer Hardware</t>
        </is>
      </c>
      <c r="D1267" s="47" t="inlineStr">
        <is>
          <t>Keyboard</t>
        </is>
      </c>
      <c r="E1267" s="48" t="inlineStr">
        <is>
          <t>Thalassa Titan Plus Mechanical Keyboard</t>
        </is>
      </c>
      <c r="F1267" s="49" t="n">
        <v>176.99</v>
      </c>
      <c r="G1267" s="47" t="inlineStr">
        <is>
          <t>the Titan Plus; Thalassa Titan Plus; Thalsasa Titan Plus; Titan Plus keyboard</t>
        </is>
      </c>
      <c r="H1267" s="47" t="inlineStr">
        <is>
          <t>2 year limited</t>
        </is>
      </c>
      <c r="I1267" s="47" t="inlineStr">
        <is>
          <t>FCC, CE, RoHS, Bluetooth SIG Qualified</t>
        </is>
      </c>
      <c r="J1267" s="47" t="inlineStr">
        <is>
          <t>N/A</t>
        </is>
      </c>
      <c r="K1267" s="47" t="inlineStr">
        <is>
          <t>N/A</t>
        </is>
      </c>
      <c r="L1267" s="47" t="inlineStr">
        <is>
          <t>N/A</t>
        </is>
      </c>
      <c r="M1267" s="47" t="inlineStr">
        <is>
          <t>N/A</t>
        </is>
      </c>
      <c r="N1267" s="47" t="inlineStr">
        <is>
          <t>USB-C, 2.4GHz dongle, Bluetooth 5.1</t>
        </is>
      </c>
      <c r="O1267" s="47" t="inlineStr">
        <is>
          <t>N/A</t>
        </is>
      </c>
      <c r="P1267" s="47" t="n">
        <v>387</v>
      </c>
      <c r="Q1267" s="50" t="n">
        <v>1167</v>
      </c>
      <c r="R1267" s="47" t="inlineStr">
        <is>
          <t>Longer battery than Enyo Vibe Max Mechanical Keyboard [ENY-114-04] (387 vs 223 hrs); Lower price than Ceto Aria Mechanical Keyboard [CET-131-08] ($176.99 vs $213.99)</t>
        </is>
      </c>
      <c r="S1267" s="47" t="inlineStr">
        <is>
          <t>gaming, typing, office</t>
        </is>
      </c>
      <c r="T1267" s="0" t="inlineStr">
        <is>
          <t>in_stock</t>
        </is>
      </c>
      <c r="U1267" s="0" t="n">
        <v>30</v>
      </c>
      <c r="V1267" s="52" t="n">
        <v>185.99</v>
      </c>
      <c r="W1267" s="0" t="inlineStr">
        <is>
          <t>2026-09-23</t>
        </is>
      </c>
      <c r="X1267" s="0" t="inlineStr">
        <is>
          <t>N/A</t>
        </is>
      </c>
      <c r="Y1267" s="0" t="inlineStr">
        <is>
          <t>N/A</t>
        </is>
      </c>
      <c r="Z1267" s="0" t="inlineStr">
        <is>
          <t>N/A</t>
        </is>
      </c>
      <c r="AA1267" s="0" t="inlineStr">
        <is>
          <t>N/A</t>
        </is>
      </c>
    </row>
    <row r="1268" ht="15.75" customHeight="1" s="51">
      <c r="A1268" s="47" t="inlineStr">
        <is>
          <t>THA-126-06</t>
        </is>
      </c>
      <c r="B1268" s="47" t="inlineStr">
        <is>
          <t>Thalassa</t>
        </is>
      </c>
      <c r="C1268" s="47" t="inlineStr">
        <is>
          <t>Computer Hardware</t>
        </is>
      </c>
      <c r="D1268" s="47" t="inlineStr">
        <is>
          <t>Storage</t>
        </is>
      </c>
      <c r="E1268" s="48" t="inlineStr">
        <is>
          <t>Thalassa Drift Lite 4TB External Hard Drive</t>
        </is>
      </c>
      <c r="F1268" s="49" t="n">
        <v>178.99</v>
      </c>
      <c r="G1268" s="47" t="inlineStr">
        <is>
          <t>the Drift Lite; Thalassa Drift Lite; Talassa Drift Lite; Drift Lite storage</t>
        </is>
      </c>
      <c r="H1268" s="47" t="inlineStr">
        <is>
          <t>2 year limited</t>
        </is>
      </c>
      <c r="I1268" s="47" t="inlineStr">
        <is>
          <t>FCC, CE, RoHS, USB-IF Certified</t>
        </is>
      </c>
      <c r="J1268" s="47" t="inlineStr">
        <is>
          <t>N/A</t>
        </is>
      </c>
      <c r="K1268" s="47" t="inlineStr">
        <is>
          <t>N/A</t>
        </is>
      </c>
      <c r="L1268" s="47" t="inlineStr">
        <is>
          <t>N/A</t>
        </is>
      </c>
      <c r="M1268" s="47" t="inlineStr">
        <is>
          <t>N/A</t>
        </is>
      </c>
      <c r="N1268" s="47" t="inlineStr">
        <is>
          <t>USB-C (USB 3.2 Gen 1)</t>
        </is>
      </c>
      <c r="O1268" s="47" t="inlineStr">
        <is>
          <t>N/A</t>
        </is>
      </c>
      <c r="P1268" s="47" t="inlineStr">
        <is>
          <t>N/A</t>
        </is>
      </c>
      <c r="Q1268" s="50" t="n">
        <v>257</v>
      </c>
      <c r="R1268" s="47" t="inlineStr">
        <is>
          <t>Lower price than Ares Apex SE 4TB External Hard Drive [ARE-140-06] ($178.99 vs $187.99)</t>
        </is>
      </c>
      <c r="S1268" s="47" t="inlineStr">
        <is>
          <t>backup, media storage</t>
        </is>
      </c>
      <c r="T1268" s="0" t="inlineStr">
        <is>
          <t>in_stock</t>
        </is>
      </c>
      <c r="U1268" s="0" t="n">
        <v>30</v>
      </c>
      <c r="V1268" s="52" t="n">
        <v>199.99</v>
      </c>
      <c r="W1268" s="0" t="inlineStr">
        <is>
          <t>2026-09-25</t>
        </is>
      </c>
      <c r="X1268" s="0" t="inlineStr">
        <is>
          <t>N/A</t>
        </is>
      </c>
      <c r="Y1268" s="0" t="inlineStr">
        <is>
          <t>N/A</t>
        </is>
      </c>
      <c r="Z1268" s="0" t="inlineStr">
        <is>
          <t>N/A</t>
        </is>
      </c>
      <c r="AA1268" s="0" t="inlineStr">
        <is>
          <t>N/A</t>
        </is>
      </c>
    </row>
    <row r="1269" ht="15.75" customHeight="1" s="51">
      <c r="A1269" s="47" t="inlineStr">
        <is>
          <t>THA-126-07</t>
        </is>
      </c>
      <c r="B1269" s="47" t="inlineStr">
        <is>
          <t>Thalassa</t>
        </is>
      </c>
      <c r="C1269" s="47" t="inlineStr">
        <is>
          <t>Computer Hardware</t>
        </is>
      </c>
      <c r="D1269" s="47" t="inlineStr">
        <is>
          <t>Power Supply</t>
        </is>
      </c>
      <c r="E1269" s="48" t="inlineStr">
        <is>
          <t>Thalassa Apex Air 850W Power Supply</t>
        </is>
      </c>
      <c r="F1269" s="49" t="n">
        <v>194.99</v>
      </c>
      <c r="G1269" s="47" t="inlineStr">
        <is>
          <t>the Apex Air; Thalassa Apex Air; Thalaassa Apex Air; Apex Air power supply</t>
        </is>
      </c>
      <c r="H1269" s="47" t="inlineStr">
        <is>
          <t>10 year limited</t>
        </is>
      </c>
      <c r="I1269" s="47" t="inlineStr">
        <is>
          <t>FCC, CE, RoHS, 80 PLUS Titanium, UL Listed</t>
        </is>
      </c>
      <c r="J1269" s="47" t="inlineStr">
        <is>
          <t>N/A</t>
        </is>
      </c>
      <c r="K1269" s="47" t="inlineStr">
        <is>
          <t>N/A</t>
        </is>
      </c>
      <c r="L1269" s="47" t="inlineStr">
        <is>
          <t>N/A</t>
        </is>
      </c>
      <c r="M1269" s="47" t="inlineStr">
        <is>
          <t>N/A</t>
        </is>
      </c>
      <c r="N1269" s="47" t="inlineStr">
        <is>
          <t>ATX 3.1, native 12V-2x6 (600W) connector, fully modular</t>
        </is>
      </c>
      <c r="O1269" s="47" t="inlineStr">
        <is>
          <t>N/A</t>
        </is>
      </c>
      <c r="P1269" s="47" t="inlineStr">
        <is>
          <t>N/A</t>
        </is>
      </c>
      <c r="Q1269" s="50" t="n">
        <v>1995</v>
      </c>
      <c r="R1269" s="47" t="inlineStr">
        <is>
          <t>Lighter than Nyx Quanta Pro 850W Power Supply [NYX-115-05] (1,995 g vs 2,184 g); Lower price than Hera Sable X 850W Power Supply [HER-129-05] ($194.99 vs $213.99)</t>
        </is>
      </c>
      <c r="S1269" s="47" t="inlineStr">
        <is>
          <t>PC building, high-end gaming</t>
        </is>
      </c>
      <c r="T1269" s="0" t="inlineStr">
        <is>
          <t>in_stock</t>
        </is>
      </c>
      <c r="U1269" s="0" t="n">
        <v>30</v>
      </c>
      <c r="V1269" s="52" t="n">
        <v>209.99</v>
      </c>
      <c r="W1269" s="0" t="inlineStr">
        <is>
          <t>2026-08-22</t>
        </is>
      </c>
      <c r="X1269" s="0" t="inlineStr">
        <is>
          <t>N/A</t>
        </is>
      </c>
      <c r="Y1269" s="0" t="inlineStr">
        <is>
          <t>N/A</t>
        </is>
      </c>
      <c r="Z1269" s="0" t="inlineStr">
        <is>
          <t>N/A</t>
        </is>
      </c>
      <c r="AA1269" s="0" t="inlineStr">
        <is>
          <t>N/A</t>
        </is>
      </c>
    </row>
    <row r="1270" ht="15.75" customHeight="1" s="51">
      <c r="A1270" s="47" t="inlineStr">
        <is>
          <t>THA-126-08</t>
        </is>
      </c>
      <c r="B1270" s="47" t="inlineStr">
        <is>
          <t>Thalassa</t>
        </is>
      </c>
      <c r="C1270" s="47" t="inlineStr">
        <is>
          <t>Computer Hardware</t>
        </is>
      </c>
      <c r="D1270" s="47" t="inlineStr">
        <is>
          <t>PC Case</t>
        </is>
      </c>
      <c r="E1270" s="48" t="inlineStr">
        <is>
          <t>Thalassa Halo Pro Mid-Tower PC Case</t>
        </is>
      </c>
      <c r="F1270" s="49" t="n">
        <v>219.99</v>
      </c>
      <c r="G1270" s="47" t="inlineStr">
        <is>
          <t>the Halo Pro; Thalassa Halo Pro; Talassa Halo Pro; Halo Pro pc case</t>
        </is>
      </c>
      <c r="H1270" s="47" t="inlineStr">
        <is>
          <t>2 year limited</t>
        </is>
      </c>
      <c r="I1270" s="47" t="inlineStr">
        <is>
          <t>FCC, CE, RoHS, UL 94 V-0 (materials)</t>
        </is>
      </c>
      <c r="J1270" s="47" t="inlineStr">
        <is>
          <t>N/A</t>
        </is>
      </c>
      <c r="K1270" s="47" t="inlineStr">
        <is>
          <t>N/A</t>
        </is>
      </c>
      <c r="L1270" s="47" t="inlineStr">
        <is>
          <t>N/A</t>
        </is>
      </c>
      <c r="M1270" s="47" t="inlineStr">
        <is>
          <t>N/A</t>
        </is>
      </c>
      <c r="N1270" s="47" t="inlineStr">
        <is>
          <t>Front I/O: 1x USB-C 10Gbps, 2x USB-A 3.0, 3.5mm combo audio</t>
        </is>
      </c>
      <c r="O1270" s="47" t="inlineStr">
        <is>
          <t>N/A</t>
        </is>
      </c>
      <c r="P1270" s="47" t="inlineStr">
        <is>
          <t>N/A</t>
        </is>
      </c>
      <c r="Q1270" s="50" t="n">
        <v>9142</v>
      </c>
      <c r="R1270" s="47" t="inlineStr">
        <is>
          <t>Lighter than Kairos Vertex Air Mid-Tower PC Case [KAI-142-04] (9,142 g vs 9,278 g)</t>
        </is>
      </c>
      <c r="S1270" s="47" t="inlineStr">
        <is>
          <t>PC building, gaming</t>
        </is>
      </c>
      <c r="T1270" s="0" t="inlineStr">
        <is>
          <t>in_stock</t>
        </is>
      </c>
      <c r="U1270" s="0" t="n">
        <v>30</v>
      </c>
      <c r="V1270" s="52" t="n">
        <v>232.99</v>
      </c>
      <c r="W1270" s="0" t="inlineStr">
        <is>
          <t>2026-08-21</t>
        </is>
      </c>
      <c r="X1270" s="0" t="inlineStr">
        <is>
          <t>N/A</t>
        </is>
      </c>
      <c r="Y1270" s="0" t="inlineStr">
        <is>
          <t>N/A</t>
        </is>
      </c>
      <c r="Z1270" s="0" t="inlineStr">
        <is>
          <t>N/A</t>
        </is>
      </c>
      <c r="AA1270" s="0" t="inlineStr">
        <is>
          <t>N/A</t>
        </is>
      </c>
    </row>
    <row r="1271" ht="15.75" customHeight="1" s="51">
      <c r="A1271" s="47" t="inlineStr">
        <is>
          <t>THA-126-09</t>
        </is>
      </c>
      <c r="B1271" s="47" t="inlineStr">
        <is>
          <t>Thalassa</t>
        </is>
      </c>
      <c r="C1271" s="47" t="inlineStr">
        <is>
          <t>Computer Hardware</t>
        </is>
      </c>
      <c r="D1271" s="47" t="inlineStr">
        <is>
          <t>Storage</t>
        </is>
      </c>
      <c r="E1271" s="48" t="inlineStr">
        <is>
          <t>Thalassa Rift Air 2TB NVMe SSD</t>
        </is>
      </c>
      <c r="F1271" s="49" t="n">
        <v>286.99</v>
      </c>
      <c r="G1271" s="47" t="inlineStr">
        <is>
          <t>the Rift Air; Thalassa Rift Air; Thaalssa Rift Air; Rift Air storage</t>
        </is>
      </c>
      <c r="H1271" s="47" t="inlineStr">
        <is>
          <t>5 year limited</t>
        </is>
      </c>
      <c r="I1271" s="47" t="inlineStr">
        <is>
          <t>FCC, CE, RoHS</t>
        </is>
      </c>
      <c r="J1271" s="47" t="inlineStr">
        <is>
          <t>Controller: Phison E26</t>
        </is>
      </c>
      <c r="K1271" s="47" t="inlineStr">
        <is>
          <t>N/A</t>
        </is>
      </c>
      <c r="L1271" s="47" t="inlineStr">
        <is>
          <t>N/A</t>
        </is>
      </c>
      <c r="M1271" s="47" t="inlineStr">
        <is>
          <t>N/A</t>
        </is>
      </c>
      <c r="N1271" s="47" t="inlineStr">
        <is>
          <t>M.2 2280, PCIe 5.0 x4 NVMe</t>
        </is>
      </c>
      <c r="O1271" s="47" t="inlineStr">
        <is>
          <t>N/A</t>
        </is>
      </c>
      <c r="P1271" s="47" t="inlineStr">
        <is>
          <t>N/A</t>
        </is>
      </c>
      <c r="Q1271" s="50" t="n">
        <v>8</v>
      </c>
      <c r="R1271" s="47" t="inlineStr">
        <is>
          <t>Lighter than Iris Quanta Plus 2TB NVMe SSD [IRI-130-08] (8 g vs 11 g); Lower price than Pheme Flux Air 2TB NVMe SSD [PHE-102-08] ($286.99 vs $296.99)</t>
        </is>
      </c>
      <c r="S1271" s="47" t="inlineStr">
        <is>
          <t>gaming, fast boot, content creation</t>
        </is>
      </c>
      <c r="T1271" s="0" t="inlineStr">
        <is>
          <t>in_stock</t>
        </is>
      </c>
      <c r="U1271" s="0" t="n">
        <v>30</v>
      </c>
      <c r="V1271" s="52" t="n">
        <v>317.99</v>
      </c>
      <c r="W1271" s="0" t="inlineStr">
        <is>
          <t>2026-08-13</t>
        </is>
      </c>
      <c r="X1271" s="0" t="inlineStr">
        <is>
          <t>N/A</t>
        </is>
      </c>
      <c r="Y1271" s="0" t="inlineStr">
        <is>
          <t>N/A</t>
        </is>
      </c>
      <c r="Z1271" s="0" t="inlineStr">
        <is>
          <t>N/A</t>
        </is>
      </c>
      <c r="AA1271" s="0" t="inlineStr">
        <is>
          <t>N/A</t>
        </is>
      </c>
    </row>
    <row r="1272" ht="15.75" customHeight="1" s="51">
      <c r="A1272" s="47" t="inlineStr">
        <is>
          <t>THA-126-10</t>
        </is>
      </c>
      <c r="B1272" s="47" t="inlineStr">
        <is>
          <t>Thalassa</t>
        </is>
      </c>
      <c r="C1272" s="47" t="inlineStr">
        <is>
          <t>Computer Hardware</t>
        </is>
      </c>
      <c r="D1272" s="47" t="inlineStr">
        <is>
          <t>Monitor</t>
        </is>
      </c>
      <c r="E1272" s="48" t="inlineStr">
        <is>
          <t>Thalassa Spark X 27" 1440p Monitor</t>
        </is>
      </c>
      <c r="F1272" s="49" t="n">
        <v>485.99</v>
      </c>
      <c r="G1272" s="47" t="inlineStr">
        <is>
          <t>the Spark X; Thalassa Spark X; Thalaassa Spark X; Spark X monitor</t>
        </is>
      </c>
      <c r="H1272" s="47" t="inlineStr">
        <is>
          <t>3 year limited</t>
        </is>
      </c>
      <c r="I1272" s="47" t="inlineStr">
        <is>
          <t>FCC, CE, RoHS, Energy Star, TUV Rheinland Low Blue Light, VESA DisplayHDR 600</t>
        </is>
      </c>
      <c r="J1272" s="47" t="inlineStr">
        <is>
          <t>N/A</t>
        </is>
      </c>
      <c r="K1272" s="47" t="inlineStr">
        <is>
          <t>N/A</t>
        </is>
      </c>
      <c r="L1272" s="47" t="inlineStr">
        <is>
          <t>IPS, 180Hz</t>
        </is>
      </c>
      <c r="M1272" s="47" t="inlineStr">
        <is>
          <t>2560x1440</t>
        </is>
      </c>
      <c r="N1272" s="47" t="inlineStr">
        <is>
          <t>2x HDMI 2.1, 1x DisplayPort 1.4, USB-C 90W, USB hub</t>
        </is>
      </c>
      <c r="O1272" s="47" t="inlineStr">
        <is>
          <t>N/A</t>
        </is>
      </c>
      <c r="P1272" s="47" t="inlineStr">
        <is>
          <t>N/A</t>
        </is>
      </c>
      <c r="Q1272" s="50" t="n">
        <v>5426</v>
      </c>
      <c r="R1272" s="47" t="inlineStr">
        <is>
          <t>Lighter than Harmonia Flux 27" 1440p Monitor [HAR-106-10] (5,426 g vs 6,028 g); Lower price than Urania Wave Air 27" 1440p Monitor [URA-136-09] ($485.99 vs $548.99)</t>
        </is>
      </c>
      <c r="S1272" s="47" t="inlineStr">
        <is>
          <t>gaming, office, content creation</t>
        </is>
      </c>
      <c r="T1272" s="0" t="inlineStr">
        <is>
          <t>in_stock</t>
        </is>
      </c>
      <c r="U1272" s="0" t="n">
        <v>30</v>
      </c>
      <c r="V1272" s="52" t="n">
        <v>549.99</v>
      </c>
      <c r="W1272" s="0" t="inlineStr">
        <is>
          <t>2026-08-30</t>
        </is>
      </c>
      <c r="X1272" s="0" t="inlineStr">
        <is>
          <t>N/A</t>
        </is>
      </c>
      <c r="Y1272" s="0" t="inlineStr">
        <is>
          <t>N/A</t>
        </is>
      </c>
      <c r="Z1272" s="0" t="inlineStr">
        <is>
          <t>N/A</t>
        </is>
      </c>
      <c r="AA1272" s="0" t="inlineStr">
        <is>
          <t>N/A</t>
        </is>
      </c>
    </row>
    <row r="1273" ht="15.75" customHeight="1" s="51">
      <c r="A1273" s="47" t="inlineStr">
        <is>
          <t>PAL-127-01</t>
        </is>
      </c>
      <c r="B1273" s="47" t="inlineStr">
        <is>
          <t>Palaemon</t>
        </is>
      </c>
      <c r="C1273" s="47" t="inlineStr">
        <is>
          <t>Computer Hardware</t>
        </is>
      </c>
      <c r="D1273" s="47" t="inlineStr">
        <is>
          <t>Case Fans</t>
        </is>
      </c>
      <c r="E1273" s="48" t="inlineStr">
        <is>
          <t>Palaemon Halo Air RGB Case Fan 3-Pack</t>
        </is>
      </c>
      <c r="F1273" s="49" t="n">
        <v>65.98999999999999</v>
      </c>
      <c r="G1273" s="47" t="inlineStr">
        <is>
          <t>the Halo Air; Palaemon Halo Air; Palaaemon Halo Air; Halo Air case fans</t>
        </is>
      </c>
      <c r="H1273" s="47" t="inlineStr">
        <is>
          <t>2 year limited</t>
        </is>
      </c>
      <c r="I1273" s="47" t="inlineStr">
        <is>
          <t>FCC, CE, RoHS</t>
        </is>
      </c>
      <c r="J1273" s="47" t="inlineStr">
        <is>
          <t>N/A</t>
        </is>
      </c>
      <c r="K1273" s="47" t="inlineStr">
        <is>
          <t>N/A</t>
        </is>
      </c>
      <c r="L1273" s="47" t="inlineStr">
        <is>
          <t>N/A</t>
        </is>
      </c>
      <c r="M1273" s="47" t="inlineStr">
        <is>
          <t>N/A</t>
        </is>
      </c>
      <c r="N1273" s="47" t="inlineStr">
        <is>
          <t>4-pin PWM, 3-pin 5V ARGB, daisy-chain connectors</t>
        </is>
      </c>
      <c r="O1273" s="47" t="inlineStr">
        <is>
          <t>N/A</t>
        </is>
      </c>
      <c r="P1273" s="47" t="inlineStr">
        <is>
          <t>N/A</t>
        </is>
      </c>
      <c r="Q1273" s="50" t="n">
        <v>491</v>
      </c>
      <c r="R1273" s="47" t="inlineStr">
        <is>
          <t>Lower price than Hermes Arc X RGB Case Fan 3-Pack [HER-103-02] ($65.99 vs $73.99); Lighter than Eurybia Core RGB Case Fan 3-Pack [EUR-104-01] (491 g vs 516 g)</t>
        </is>
      </c>
      <c r="S1273" s="47" t="inlineStr">
        <is>
          <t>PC building, cooling, RGB builds</t>
        </is>
      </c>
      <c r="T1273" s="0" t="inlineStr">
        <is>
          <t>in_stock</t>
        </is>
      </c>
      <c r="U1273" s="0" t="n">
        <v>30</v>
      </c>
      <c r="V1273" s="52" t="n">
        <v>68.98999999999999</v>
      </c>
      <c r="W1273" s="0" t="inlineStr">
        <is>
          <t>2026-09-03</t>
        </is>
      </c>
      <c r="X1273" s="0" t="inlineStr">
        <is>
          <t>N/A</t>
        </is>
      </c>
      <c r="Y1273" s="0" t="inlineStr">
        <is>
          <t>N/A</t>
        </is>
      </c>
      <c r="Z1273" s="0" t="inlineStr">
        <is>
          <t>N/A</t>
        </is>
      </c>
      <c r="AA1273" s="0" t="inlineStr">
        <is>
          <t>N/A</t>
        </is>
      </c>
    </row>
    <row r="1274" ht="15.75" customHeight="1" s="51">
      <c r="A1274" s="47" t="inlineStr">
        <is>
          <t>PAL-127-02</t>
        </is>
      </c>
      <c r="B1274" s="47" t="inlineStr">
        <is>
          <t>Palaemon</t>
        </is>
      </c>
      <c r="C1274" s="47" t="inlineStr">
        <is>
          <t>Computer Hardware</t>
        </is>
      </c>
      <c r="D1274" s="47" t="inlineStr">
        <is>
          <t>PC Case</t>
        </is>
      </c>
      <c r="E1274" s="48" t="inlineStr">
        <is>
          <t>Palaemon Volt Ultra Mid-Tower PC Case</t>
        </is>
      </c>
      <c r="F1274" s="49" t="n">
        <v>66.98999999999999</v>
      </c>
      <c r="G1274" s="47" t="inlineStr">
        <is>
          <t>the Volt Ultra; Palaemon Volt Ultra; Palaemo Volt Ultra; Volt Ultra pc case</t>
        </is>
      </c>
      <c r="H1274" s="47" t="inlineStr">
        <is>
          <t>2 year limited</t>
        </is>
      </c>
      <c r="I1274" s="47" t="inlineStr">
        <is>
          <t>FCC, CE, RoHS, UL 94 V-0 (materials)</t>
        </is>
      </c>
      <c r="J1274" s="47" t="inlineStr">
        <is>
          <t>N/A</t>
        </is>
      </c>
      <c r="K1274" s="47" t="inlineStr">
        <is>
          <t>N/A</t>
        </is>
      </c>
      <c r="L1274" s="47" t="inlineStr">
        <is>
          <t>N/A</t>
        </is>
      </c>
      <c r="M1274" s="47" t="inlineStr">
        <is>
          <t>N/A</t>
        </is>
      </c>
      <c r="N1274" s="47" t="inlineStr">
        <is>
          <t>Front I/O: 1x USB-C 10Gbps, 2x USB-A 3.0, 3.5mm combo audio</t>
        </is>
      </c>
      <c r="O1274" s="47" t="inlineStr">
        <is>
          <t>N/A</t>
        </is>
      </c>
      <c r="P1274" s="47" t="inlineStr">
        <is>
          <t>N/A</t>
        </is>
      </c>
      <c r="Q1274" s="50" t="n">
        <v>8448</v>
      </c>
      <c r="R1274" s="47" t="inlineStr">
        <is>
          <t>Lower price than Harmonia Pulse SE Mid-Tower PC Case [HAR-106-04] ($66.99 vs $150.99); Lighter than Eileithyia Quanta Air Mid-Tower PC Case [EIL-149-04] (8,448 g vs 9,190 g)</t>
        </is>
      </c>
      <c r="S1274" s="47" t="inlineStr">
        <is>
          <t>PC building, gaming</t>
        </is>
      </c>
      <c r="T1274" s="0" t="inlineStr">
        <is>
          <t>in_stock</t>
        </is>
      </c>
      <c r="U1274" s="0" t="n">
        <v>30</v>
      </c>
      <c r="V1274" s="52" t="n">
        <v>69.98999999999999</v>
      </c>
      <c r="W1274" s="0" t="inlineStr">
        <is>
          <t>2026-08-12</t>
        </is>
      </c>
      <c r="X1274" s="0" t="inlineStr">
        <is>
          <t>N/A</t>
        </is>
      </c>
      <c r="Y1274" s="0" t="inlineStr">
        <is>
          <t>N/A</t>
        </is>
      </c>
      <c r="Z1274" s="0" t="inlineStr">
        <is>
          <t>N/A</t>
        </is>
      </c>
      <c r="AA1274" s="0" t="inlineStr">
        <is>
          <t>N/A</t>
        </is>
      </c>
    </row>
    <row r="1275" ht="15.75" customHeight="1" s="51">
      <c r="A1275" s="47" t="inlineStr">
        <is>
          <t>PAL-127-03</t>
        </is>
      </c>
      <c r="B1275" s="47" t="inlineStr">
        <is>
          <t>Palaemon</t>
        </is>
      </c>
      <c r="C1275" s="47" t="inlineStr">
        <is>
          <t>Computer Hardware</t>
        </is>
      </c>
      <c r="D1275" s="47" t="inlineStr">
        <is>
          <t>Mouse</t>
        </is>
      </c>
      <c r="E1275" s="48" t="inlineStr">
        <is>
          <t>Palaemon Arc Air Gaming Mouse</t>
        </is>
      </c>
      <c r="F1275" s="49" t="n">
        <v>117.99</v>
      </c>
      <c r="G1275" s="47" t="inlineStr">
        <is>
          <t>the Arc Air; Palaemon Arc Air; Paalemon Arc Air; Arc Air mouse</t>
        </is>
      </c>
      <c r="H1275" s="47" t="inlineStr">
        <is>
          <t>2 year limited</t>
        </is>
      </c>
      <c r="I1275" s="47" t="inlineStr">
        <is>
          <t>FCC, CE, RoHS, Bluetooth SIG Qualified</t>
        </is>
      </c>
      <c r="J1275" s="47" t="inlineStr">
        <is>
          <t>Sensor: 30K DPI optical</t>
        </is>
      </c>
      <c r="K1275" s="47" t="inlineStr">
        <is>
          <t>N/A</t>
        </is>
      </c>
      <c r="L1275" s="47" t="inlineStr">
        <is>
          <t>N/A</t>
        </is>
      </c>
      <c r="M1275" s="47" t="inlineStr">
        <is>
          <t>N/A</t>
        </is>
      </c>
      <c r="N1275" s="47" t="inlineStr">
        <is>
          <t>USB-C, 2.4GHz dongle, Bluetooth 5.1</t>
        </is>
      </c>
      <c r="O1275" s="47" t="inlineStr">
        <is>
          <t>N/A</t>
        </is>
      </c>
      <c r="P1275" s="47" t="n">
        <v>114</v>
      </c>
      <c r="Q1275" s="50" t="n">
        <v>71</v>
      </c>
      <c r="R1275" s="47" t="inlineStr">
        <is>
          <t>Lower price than Apollo Lumen X Gaming Mouse [APO-109-06] ($117.99 vs $142.99); Longer battery than Eris Halo SE Gaming Mouse [ERI-148-03] (114 vs 74 hrs)</t>
        </is>
      </c>
      <c r="S1275" s="47" t="inlineStr">
        <is>
          <t>gaming, esports</t>
        </is>
      </c>
      <c r="T1275" s="0" t="inlineStr">
        <is>
          <t>in_stock</t>
        </is>
      </c>
      <c r="U1275" s="0" t="n">
        <v>30</v>
      </c>
      <c r="V1275" s="52" t="n">
        <v>126.99</v>
      </c>
      <c r="W1275" s="0" t="inlineStr">
        <is>
          <t>2026-09-15</t>
        </is>
      </c>
      <c r="X1275" s="0" t="inlineStr">
        <is>
          <t>N/A</t>
        </is>
      </c>
      <c r="Y1275" s="0" t="inlineStr">
        <is>
          <t>N/A</t>
        </is>
      </c>
      <c r="Z1275" s="0" t="inlineStr">
        <is>
          <t>N/A</t>
        </is>
      </c>
      <c r="AA1275" s="0" t="inlineStr">
        <is>
          <t>N/A</t>
        </is>
      </c>
    </row>
    <row r="1276" ht="15.75" customHeight="1" s="51">
      <c r="A1276" s="47" t="inlineStr">
        <is>
          <t>PAL-127-04</t>
        </is>
      </c>
      <c r="B1276" s="47" t="inlineStr">
        <is>
          <t>Palaemon</t>
        </is>
      </c>
      <c r="C1276" s="47" t="inlineStr">
        <is>
          <t>Computer Hardware</t>
        </is>
      </c>
      <c r="D1276" s="47" t="inlineStr">
        <is>
          <t>Keyboard</t>
        </is>
      </c>
      <c r="E1276" s="48" t="inlineStr">
        <is>
          <t>Palaemon Apex Max Mechanical Keyboard</t>
        </is>
      </c>
      <c r="F1276" s="49" t="n">
        <v>121.99</v>
      </c>
      <c r="G1276" s="47" t="inlineStr">
        <is>
          <t>the Apex Max; Palaemon Apex Max; Palameon Apex Max; Apex Max keyboard</t>
        </is>
      </c>
      <c r="H1276" s="47" t="inlineStr">
        <is>
          <t>2 year limited</t>
        </is>
      </c>
      <c r="I1276" s="47" t="inlineStr">
        <is>
          <t>FCC, CE, RoHS, Bluetooth SIG Qualified</t>
        </is>
      </c>
      <c r="J1276" s="47" t="inlineStr">
        <is>
          <t>N/A</t>
        </is>
      </c>
      <c r="K1276" s="47" t="inlineStr">
        <is>
          <t>N/A</t>
        </is>
      </c>
      <c r="L1276" s="47" t="inlineStr">
        <is>
          <t>N/A</t>
        </is>
      </c>
      <c r="M1276" s="47" t="inlineStr">
        <is>
          <t>N/A</t>
        </is>
      </c>
      <c r="N1276" s="47" t="inlineStr">
        <is>
          <t>USB-C, 2.4GHz dongle, Bluetooth 5.1</t>
        </is>
      </c>
      <c r="O1276" s="47" t="inlineStr">
        <is>
          <t>N/A</t>
        </is>
      </c>
      <c r="P1276" s="47" t="n">
        <v>335</v>
      </c>
      <c r="Q1276" s="50" t="n">
        <v>1015</v>
      </c>
      <c r="R1276" s="47" t="inlineStr">
        <is>
          <t>Longer battery than Phanes Drift Max Mechanical Keyboard [PHA-138-05] (335 vs 253 hrs); Lighter than Thalassa Titan Plus Mechanical Keyboard [THA-126-05] (1,015 g vs 1,167 g)</t>
        </is>
      </c>
      <c r="S1276" s="47" t="inlineStr">
        <is>
          <t>gaming, typing, office</t>
        </is>
      </c>
      <c r="T1276" s="0" t="inlineStr">
        <is>
          <t>in_stock</t>
        </is>
      </c>
      <c r="U1276" s="0" t="n">
        <v>30</v>
      </c>
      <c r="V1276" s="52" t="n">
        <v>129.99</v>
      </c>
      <c r="W1276" s="0" t="inlineStr">
        <is>
          <t>2026-09-21</t>
        </is>
      </c>
      <c r="X1276" s="0" t="inlineStr">
        <is>
          <t>N/A</t>
        </is>
      </c>
      <c r="Y1276" s="0" t="inlineStr">
        <is>
          <t>N/A</t>
        </is>
      </c>
      <c r="Z1276" s="0" t="inlineStr">
        <is>
          <t>N/A</t>
        </is>
      </c>
      <c r="AA1276" s="0" t="inlineStr">
        <is>
          <t>N/A</t>
        </is>
      </c>
    </row>
    <row r="1277" ht="15.75" customHeight="1" s="51">
      <c r="A1277" s="47" t="inlineStr">
        <is>
          <t>PAL-127-05</t>
        </is>
      </c>
      <c r="B1277" s="47" t="inlineStr">
        <is>
          <t>Palaemon</t>
        </is>
      </c>
      <c r="C1277" s="47" t="inlineStr">
        <is>
          <t>Computer Hardware</t>
        </is>
      </c>
      <c r="D1277" s="47" t="inlineStr">
        <is>
          <t>Memory</t>
        </is>
      </c>
      <c r="E1277" s="48" t="inlineStr">
        <is>
          <t>Palaemon Axis 32GB DDR5 RAM Kit</t>
        </is>
      </c>
      <c r="F1277" s="49" t="n">
        <v>151.99</v>
      </c>
      <c r="G1277" s="47" t="inlineStr">
        <is>
          <t>the Axis; Palaemon Axis; Paalemon Axis; Axis memory</t>
        </is>
      </c>
      <c r="H1277" s="47" t="inlineStr">
        <is>
          <t>Limited lifetime</t>
        </is>
      </c>
      <c r="I1277" s="47" t="inlineStr">
        <is>
          <t>FCC, CE, RoHS</t>
        </is>
      </c>
      <c r="J1277" s="47" t="inlineStr">
        <is>
          <t>N/A</t>
        </is>
      </c>
      <c r="K1277" s="47" t="inlineStr">
        <is>
          <t>N/A</t>
        </is>
      </c>
      <c r="L1277" s="47" t="inlineStr">
        <is>
          <t>N/A</t>
        </is>
      </c>
      <c r="M1277" s="47" t="inlineStr">
        <is>
          <t>N/A</t>
        </is>
      </c>
      <c r="N1277" s="47" t="inlineStr">
        <is>
          <t>2x 16GB DDR5 288-pin DIMM, 6000 MT/s</t>
        </is>
      </c>
      <c r="O1277" s="47" t="inlineStr">
        <is>
          <t>N/A</t>
        </is>
      </c>
      <c r="P1277" s="47" t="inlineStr">
        <is>
          <t>N/A</t>
        </is>
      </c>
      <c r="Q1277" s="50" t="n">
        <v>82</v>
      </c>
      <c r="R1277" s="47" t="inlineStr">
        <is>
          <t>Lighter than Psyche Crest Pro 32GB DDR5 RAM Kit [PSY-144-04] (82 g vs 84 g); Lower price than Hymenaeus Blaze X 32GB DDR5 RAM Kit [HYM-121-05] ($151.99 vs $225.99)</t>
        </is>
      </c>
      <c r="S1277" s="47" t="inlineStr">
        <is>
          <t>gaming, multitasking, PC building</t>
        </is>
      </c>
      <c r="T1277" s="0" t="inlineStr">
        <is>
          <t>in_stock</t>
        </is>
      </c>
      <c r="U1277" s="0" t="n">
        <v>30</v>
      </c>
      <c r="V1277" s="52" t="n">
        <v>164.99</v>
      </c>
      <c r="W1277" s="0" t="inlineStr">
        <is>
          <t>2026-09-13</t>
        </is>
      </c>
      <c r="X1277" s="0" t="inlineStr">
        <is>
          <t>N/A</t>
        </is>
      </c>
      <c r="Y1277" s="0" t="inlineStr">
        <is>
          <t>N/A</t>
        </is>
      </c>
      <c r="Z1277" s="0" t="inlineStr">
        <is>
          <t>N/A</t>
        </is>
      </c>
      <c r="AA1277" s="0" t="inlineStr">
        <is>
          <t>N/A</t>
        </is>
      </c>
    </row>
    <row r="1278" ht="15.75" customHeight="1" s="51">
      <c r="A1278" s="47" t="inlineStr">
        <is>
          <t>PAL-127-06</t>
        </is>
      </c>
      <c r="B1278" s="47" t="inlineStr">
        <is>
          <t>Palaemon</t>
        </is>
      </c>
      <c r="C1278" s="47" t="inlineStr">
        <is>
          <t>Computer Hardware</t>
        </is>
      </c>
      <c r="D1278" s="47" t="inlineStr">
        <is>
          <t>Storage</t>
        </is>
      </c>
      <c r="E1278" s="48" t="inlineStr">
        <is>
          <t>Palaemon Arc Air 4TB External Hard Drive</t>
        </is>
      </c>
      <c r="F1278" s="49" t="n">
        <v>198.99</v>
      </c>
      <c r="G1278" s="47" t="inlineStr">
        <is>
          <t>the Arc Air; Palaemon Arc Air; Paalaemon Arc Air; Arc Air storage</t>
        </is>
      </c>
      <c r="H1278" s="47" t="inlineStr">
        <is>
          <t>2 year limited</t>
        </is>
      </c>
      <c r="I1278" s="47" t="inlineStr">
        <is>
          <t>FCC, CE, RoHS, USB-IF Certified</t>
        </is>
      </c>
      <c r="J1278" s="47" t="inlineStr">
        <is>
          <t>N/A</t>
        </is>
      </c>
      <c r="K1278" s="47" t="inlineStr">
        <is>
          <t>N/A</t>
        </is>
      </c>
      <c r="L1278" s="47" t="inlineStr">
        <is>
          <t>N/A</t>
        </is>
      </c>
      <c r="M1278" s="47" t="inlineStr">
        <is>
          <t>N/A</t>
        </is>
      </c>
      <c r="N1278" s="47" t="inlineStr">
        <is>
          <t>USB-C (USB 3.2 Gen 1)</t>
        </is>
      </c>
      <c r="O1278" s="47" t="inlineStr">
        <is>
          <t>N/A</t>
        </is>
      </c>
      <c r="P1278" s="47" t="inlineStr">
        <is>
          <t>N/A</t>
        </is>
      </c>
      <c r="Q1278" s="50" t="n">
        <v>225</v>
      </c>
      <c r="R1278" s="47" t="inlineStr">
        <is>
          <t>Lighter than Nike Rift Air 4TB External Hard Drive [NIK-132-07] (225 g vs 241 g)</t>
        </is>
      </c>
      <c r="S1278" s="47" t="inlineStr">
        <is>
          <t>backup, media storage</t>
        </is>
      </c>
      <c r="T1278" s="0" t="inlineStr">
        <is>
          <t>in_stock</t>
        </is>
      </c>
      <c r="U1278" s="0" t="n">
        <v>30</v>
      </c>
      <c r="V1278" s="52" t="n">
        <v>226.99</v>
      </c>
      <c r="W1278" s="0" t="inlineStr">
        <is>
          <t>2026-09-22</t>
        </is>
      </c>
      <c r="X1278" s="0" t="inlineStr">
        <is>
          <t>N/A</t>
        </is>
      </c>
      <c r="Y1278" s="0" t="inlineStr">
        <is>
          <t>N/A</t>
        </is>
      </c>
      <c r="Z1278" s="0" t="inlineStr">
        <is>
          <t>N/A</t>
        </is>
      </c>
      <c r="AA1278" s="0" t="inlineStr">
        <is>
          <t>N/A</t>
        </is>
      </c>
    </row>
    <row r="1279" ht="15.75" customHeight="1" s="51">
      <c r="A1279" s="47" t="inlineStr">
        <is>
          <t>PAL-127-07</t>
        </is>
      </c>
      <c r="B1279" s="47" t="inlineStr">
        <is>
          <t>Palaemon</t>
        </is>
      </c>
      <c r="C1279" s="47" t="inlineStr">
        <is>
          <t>Computer Hardware</t>
        </is>
      </c>
      <c r="D1279" s="47" t="inlineStr">
        <is>
          <t>Motherboard</t>
        </is>
      </c>
      <c r="E1279" s="48" t="inlineStr">
        <is>
          <t>Palaemon Crest Air ATX Motherboard</t>
        </is>
      </c>
      <c r="F1279" s="49" t="n">
        <v>200.99</v>
      </c>
      <c r="G1279" s="47" t="inlineStr">
        <is>
          <t>the Crest Air; Palaemon Crest Air; Palaeemon Crest Air; Crest Air motherboard</t>
        </is>
      </c>
      <c r="H1279" s="47" t="inlineStr">
        <is>
          <t>3 year limited</t>
        </is>
      </c>
      <c r="I1279" s="47" t="inlineStr">
        <is>
          <t>FCC, CE, RoHS</t>
        </is>
      </c>
      <c r="J1279" s="47" t="inlineStr">
        <is>
          <t>Supports AMD Ryzen 7000/8000/9000 (Socket AM5)</t>
        </is>
      </c>
      <c r="K1279" s="47" t="inlineStr">
        <is>
          <t>N/A</t>
        </is>
      </c>
      <c r="L1279" s="47" t="inlineStr">
        <is>
          <t>N/A</t>
        </is>
      </c>
      <c r="M1279" s="47" t="inlineStr">
        <is>
          <t>N/A</t>
        </is>
      </c>
      <c r="N1279" s="47" t="inlineStr">
        <is>
          <t>Rear I/O: 1x HDMI, 6x USB-A, 1x USB-C 10Gbps, 2.5GbE, Wi-Fi 6E</t>
        </is>
      </c>
      <c r="O1279" s="47" t="inlineStr">
        <is>
          <t>N/A</t>
        </is>
      </c>
      <c r="P1279" s="47" t="inlineStr">
        <is>
          <t>N/A</t>
        </is>
      </c>
      <c r="Q1279" s="50" t="n">
        <v>1403</v>
      </c>
      <c r="R1279" s="47" t="inlineStr">
        <is>
          <t>Lower price than Phanes Lumen Lite ATX Motherboard [PHA-138-08] ($200.99 vs $255.99); Lighter than Eos Aria Pro ATX Motherboard [EOS-111-08] (1,403 g vs 1,754 g)</t>
        </is>
      </c>
      <c r="S1279" s="47" t="inlineStr">
        <is>
          <t>PC building, gaming, workstation builds</t>
        </is>
      </c>
      <c r="T1279" s="0" t="inlineStr">
        <is>
          <t>in_stock</t>
        </is>
      </c>
      <c r="U1279" s="0" t="n">
        <v>30</v>
      </c>
      <c r="V1279" s="52" t="n">
        <v>229.99</v>
      </c>
      <c r="W1279" s="0" t="inlineStr">
        <is>
          <t>2026-09-10</t>
        </is>
      </c>
      <c r="X1279" s="0" t="inlineStr">
        <is>
          <t>N/A</t>
        </is>
      </c>
      <c r="Y1279" s="0" t="inlineStr">
        <is>
          <t>N/A</t>
        </is>
      </c>
      <c r="Z1279" s="0" t="inlineStr">
        <is>
          <t>N/A</t>
        </is>
      </c>
      <c r="AA1279" s="0" t="inlineStr">
        <is>
          <t>N/A</t>
        </is>
      </c>
    </row>
    <row r="1280" ht="15.75" customHeight="1" s="51">
      <c r="A1280" s="47" t="inlineStr">
        <is>
          <t>PAL-127-08</t>
        </is>
      </c>
      <c r="B1280" s="47" t="inlineStr">
        <is>
          <t>Palaemon</t>
        </is>
      </c>
      <c r="C1280" s="47" t="inlineStr">
        <is>
          <t>Computer Hardware</t>
        </is>
      </c>
      <c r="D1280" s="47" t="inlineStr">
        <is>
          <t>Processor</t>
        </is>
      </c>
      <c r="E1280" s="48" t="inlineStr">
        <is>
          <t>Palaemon Aria Desktop CPU</t>
        </is>
      </c>
      <c r="F1280" s="49" t="n">
        <v>277.99</v>
      </c>
      <c r="G1280" s="47" t="inlineStr">
        <is>
          <t>the Aria; Palaemon Aria; Plaaemon Aria; Aria processor</t>
        </is>
      </c>
      <c r="H1280" s="47" t="inlineStr">
        <is>
          <t>3 year limited</t>
        </is>
      </c>
      <c r="I1280" s="47" t="inlineStr">
        <is>
          <t>FCC, CE, RoHS</t>
        </is>
      </c>
      <c r="J1280" s="47" t="inlineStr">
        <is>
          <t>Palaemon Aria 8-core / 16-thread, up to 4.9 GHz</t>
        </is>
      </c>
      <c r="K1280" s="47" t="inlineStr">
        <is>
          <t>Integrated graphics</t>
        </is>
      </c>
      <c r="L1280" s="47" t="inlineStr">
        <is>
          <t>N/A</t>
        </is>
      </c>
      <c r="M1280" s="47" t="inlineStr">
        <is>
          <t>N/A</t>
        </is>
      </c>
      <c r="N1280" s="47" t="inlineStr">
        <is>
          <t>N/A</t>
        </is>
      </c>
      <c r="O1280" s="47" t="inlineStr">
        <is>
          <t>N/A</t>
        </is>
      </c>
      <c r="P1280" s="47" t="inlineStr">
        <is>
          <t>N/A</t>
        </is>
      </c>
      <c r="Q1280" s="50" t="n">
        <v>52</v>
      </c>
      <c r="R1280" s="47" t="inlineStr">
        <is>
          <t>Lower price than Eos Volt Plus Desktop CPU [EOS-111-09] ($277.99 vs $692.99); Lighter than Aidos Onyx X Desktop CPU [AID-135-09] (52 g vs 55 g)</t>
        </is>
      </c>
      <c r="S1280" s="47" t="inlineStr">
        <is>
          <t>gaming, content creation, workstation builds</t>
        </is>
      </c>
      <c r="T1280" s="0" t="inlineStr">
        <is>
          <t>in_stock</t>
        </is>
      </c>
      <c r="U1280" s="0" t="n">
        <v>30</v>
      </c>
      <c r="V1280" s="52" t="n">
        <v>295.99</v>
      </c>
      <c r="W1280" s="0" t="inlineStr">
        <is>
          <t>2026-09-08</t>
        </is>
      </c>
      <c r="X1280" s="0" t="inlineStr">
        <is>
          <t>N/A</t>
        </is>
      </c>
      <c r="Y1280" s="0" t="inlineStr">
        <is>
          <t>N/A</t>
        </is>
      </c>
      <c r="Z1280" s="0" t="inlineStr">
        <is>
          <t>N/A</t>
        </is>
      </c>
      <c r="AA1280" s="0" t="inlineStr">
        <is>
          <t>N/A</t>
        </is>
      </c>
    </row>
    <row r="1281" ht="15.75" customHeight="1" s="51">
      <c r="A1281" s="47" t="inlineStr">
        <is>
          <t>PAL-127-09</t>
        </is>
      </c>
      <c r="B1281" s="47" t="inlineStr">
        <is>
          <t>Palaemon</t>
        </is>
      </c>
      <c r="C1281" s="47" t="inlineStr">
        <is>
          <t>Computer Hardware</t>
        </is>
      </c>
      <c r="D1281" s="47" t="inlineStr">
        <is>
          <t>Monitor</t>
        </is>
      </c>
      <c r="E1281" s="48" t="inlineStr">
        <is>
          <t>Palaemon Nimbus SE 27" 1440p Monitor</t>
        </is>
      </c>
      <c r="F1281" s="49" t="n">
        <v>672.99</v>
      </c>
      <c r="G1281" s="47" t="inlineStr">
        <is>
          <t>the Nimbus SE; Palaemon Nimbus SE; Palaaemon Nimbus SE; Nimbus SE monitor</t>
        </is>
      </c>
      <c r="H1281" s="47" t="inlineStr">
        <is>
          <t>3 year limited</t>
        </is>
      </c>
      <c r="I1281" s="47" t="inlineStr">
        <is>
          <t>FCC, CE, RoHS, Energy Star, TUV Rheinland Low Blue Light, VESA DisplayHDR True Black 400</t>
        </is>
      </c>
      <c r="J1281" s="47" t="inlineStr">
        <is>
          <t>N/A</t>
        </is>
      </c>
      <c r="K1281" s="47" t="inlineStr">
        <is>
          <t>N/A</t>
        </is>
      </c>
      <c r="L1281" s="47" t="inlineStr">
        <is>
          <t>QD-OLED, 360Hz</t>
        </is>
      </c>
      <c r="M1281" s="47" t="inlineStr">
        <is>
          <t>2560x1440</t>
        </is>
      </c>
      <c r="N1281" s="47" t="inlineStr">
        <is>
          <t>2x HDMI 2.1, 1x DisplayPort 1.4, USB-C 90W, USB hub</t>
        </is>
      </c>
      <c r="O1281" s="47" t="inlineStr">
        <is>
          <t>N/A</t>
        </is>
      </c>
      <c r="P1281" s="47" t="inlineStr">
        <is>
          <t>N/A</t>
        </is>
      </c>
      <c r="Q1281" s="50" t="n">
        <v>6400</v>
      </c>
      <c r="R1281" s="47" t="inlineStr">
        <is>
          <t>Lighter than Themis Zen SE 27" 1440p Monitor [THE-145-10] (6,400 g vs 7,033 g); Lower price than Eris Crest Plus 27" 1440p Monitor [ERI-148-10] ($672.99 vs $688.99)</t>
        </is>
      </c>
      <c r="S1281" s="47" t="inlineStr">
        <is>
          <t>gaming, office, content creation</t>
        </is>
      </c>
      <c r="T1281" s="0" t="inlineStr">
        <is>
          <t>in_stock</t>
        </is>
      </c>
      <c r="U1281" s="0" t="n">
        <v>30</v>
      </c>
      <c r="V1281" s="52" t="n">
        <v>728.99</v>
      </c>
      <c r="W1281" s="0" t="inlineStr">
        <is>
          <t>2026-09-19</t>
        </is>
      </c>
      <c r="X1281" s="0" t="inlineStr">
        <is>
          <t>N/A</t>
        </is>
      </c>
      <c r="Y1281" s="0" t="inlineStr">
        <is>
          <t>N/A</t>
        </is>
      </c>
      <c r="Z1281" s="0" t="inlineStr">
        <is>
          <t>N/A</t>
        </is>
      </c>
      <c r="AA1281" s="0" t="inlineStr">
        <is>
          <t>N/A</t>
        </is>
      </c>
    </row>
    <row r="1282" ht="15.75" customHeight="1" s="51">
      <c r="A1282" s="47" t="inlineStr">
        <is>
          <t>PAL-127-10</t>
        </is>
      </c>
      <c r="B1282" s="47" t="inlineStr">
        <is>
          <t>Palaemon</t>
        </is>
      </c>
      <c r="C1282" s="47" t="inlineStr">
        <is>
          <t>Computer Hardware</t>
        </is>
      </c>
      <c r="D1282" s="47" t="inlineStr">
        <is>
          <t>Graphics Card</t>
        </is>
      </c>
      <c r="E1282" s="48" t="inlineStr">
        <is>
          <t>Palaemon Sable Lite Graphics Card</t>
        </is>
      </c>
      <c r="F1282" s="49" t="n">
        <v>1784.99</v>
      </c>
      <c r="G1282" s="47" t="inlineStr">
        <is>
          <t>the Sable Lite; Palaemon Sable Lite; Paalaemon Sable Lite; Sable Lite graphics card</t>
        </is>
      </c>
      <c r="H1282" s="47" t="inlineStr">
        <is>
          <t>3 year limited</t>
        </is>
      </c>
      <c r="I1282" s="47" t="inlineStr">
        <is>
          <t>FCC, CE, RoHS</t>
        </is>
      </c>
      <c r="J1282" s="47" t="inlineStr">
        <is>
          <t>N/A</t>
        </is>
      </c>
      <c r="K1282" s="47" t="inlineStr">
        <is>
          <t>NVIDIA GeForce RTX 4090 24GB (Palaemon Sable edition)</t>
        </is>
      </c>
      <c r="L1282" s="47" t="inlineStr">
        <is>
          <t>N/A</t>
        </is>
      </c>
      <c r="M1282" s="47" t="inlineStr">
        <is>
          <t>N/A</t>
        </is>
      </c>
      <c r="N1282" s="47" t="inlineStr">
        <is>
          <t>3x DisplayPort 1.4a, 1x HDMI 2.1a</t>
        </is>
      </c>
      <c r="O1282" s="47" t="inlineStr">
        <is>
          <t>N/A</t>
        </is>
      </c>
      <c r="P1282" s="47" t="inlineStr">
        <is>
          <t>N/A</t>
        </is>
      </c>
      <c r="Q1282" s="50" t="n">
        <v>1945</v>
      </c>
      <c r="R1282" s="47" t="inlineStr">
        <is>
          <t>Lighter than Eileithyia Aria Max Graphics Card [EIL-149-10] (1,945 g vs 2,064 g); Lower price than Notus Crest Max Graphics Card [NOT-108-10] ($1,784.99 vs $1,956.99)</t>
        </is>
      </c>
      <c r="S1282" s="47" t="inlineStr">
        <is>
          <t>gaming, 3D rendering, AI workloads</t>
        </is>
      </c>
      <c r="T1282" s="0" t="inlineStr">
        <is>
          <t>in_stock</t>
        </is>
      </c>
      <c r="U1282" s="0" t="n">
        <v>30</v>
      </c>
      <c r="V1282" s="52" t="n">
        <v>2050.99</v>
      </c>
      <c r="W1282" s="0" t="inlineStr">
        <is>
          <t>2026-08-18</t>
        </is>
      </c>
      <c r="X1282" s="0" t="inlineStr">
        <is>
          <t>N/A</t>
        </is>
      </c>
      <c r="Y1282" s="0" t="inlineStr">
        <is>
          <t>N/A</t>
        </is>
      </c>
      <c r="Z1282" s="0" t="inlineStr">
        <is>
          <t>N/A</t>
        </is>
      </c>
      <c r="AA1282" s="0" t="inlineStr">
        <is>
          <t>N/A</t>
        </is>
      </c>
    </row>
    <row r="1283" ht="15.75" customHeight="1" s="51">
      <c r="A1283" s="47" t="inlineStr">
        <is>
          <t>DIO-128-01</t>
        </is>
      </c>
      <c r="B1283" s="47" t="inlineStr">
        <is>
          <t>Dione</t>
        </is>
      </c>
      <c r="C1283" s="47" t="inlineStr">
        <is>
          <t>Computer Hardware</t>
        </is>
      </c>
      <c r="D1283" s="47" t="inlineStr">
        <is>
          <t>Case Fans</t>
        </is>
      </c>
      <c r="E1283" s="48" t="inlineStr">
        <is>
          <t>Dione Blaze Air RGB Case Fan 3-Pack</t>
        </is>
      </c>
      <c r="F1283" s="49" t="n">
        <v>50.99</v>
      </c>
      <c r="G1283" s="47" t="inlineStr">
        <is>
          <t>the Blaze Air; Dione Blaze Air; Dioone Blaze Air; Blaze Air case fans</t>
        </is>
      </c>
      <c r="H1283" s="47" t="inlineStr">
        <is>
          <t>2 year limited</t>
        </is>
      </c>
      <c r="I1283" s="47" t="inlineStr">
        <is>
          <t>FCC, CE, RoHS</t>
        </is>
      </c>
      <c r="J1283" s="47" t="inlineStr">
        <is>
          <t>N/A</t>
        </is>
      </c>
      <c r="K1283" s="47" t="inlineStr">
        <is>
          <t>N/A</t>
        </is>
      </c>
      <c r="L1283" s="47" t="inlineStr">
        <is>
          <t>N/A</t>
        </is>
      </c>
      <c r="M1283" s="47" t="inlineStr">
        <is>
          <t>N/A</t>
        </is>
      </c>
      <c r="N1283" s="47" t="inlineStr">
        <is>
          <t>4-pin PWM, 3-pin 5V ARGB, daisy-chain connectors</t>
        </is>
      </c>
      <c r="O1283" s="47" t="inlineStr">
        <is>
          <t>N/A</t>
        </is>
      </c>
      <c r="P1283" s="47" t="inlineStr">
        <is>
          <t>N/A</t>
        </is>
      </c>
      <c r="Q1283" s="50" t="n">
        <v>437</v>
      </c>
      <c r="R1283" s="47" t="inlineStr">
        <is>
          <t>Lower price than Kairos Core Max RGB Case Fan 3-Pack [KAI-142-02] ($50.99 vs $89.99); Lighter than Eucleia Halo RGB Case Fan 3-Pack [EUC-124-01] (437 g vs 519 g)</t>
        </is>
      </c>
      <c r="S1283" s="47" t="inlineStr">
        <is>
          <t>PC building, cooling, RGB builds</t>
        </is>
      </c>
      <c r="T1283" s="0" t="inlineStr">
        <is>
          <t>in_stock</t>
        </is>
      </c>
      <c r="U1283" s="0" t="n">
        <v>30</v>
      </c>
      <c r="V1283" s="52" t="n">
        <v>55.99</v>
      </c>
      <c r="W1283" s="0" t="inlineStr">
        <is>
          <t>2026-08-26</t>
        </is>
      </c>
      <c r="X1283" s="0" t="inlineStr">
        <is>
          <t>N/A</t>
        </is>
      </c>
      <c r="Y1283" s="0" t="inlineStr">
        <is>
          <t>N/A</t>
        </is>
      </c>
      <c r="Z1283" s="0" t="inlineStr">
        <is>
          <t>N/A</t>
        </is>
      </c>
      <c r="AA1283" s="0" t="inlineStr">
        <is>
          <t>N/A</t>
        </is>
      </c>
    </row>
    <row r="1284" ht="15.75" customHeight="1" s="51">
      <c r="A1284" s="47" t="inlineStr">
        <is>
          <t>DIO-128-02</t>
        </is>
      </c>
      <c r="B1284" s="47" t="inlineStr">
        <is>
          <t>Dione</t>
        </is>
      </c>
      <c r="C1284" s="47" t="inlineStr">
        <is>
          <t>Computer Hardware</t>
        </is>
      </c>
      <c r="D1284" s="47" t="inlineStr">
        <is>
          <t>Networking</t>
        </is>
      </c>
      <c r="E1284" s="48" t="inlineStr">
        <is>
          <t>Dione Vibe Lite Wi-Fi 7 PCIe Card</t>
        </is>
      </c>
      <c r="F1284" s="49" t="n">
        <v>71.98999999999999</v>
      </c>
      <c r="G1284" s="47" t="inlineStr">
        <is>
          <t>the Vibe Lite; Dione Vibe Lite; Dionne Vibe Lite; Vibe Lite networking</t>
        </is>
      </c>
      <c r="H1284" s="47" t="inlineStr">
        <is>
          <t>2 year limited</t>
        </is>
      </c>
      <c r="I1284" s="47" t="inlineStr">
        <is>
          <t>FCC, CE, RoHS, Wi-Fi CERTIFIED 7, Bluetooth SIG Qualified</t>
        </is>
      </c>
      <c r="J1284" s="47" t="inlineStr">
        <is>
          <t>Chipset: MediaTek MT7927</t>
        </is>
      </c>
      <c r="K1284" s="47" t="inlineStr">
        <is>
          <t>N/A</t>
        </is>
      </c>
      <c r="L1284" s="47" t="inlineStr">
        <is>
          <t>N/A</t>
        </is>
      </c>
      <c r="M1284" s="47" t="inlineStr">
        <is>
          <t>N/A</t>
        </is>
      </c>
      <c r="N1284" s="47" t="inlineStr">
        <is>
          <t>PCIe x1, internal USB 2.0 header (Bluetooth 5.4), 2x external antennas</t>
        </is>
      </c>
      <c r="O1284" s="47" t="inlineStr">
        <is>
          <t>N/A</t>
        </is>
      </c>
      <c r="P1284" s="47" t="inlineStr">
        <is>
          <t>N/A</t>
        </is>
      </c>
      <c r="Q1284" s="50" t="n">
        <v>104</v>
      </c>
      <c r="R1284" s="47" t="inlineStr">
        <is>
          <t>Lower price than Kairos Volt SE Wi-Fi 7 PCIe Card [KAI-142-05] ($71.99 vs $111.99); Lighter than Eirene Drift SE Wi-Fi 7 PCIe Card [EIR-112-01] (104 g vs 109 g)</t>
        </is>
      </c>
      <c r="S1284" s="47" t="inlineStr">
        <is>
          <t>gaming, streaming, PC building</t>
        </is>
      </c>
      <c r="T1284" s="0" t="inlineStr">
        <is>
          <t>in_stock</t>
        </is>
      </c>
      <c r="U1284" s="0" t="n">
        <v>30</v>
      </c>
      <c r="V1284" s="52" t="n">
        <v>82.98999999999999</v>
      </c>
      <c r="W1284" s="0" t="inlineStr">
        <is>
          <t>2026-08-09</t>
        </is>
      </c>
      <c r="X1284" s="0" t="inlineStr">
        <is>
          <t>N/A</t>
        </is>
      </c>
      <c r="Y1284" s="0" t="inlineStr">
        <is>
          <t>N/A</t>
        </is>
      </c>
      <c r="Z1284" s="0" t="inlineStr">
        <is>
          <t>N/A</t>
        </is>
      </c>
      <c r="AA1284" s="0" t="inlineStr">
        <is>
          <t>N/A</t>
        </is>
      </c>
    </row>
    <row r="1285" ht="15.75" customHeight="1" s="51">
      <c r="A1285" s="47" t="inlineStr">
        <is>
          <t>DIO-128-03</t>
        </is>
      </c>
      <c r="B1285" s="47" t="inlineStr">
        <is>
          <t>Dione</t>
        </is>
      </c>
      <c r="C1285" s="47" t="inlineStr">
        <is>
          <t>Computer Hardware</t>
        </is>
      </c>
      <c r="D1285" s="47" t="inlineStr">
        <is>
          <t>Keyboard</t>
        </is>
      </c>
      <c r="E1285" s="48" t="inlineStr">
        <is>
          <t>Dione Aeon Lite Mechanical Keyboard</t>
        </is>
      </c>
      <c r="F1285" s="49" t="n">
        <v>123.99</v>
      </c>
      <c r="G1285" s="47" t="inlineStr">
        <is>
          <t>the Aeon Lite; Dione Aeon Lite; Diione Aeon Lite; Aeon Lite keyboard</t>
        </is>
      </c>
      <c r="H1285" s="47" t="inlineStr">
        <is>
          <t>2 year limited</t>
        </is>
      </c>
      <c r="I1285" s="47" t="inlineStr">
        <is>
          <t>FCC, CE, RoHS, Bluetooth SIG Qualified</t>
        </is>
      </c>
      <c r="J1285" s="47" t="inlineStr">
        <is>
          <t>N/A</t>
        </is>
      </c>
      <c r="K1285" s="47" t="inlineStr">
        <is>
          <t>N/A</t>
        </is>
      </c>
      <c r="L1285" s="47" t="inlineStr">
        <is>
          <t>N/A</t>
        </is>
      </c>
      <c r="M1285" s="47" t="inlineStr">
        <is>
          <t>N/A</t>
        </is>
      </c>
      <c r="N1285" s="47" t="inlineStr">
        <is>
          <t>USB-C, 2.4GHz dongle, Bluetooth 5.1</t>
        </is>
      </c>
      <c r="O1285" s="47" t="inlineStr">
        <is>
          <t>N/A</t>
        </is>
      </c>
      <c r="P1285" s="47" t="n">
        <v>325</v>
      </c>
      <c r="Q1285" s="50" t="n">
        <v>1037</v>
      </c>
      <c r="R1285" s="47" t="inlineStr">
        <is>
          <t>Lighter than Eris Aeon Lite Mechanical Keyboard [ERI-148-02] (1,037 g vs 1,090 g); Lower price than Bia Vertex X Mechanical Keyboard [BIA-107-06] ($123.99 vs $186.99)</t>
        </is>
      </c>
      <c r="S1285" s="47" t="inlineStr">
        <is>
          <t>gaming, typing, office</t>
        </is>
      </c>
      <c r="T1285" s="0" t="inlineStr">
        <is>
          <t>in_stock</t>
        </is>
      </c>
      <c r="U1285" s="0" t="n">
        <v>30</v>
      </c>
      <c r="V1285" s="52" t="n">
        <v>130.99</v>
      </c>
      <c r="W1285" s="0" t="inlineStr">
        <is>
          <t>2026-08-05</t>
        </is>
      </c>
      <c r="X1285" s="0" t="inlineStr">
        <is>
          <t>N/A</t>
        </is>
      </c>
      <c r="Y1285" s="0" t="inlineStr">
        <is>
          <t>N/A</t>
        </is>
      </c>
      <c r="Z1285" s="0" t="inlineStr">
        <is>
          <t>N/A</t>
        </is>
      </c>
      <c r="AA1285" s="0" t="inlineStr">
        <is>
          <t>N/A</t>
        </is>
      </c>
    </row>
    <row r="1286" ht="15.75" customHeight="1" s="51">
      <c r="A1286" s="47" t="inlineStr">
        <is>
          <t>DIO-128-04</t>
        </is>
      </c>
      <c r="B1286" s="47" t="inlineStr">
        <is>
          <t>Dione</t>
        </is>
      </c>
      <c r="C1286" s="47" t="inlineStr">
        <is>
          <t>Computer Hardware</t>
        </is>
      </c>
      <c r="D1286" s="47" t="inlineStr">
        <is>
          <t>Storage</t>
        </is>
      </c>
      <c r="E1286" s="48" t="inlineStr">
        <is>
          <t>Dione Nimbus 2TB NVMe SSD</t>
        </is>
      </c>
      <c r="F1286" s="49" t="n">
        <v>128.99</v>
      </c>
      <c r="G1286" s="47" t="inlineStr">
        <is>
          <t>the Nimbus; Dione Nimbus; Dioone Nimbus; Nimbus storage</t>
        </is>
      </c>
      <c r="H1286" s="47" t="inlineStr">
        <is>
          <t>5 year limited</t>
        </is>
      </c>
      <c r="I1286" s="47" t="inlineStr">
        <is>
          <t>FCC, CE, RoHS</t>
        </is>
      </c>
      <c r="J1286" s="47" t="inlineStr">
        <is>
          <t>Controller: Phison E21T</t>
        </is>
      </c>
      <c r="K1286" s="47" t="inlineStr">
        <is>
          <t>N/A</t>
        </is>
      </c>
      <c r="L1286" s="47" t="inlineStr">
        <is>
          <t>N/A</t>
        </is>
      </c>
      <c r="M1286" s="47" t="inlineStr">
        <is>
          <t>N/A</t>
        </is>
      </c>
      <c r="N1286" s="47" t="inlineStr">
        <is>
          <t>M.2 2280, PCIe 4.0 x4 NVMe</t>
        </is>
      </c>
      <c r="O1286" s="47" t="inlineStr">
        <is>
          <t>N/A</t>
        </is>
      </c>
      <c r="P1286" s="47" t="inlineStr">
        <is>
          <t>N/A</t>
        </is>
      </c>
      <c r="Q1286" s="50" t="n">
        <v>29</v>
      </c>
      <c r="R1286" s="47" t="inlineStr">
        <is>
          <t>Lower price than Hades Vertex Max 2TB NVMe SSD [HAD-119-08] ($128.99 vs $278.99); Lighter than Eos Arc 2TB NVMe SSD [EOS-111-03] (29 g vs 30 g)</t>
        </is>
      </c>
      <c r="S1286" s="47" t="inlineStr">
        <is>
          <t>gaming, fast boot, content creation</t>
        </is>
      </c>
      <c r="T1286" s="0" t="inlineStr">
        <is>
          <t>in_stock</t>
        </is>
      </c>
      <c r="U1286" s="0" t="n">
        <v>30</v>
      </c>
      <c r="V1286" s="52" t="n">
        <v>142.99</v>
      </c>
      <c r="W1286" s="0" t="inlineStr">
        <is>
          <t>2026-09-02</t>
        </is>
      </c>
      <c r="X1286" s="0" t="inlineStr">
        <is>
          <t>N/A</t>
        </is>
      </c>
      <c r="Y1286" s="0" t="inlineStr">
        <is>
          <t>N/A</t>
        </is>
      </c>
      <c r="Z1286" s="0" t="inlineStr">
        <is>
          <t>N/A</t>
        </is>
      </c>
      <c r="AA1286" s="0" t="inlineStr">
        <is>
          <t>N/A</t>
        </is>
      </c>
    </row>
    <row r="1287" ht="15.75" customHeight="1" s="51">
      <c r="A1287" s="47" t="inlineStr">
        <is>
          <t>DIO-128-05</t>
        </is>
      </c>
      <c r="B1287" s="47" t="inlineStr">
        <is>
          <t>Dione</t>
        </is>
      </c>
      <c r="C1287" s="47" t="inlineStr">
        <is>
          <t>Computer Hardware</t>
        </is>
      </c>
      <c r="D1287" s="47" t="inlineStr">
        <is>
          <t>Power Supply</t>
        </is>
      </c>
      <c r="E1287" s="48" t="inlineStr">
        <is>
          <t>Dione Onyx Pro 850W Power Supply</t>
        </is>
      </c>
      <c r="F1287" s="49" t="n">
        <v>138.99</v>
      </c>
      <c r="G1287" s="47" t="inlineStr">
        <is>
          <t>the Onyx Pro; Dione Onyx Pro; Diione Onyx Pro; Onyx Pro power supply</t>
        </is>
      </c>
      <c r="H1287" s="47" t="inlineStr">
        <is>
          <t>7 year limited</t>
        </is>
      </c>
      <c r="I1287" s="47" t="inlineStr">
        <is>
          <t>FCC, CE, RoHS, 80 PLUS Gold, UL Listed</t>
        </is>
      </c>
      <c r="J1287" s="47" t="inlineStr">
        <is>
          <t>N/A</t>
        </is>
      </c>
      <c r="K1287" s="47" t="inlineStr">
        <is>
          <t>N/A</t>
        </is>
      </c>
      <c r="L1287" s="47" t="inlineStr">
        <is>
          <t>N/A</t>
        </is>
      </c>
      <c r="M1287" s="47" t="inlineStr">
        <is>
          <t>N/A</t>
        </is>
      </c>
      <c r="N1287" s="47" t="inlineStr">
        <is>
          <t>ATX 3.1, native 12V-2x6 (600W) connector, fully modular</t>
        </is>
      </c>
      <c r="O1287" s="47" t="inlineStr">
        <is>
          <t>N/A</t>
        </is>
      </c>
      <c r="P1287" s="47" t="inlineStr">
        <is>
          <t>N/A</t>
        </is>
      </c>
      <c r="Q1287" s="50" t="n">
        <v>1815</v>
      </c>
      <c r="R1287" s="47" t="inlineStr">
        <is>
          <t>Lighter than Geras Crest Max 850W Power Supply [GER-133-05] (1,815 g vs 2,113 g); Lower price than Eros Sable Plus 850W Power Supply [ERO-134-07] ($138.99 vs $181.99)</t>
        </is>
      </c>
      <c r="S1287" s="47" t="inlineStr">
        <is>
          <t>PC building, high-end gaming</t>
        </is>
      </c>
      <c r="T1287" s="0" t="inlineStr">
        <is>
          <t>in_stock</t>
        </is>
      </c>
      <c r="U1287" s="0" t="n">
        <v>30</v>
      </c>
      <c r="V1287" s="52" t="n">
        <v>157.99</v>
      </c>
      <c r="W1287" s="0" t="inlineStr">
        <is>
          <t>2026-08-29</t>
        </is>
      </c>
      <c r="X1287" s="0" t="inlineStr">
        <is>
          <t>N/A</t>
        </is>
      </c>
      <c r="Y1287" s="0" t="inlineStr">
        <is>
          <t>N/A</t>
        </is>
      </c>
      <c r="Z1287" s="0" t="inlineStr">
        <is>
          <t>N/A</t>
        </is>
      </c>
      <c r="AA1287" s="0" t="inlineStr">
        <is>
          <t>N/A</t>
        </is>
      </c>
    </row>
    <row r="1288" ht="15.75" customHeight="1" s="51">
      <c r="A1288" s="47" t="inlineStr">
        <is>
          <t>DIO-128-06</t>
        </is>
      </c>
      <c r="B1288" s="47" t="inlineStr">
        <is>
          <t>Dione</t>
        </is>
      </c>
      <c r="C1288" s="47" t="inlineStr">
        <is>
          <t>Computer Hardware</t>
        </is>
      </c>
      <c r="D1288" s="47" t="inlineStr">
        <is>
          <t>Storage</t>
        </is>
      </c>
      <c r="E1288" s="48" t="inlineStr">
        <is>
          <t>Dione Axis Plus 4TB External Hard Drive</t>
        </is>
      </c>
      <c r="F1288" s="49" t="n">
        <v>169.99</v>
      </c>
      <c r="G1288" s="47" t="inlineStr">
        <is>
          <t>the Axis Plus; Dione Axis Plus; Dioone Axis Plus; Axis Plus storage</t>
        </is>
      </c>
      <c r="H1288" s="47" t="inlineStr">
        <is>
          <t>2 year limited</t>
        </is>
      </c>
      <c r="I1288" s="47" t="inlineStr">
        <is>
          <t>FCC, CE, RoHS, USB-IF Certified</t>
        </is>
      </c>
      <c r="J1288" s="47" t="inlineStr">
        <is>
          <t>N/A</t>
        </is>
      </c>
      <c r="K1288" s="47" t="inlineStr">
        <is>
          <t>N/A</t>
        </is>
      </c>
      <c r="L1288" s="47" t="inlineStr">
        <is>
          <t>N/A</t>
        </is>
      </c>
      <c r="M1288" s="47" t="inlineStr">
        <is>
          <t>N/A</t>
        </is>
      </c>
      <c r="N1288" s="47" t="inlineStr">
        <is>
          <t>USB-C (USB 3.2 Gen 1)</t>
        </is>
      </c>
      <c r="O1288" s="47" t="inlineStr">
        <is>
          <t>N/A</t>
        </is>
      </c>
      <c r="P1288" s="47" t="inlineStr">
        <is>
          <t>N/A</t>
        </is>
      </c>
      <c r="Q1288" s="50" t="n">
        <v>247</v>
      </c>
      <c r="R1288" s="47" t="inlineStr">
        <is>
          <t>Lower price than Urania Sable X 4TB External Hard Drive [URA-136-07] ($169.99 vs $196.99); Lighter than Geras Strata Air 4TB External Hard Drive [GER-133-07] (247 g vs 249 g)</t>
        </is>
      </c>
      <c r="S1288" s="47" t="inlineStr">
        <is>
          <t>backup, media storage</t>
        </is>
      </c>
      <c r="T1288" s="0" t="inlineStr">
        <is>
          <t>in_stock</t>
        </is>
      </c>
      <c r="U1288" s="0" t="n">
        <v>30</v>
      </c>
      <c r="V1288" s="52" t="n">
        <v>176.99</v>
      </c>
      <c r="W1288" s="0" t="inlineStr">
        <is>
          <t>2026-08-06</t>
        </is>
      </c>
      <c r="X1288" s="0" t="inlineStr">
        <is>
          <t>N/A</t>
        </is>
      </c>
      <c r="Y1288" s="0" t="inlineStr">
        <is>
          <t>N/A</t>
        </is>
      </c>
      <c r="Z1288" s="0" t="inlineStr">
        <is>
          <t>N/A</t>
        </is>
      </c>
      <c r="AA1288" s="0" t="inlineStr">
        <is>
          <t>N/A</t>
        </is>
      </c>
    </row>
    <row r="1289" ht="15.75" customHeight="1" s="51">
      <c r="A1289" s="47" t="inlineStr">
        <is>
          <t>DIO-128-07</t>
        </is>
      </c>
      <c r="B1289" s="47" t="inlineStr">
        <is>
          <t>Dione</t>
        </is>
      </c>
      <c r="C1289" s="47" t="inlineStr">
        <is>
          <t>Computer Hardware</t>
        </is>
      </c>
      <c r="D1289" s="47" t="inlineStr">
        <is>
          <t>Memory</t>
        </is>
      </c>
      <c r="E1289" s="48" t="inlineStr">
        <is>
          <t>Dione Core Air 32GB DDR5 RAM Kit</t>
        </is>
      </c>
      <c r="F1289" s="49" t="n">
        <v>187.99</v>
      </c>
      <c r="G1289" s="47" t="inlineStr">
        <is>
          <t>the Core Air; Dione Core Air; Dinoe Core Air; Core Air memory</t>
        </is>
      </c>
      <c r="H1289" s="47" t="inlineStr">
        <is>
          <t>Limited lifetime</t>
        </is>
      </c>
      <c r="I1289" s="47" t="inlineStr">
        <is>
          <t>FCC, CE, RoHS</t>
        </is>
      </c>
      <c r="J1289" s="47" t="inlineStr">
        <is>
          <t>N/A</t>
        </is>
      </c>
      <c r="K1289" s="47" t="inlineStr">
        <is>
          <t>N/A</t>
        </is>
      </c>
      <c r="L1289" s="47" t="inlineStr">
        <is>
          <t>N/A</t>
        </is>
      </c>
      <c r="M1289" s="47" t="inlineStr">
        <is>
          <t>N/A</t>
        </is>
      </c>
      <c r="N1289" s="47" t="inlineStr">
        <is>
          <t>2x 16GB DDR5 288-pin DIMM, 6400 MT/s</t>
        </is>
      </c>
      <c r="O1289" s="47" t="inlineStr">
        <is>
          <t>N/A</t>
        </is>
      </c>
      <c r="P1289" s="47" t="inlineStr">
        <is>
          <t>N/A</t>
        </is>
      </c>
      <c r="Q1289" s="50" t="n">
        <v>81</v>
      </c>
      <c r="R1289" s="47" t="inlineStr">
        <is>
          <t>Lower price than Eucleia Volt 32GB DDR5 RAM Kit [EUC-124-08] ($187.99 vs $211.99); Lighter than Palaemon Axis 32GB DDR5 RAM Kit [PAL-127-05] (81 g vs 82 g)</t>
        </is>
      </c>
      <c r="S1289" s="47" t="inlineStr">
        <is>
          <t>gaming, multitasking, PC building</t>
        </is>
      </c>
      <c r="T1289" s="0" t="inlineStr">
        <is>
          <t>in_stock</t>
        </is>
      </c>
      <c r="U1289" s="0" t="n">
        <v>30</v>
      </c>
      <c r="V1289" s="52" t="n">
        <v>210.99</v>
      </c>
      <c r="W1289" s="0" t="inlineStr">
        <is>
          <t>2026-08-11</t>
        </is>
      </c>
      <c r="X1289" s="0" t="inlineStr">
        <is>
          <t>N/A</t>
        </is>
      </c>
      <c r="Y1289" s="0" t="inlineStr">
        <is>
          <t>N/A</t>
        </is>
      </c>
      <c r="Z1289" s="0" t="inlineStr">
        <is>
          <t>N/A</t>
        </is>
      </c>
      <c r="AA1289" s="0" t="inlineStr">
        <is>
          <t>N/A</t>
        </is>
      </c>
    </row>
    <row r="1290" ht="15.75" customHeight="1" s="51">
      <c r="A1290" s="47" t="inlineStr">
        <is>
          <t>DIO-128-08</t>
        </is>
      </c>
      <c r="B1290" s="47" t="inlineStr">
        <is>
          <t>Dione</t>
        </is>
      </c>
      <c r="C1290" s="47" t="inlineStr">
        <is>
          <t>Computer Hardware</t>
        </is>
      </c>
      <c r="D1290" s="47" t="inlineStr">
        <is>
          <t>Docking Station</t>
        </is>
      </c>
      <c r="E1290" s="48" t="inlineStr">
        <is>
          <t>Dione Aria Pro USB-C Docking Station</t>
        </is>
      </c>
      <c r="F1290" s="49" t="n">
        <v>304.99</v>
      </c>
      <c r="G1290" s="47" t="inlineStr">
        <is>
          <t>the Aria Pro; Dione Aria Pro; Dionee Aria Pro; Aria Pro docking station</t>
        </is>
      </c>
      <c r="H1290" s="47" t="inlineStr">
        <is>
          <t>2 year limited</t>
        </is>
      </c>
      <c r="I1290" s="47" t="inlineStr">
        <is>
          <t>FCC, CE, RoHS, USB-IF Certified, UL Listed</t>
        </is>
      </c>
      <c r="J1290" s="47" t="inlineStr">
        <is>
          <t>N/A</t>
        </is>
      </c>
      <c r="K1290" s="47" t="inlineStr">
        <is>
          <t>N/A</t>
        </is>
      </c>
      <c r="L1290" s="47" t="inlineStr">
        <is>
          <t>N/A</t>
        </is>
      </c>
      <c r="M1290" s="47" t="inlineStr">
        <is>
          <t>N/A</t>
        </is>
      </c>
      <c r="N1290" s="47" t="inlineStr">
        <is>
          <t>Thunderbolt 4 host, 2x HDMI 2.1, 4x USB-A, 3x USB-C, 2.5GbE, SD/microSD, 96W PD</t>
        </is>
      </c>
      <c r="O1290" s="47" t="inlineStr">
        <is>
          <t>N/A</t>
        </is>
      </c>
      <c r="P1290" s="47" t="inlineStr">
        <is>
          <t>N/A</t>
        </is>
      </c>
      <c r="Q1290" s="50" t="n">
        <v>264</v>
      </c>
      <c r="R1290" s="47" t="inlineStr">
        <is>
          <t>Lighter than Apollo Sable Max USB-C Docking Station [APO-109-05] (264 g vs 306 g); Lower price than Hymenaeus Sable X USB-C Docking Station [HYM-121-06] ($304.99 vs $325.99)</t>
        </is>
      </c>
      <c r="S1290" s="47" t="inlineStr">
        <is>
          <t>office, remote work, multi-monitor</t>
        </is>
      </c>
      <c r="T1290" s="0" t="inlineStr">
        <is>
          <t>in_stock</t>
        </is>
      </c>
      <c r="U1290" s="0" t="n">
        <v>30</v>
      </c>
      <c r="V1290" s="52" t="n">
        <v>342.99</v>
      </c>
      <c r="W1290" s="0" t="inlineStr">
        <is>
          <t>2026-08-23</t>
        </is>
      </c>
      <c r="X1290" s="0" t="inlineStr">
        <is>
          <t>N/A</t>
        </is>
      </c>
      <c r="Y1290" s="0" t="inlineStr">
        <is>
          <t>N/A</t>
        </is>
      </c>
      <c r="Z1290" s="0" t="inlineStr">
        <is>
          <t>N/A</t>
        </is>
      </c>
      <c r="AA1290" s="0" t="inlineStr">
        <is>
          <t>N/A</t>
        </is>
      </c>
    </row>
    <row r="1291" ht="15.75" customHeight="1" s="51">
      <c r="A1291" s="47" t="inlineStr">
        <is>
          <t>DIO-128-09</t>
        </is>
      </c>
      <c r="B1291" s="47" t="inlineStr">
        <is>
          <t>Dione</t>
        </is>
      </c>
      <c r="C1291" s="47" t="inlineStr">
        <is>
          <t>Computer Hardware</t>
        </is>
      </c>
      <c r="D1291" s="47" t="inlineStr">
        <is>
          <t>Monitor</t>
        </is>
      </c>
      <c r="E1291" s="48" t="inlineStr">
        <is>
          <t>Dione Lumen Air 27" 1440p Monitor</t>
        </is>
      </c>
      <c r="F1291" s="49" t="n">
        <v>584.99</v>
      </c>
      <c r="G1291" s="47" t="inlineStr">
        <is>
          <t>the Lumen Air; Dione Lumen Air; Dionee Lumen Air; Lumen Air monitor</t>
        </is>
      </c>
      <c r="H1291" s="47" t="inlineStr">
        <is>
          <t>3 year limited</t>
        </is>
      </c>
      <c r="I1291" s="47" t="inlineStr">
        <is>
          <t>FCC, CE, RoHS, Energy Star, TUV Rheinland Low Blue Light, VESA DisplayHDR True Black 400</t>
        </is>
      </c>
      <c r="J1291" s="47" t="inlineStr">
        <is>
          <t>N/A</t>
        </is>
      </c>
      <c r="K1291" s="47" t="inlineStr">
        <is>
          <t>N/A</t>
        </is>
      </c>
      <c r="L1291" s="47" t="inlineStr">
        <is>
          <t>Fast IPS, 240Hz</t>
        </is>
      </c>
      <c r="M1291" s="47" t="inlineStr">
        <is>
          <t>2560x1440</t>
        </is>
      </c>
      <c r="N1291" s="47" t="inlineStr">
        <is>
          <t>2x HDMI 2.1, 1x DisplayPort 1.4, USB-C 90W, USB hub</t>
        </is>
      </c>
      <c r="O1291" s="47" t="inlineStr">
        <is>
          <t>N/A</t>
        </is>
      </c>
      <c r="P1291" s="47" t="inlineStr">
        <is>
          <t>N/A</t>
        </is>
      </c>
      <c r="Q1291" s="50" t="n">
        <v>6218</v>
      </c>
      <c r="R1291" s="47" t="inlineStr">
        <is>
          <t>Lighter than Apollo Echo Lite 27" 1440p Monitor [APO-109-09] (6,218 g vs 6,418 g); Lower price than Notus Core Air 27" 1440p Monitor [NOT-108-09] ($584.99 vs $636.99)</t>
        </is>
      </c>
      <c r="S1291" s="47" t="inlineStr">
        <is>
          <t>gaming, office, content creation</t>
        </is>
      </c>
      <c r="T1291" s="0" t="inlineStr">
        <is>
          <t>in_stock</t>
        </is>
      </c>
      <c r="U1291" s="0" t="n">
        <v>30</v>
      </c>
      <c r="V1291" s="52" t="n">
        <v>671.99</v>
      </c>
      <c r="W1291" s="0" t="inlineStr">
        <is>
          <t>2026-09-18</t>
        </is>
      </c>
      <c r="X1291" s="0" t="inlineStr">
        <is>
          <t>N/A</t>
        </is>
      </c>
      <c r="Y1291" s="0" t="inlineStr">
        <is>
          <t>N/A</t>
        </is>
      </c>
      <c r="Z1291" s="0" t="inlineStr">
        <is>
          <t>N/A</t>
        </is>
      </c>
      <c r="AA1291" s="0" t="inlineStr">
        <is>
          <t>N/A</t>
        </is>
      </c>
    </row>
    <row r="1292" ht="15.75" customHeight="1" s="51">
      <c r="A1292" s="47" t="inlineStr">
        <is>
          <t>DIO-128-10</t>
        </is>
      </c>
      <c r="B1292" s="47" t="inlineStr">
        <is>
          <t>Dione</t>
        </is>
      </c>
      <c r="C1292" s="47" t="inlineStr">
        <is>
          <t>Computer Hardware</t>
        </is>
      </c>
      <c r="D1292" s="47" t="inlineStr">
        <is>
          <t>Graphics Card</t>
        </is>
      </c>
      <c r="E1292" s="48" t="inlineStr">
        <is>
          <t>Dione Nova Lite Graphics Card</t>
        </is>
      </c>
      <c r="F1292" s="49" t="n">
        <v>1646.99</v>
      </c>
      <c r="G1292" s="47" t="inlineStr">
        <is>
          <t>the Nova Lite; Dione Nova Lite; Diione Nova Lite; Nova Lite graphics card</t>
        </is>
      </c>
      <c r="H1292" s="47" t="inlineStr">
        <is>
          <t>3 year limited</t>
        </is>
      </c>
      <c r="I1292" s="47" t="inlineStr">
        <is>
          <t>FCC, CE, RoHS</t>
        </is>
      </c>
      <c r="J1292" s="47" t="inlineStr">
        <is>
          <t>N/A</t>
        </is>
      </c>
      <c r="K1292" s="47" t="inlineStr">
        <is>
          <t>NVIDIA GeForce RTX 4090 24GB (Dione Nova edition)</t>
        </is>
      </c>
      <c r="L1292" s="47" t="inlineStr">
        <is>
          <t>N/A</t>
        </is>
      </c>
      <c r="M1292" s="47" t="inlineStr">
        <is>
          <t>N/A</t>
        </is>
      </c>
      <c r="N1292" s="47" t="inlineStr">
        <is>
          <t>3x DisplayPort 1.4a, 1x HDMI 2.1a</t>
        </is>
      </c>
      <c r="O1292" s="47" t="inlineStr">
        <is>
          <t>N/A</t>
        </is>
      </c>
      <c r="P1292" s="47" t="inlineStr">
        <is>
          <t>N/A</t>
        </is>
      </c>
      <c r="Q1292" s="50" t="n">
        <v>1670</v>
      </c>
      <c r="R1292" s="47" t="inlineStr">
        <is>
          <t>Lower price than Apate Apex Graphics Card [APA-110-10] ($1,646.99 vs $1,673.99); Lighter than Hera Apex Max Graphics Card [HER-129-10] (1,670 g vs 1,740 g)</t>
        </is>
      </c>
      <c r="S1292" s="47" t="inlineStr">
        <is>
          <t>gaming, 3D rendering, AI workloads</t>
        </is>
      </c>
      <c r="T1292" s="0" t="inlineStr">
        <is>
          <t>low_stock</t>
        </is>
      </c>
      <c r="U1292" s="0" t="n">
        <v>30</v>
      </c>
      <c r="V1292" s="52" t="n">
        <v>1874.99</v>
      </c>
      <c r="W1292" s="0" t="inlineStr">
        <is>
          <t>2026-08-24</t>
        </is>
      </c>
      <c r="X1292" s="0" t="inlineStr">
        <is>
          <t>N/A</t>
        </is>
      </c>
      <c r="Y1292" s="0" t="inlineStr">
        <is>
          <t>N/A</t>
        </is>
      </c>
      <c r="Z1292" s="0" t="inlineStr">
        <is>
          <t>N/A</t>
        </is>
      </c>
      <c r="AA1292" s="0" t="inlineStr">
        <is>
          <t>N/A</t>
        </is>
      </c>
    </row>
    <row r="1293" ht="15.75" customHeight="1" s="51">
      <c r="A1293" s="47" t="inlineStr">
        <is>
          <t>HER-129-01</t>
        </is>
      </c>
      <c r="B1293" s="47" t="inlineStr">
        <is>
          <t>Hera</t>
        </is>
      </c>
      <c r="C1293" s="47" t="inlineStr">
        <is>
          <t>Computer Hardware</t>
        </is>
      </c>
      <c r="D1293" s="47" t="inlineStr">
        <is>
          <t>Keyboard</t>
        </is>
      </c>
      <c r="E1293" s="48" t="inlineStr">
        <is>
          <t>Hera Onyx X Mechanical Keyboard</t>
        </is>
      </c>
      <c r="F1293" s="49" t="n">
        <v>61.99</v>
      </c>
      <c r="G1293" s="47" t="inlineStr">
        <is>
          <t>the Onyx X; Hera Onyx X; Heraa Onyx X; Onyx X keyboard</t>
        </is>
      </c>
      <c r="H1293" s="47" t="inlineStr">
        <is>
          <t>2 year limited</t>
        </is>
      </c>
      <c r="I1293" s="47" t="inlineStr">
        <is>
          <t>FCC, CE, RoHS</t>
        </is>
      </c>
      <c r="J1293" s="47" t="inlineStr">
        <is>
          <t>N/A</t>
        </is>
      </c>
      <c r="K1293" s="47" t="inlineStr">
        <is>
          <t>N/A</t>
        </is>
      </c>
      <c r="L1293" s="47" t="inlineStr">
        <is>
          <t>N/A</t>
        </is>
      </c>
      <c r="M1293" s="47" t="inlineStr">
        <is>
          <t>N/A</t>
        </is>
      </c>
      <c r="N1293" s="47" t="inlineStr">
        <is>
          <t>USB-C wired</t>
        </is>
      </c>
      <c r="O1293" s="47" t="inlineStr">
        <is>
          <t>N/A</t>
        </is>
      </c>
      <c r="P1293" s="47" t="inlineStr">
        <is>
          <t>N/A</t>
        </is>
      </c>
      <c r="Q1293" s="50" t="n">
        <v>1194</v>
      </c>
      <c r="R1293" s="47" t="inlineStr">
        <is>
          <t>Lower price than Ares Vibe Mechanical Keyboard [ARE-140-03] ($61.99 vs $146.99); Lighter than Dionysus Aria Mechanical Keyboard [DIO-118-06] (1,194 g vs 1,198 g)</t>
        </is>
      </c>
      <c r="S1293" s="47" t="inlineStr">
        <is>
          <t>gaming, typing, office</t>
        </is>
      </c>
      <c r="T1293" s="0" t="inlineStr">
        <is>
          <t>in_stock</t>
        </is>
      </c>
      <c r="U1293" s="0" t="n">
        <v>45</v>
      </c>
      <c r="V1293" s="52" t="n">
        <v>67.98999999999999</v>
      </c>
      <c r="W1293" s="0" t="inlineStr">
        <is>
          <t>2026-08-23</t>
        </is>
      </c>
      <c r="X1293" s="0" t="inlineStr">
        <is>
          <t>N/A</t>
        </is>
      </c>
      <c r="Y1293" s="0" t="inlineStr">
        <is>
          <t>N/A</t>
        </is>
      </c>
      <c r="Z1293" s="0" t="inlineStr">
        <is>
          <t>N/A</t>
        </is>
      </c>
      <c r="AA1293" s="0" t="inlineStr">
        <is>
          <t>N/A</t>
        </is>
      </c>
    </row>
    <row r="1294" ht="15.75" customHeight="1" s="51">
      <c r="A1294" s="47" t="inlineStr">
        <is>
          <t>HER-129-02</t>
        </is>
      </c>
      <c r="B1294" s="47" t="inlineStr">
        <is>
          <t>Hera</t>
        </is>
      </c>
      <c r="C1294" s="47" t="inlineStr">
        <is>
          <t>Computer Hardware</t>
        </is>
      </c>
      <c r="D1294" s="47" t="inlineStr">
        <is>
          <t>Webcam</t>
        </is>
      </c>
      <c r="E1294" s="48" t="inlineStr">
        <is>
          <t>Hera Sable Air 4K Webcam</t>
        </is>
      </c>
      <c r="F1294" s="49" t="n">
        <v>65.98999999999999</v>
      </c>
      <c r="G1294" s="47" t="inlineStr">
        <is>
          <t>the Sable Air; Hera Sable Air; Hrea Sable Air; Sable Air webcam</t>
        </is>
      </c>
      <c r="H1294" s="47" t="inlineStr">
        <is>
          <t>2 year limited</t>
        </is>
      </c>
      <c r="I1294" s="47" t="inlineStr">
        <is>
          <t>FCC, CE, RoHS, USB-IF Certified</t>
        </is>
      </c>
      <c r="J1294" s="47" t="inlineStr">
        <is>
          <t>N/A</t>
        </is>
      </c>
      <c r="K1294" s="47" t="inlineStr">
        <is>
          <t>N/A</t>
        </is>
      </c>
      <c r="L1294" s="47" t="inlineStr">
        <is>
          <t>N/A</t>
        </is>
      </c>
      <c r="M1294" s="47" t="inlineStr">
        <is>
          <t>3840x2160 @ 30fps, 1080p @ 60fps</t>
        </is>
      </c>
      <c r="N1294" s="47" t="inlineStr">
        <is>
          <t>USB-C (USB 3.0)</t>
        </is>
      </c>
      <c r="O1294" s="47" t="inlineStr">
        <is>
          <t>N/A</t>
        </is>
      </c>
      <c r="P1294" s="47" t="inlineStr">
        <is>
          <t>N/A</t>
        </is>
      </c>
      <c r="Q1294" s="50" t="n">
        <v>148</v>
      </c>
      <c r="R1294" s="47" t="inlineStr">
        <is>
          <t>Lower price than Eurybia Titan SE 4K Webcam [EUR-104-04] ($65.99 vs $137.99); Lighter than Uranus Lumen 4K Webcam [URA-113-04] (148 g vs 154 g)</t>
        </is>
      </c>
      <c r="S1294" s="47" t="inlineStr">
        <is>
          <t>video calls, streaming, remote work</t>
        </is>
      </c>
      <c r="T1294" s="0" t="inlineStr">
        <is>
          <t>in_stock</t>
        </is>
      </c>
      <c r="U1294" s="0" t="n">
        <v>45</v>
      </c>
      <c r="V1294" s="52" t="n">
        <v>70.98999999999999</v>
      </c>
      <c r="W1294" s="0" t="inlineStr">
        <is>
          <t>2026-08-29</t>
        </is>
      </c>
      <c r="X1294" s="0" t="inlineStr">
        <is>
          <t>N/A</t>
        </is>
      </c>
      <c r="Y1294" s="0" t="inlineStr">
        <is>
          <t>N/A</t>
        </is>
      </c>
      <c r="Z1294" s="0" t="inlineStr">
        <is>
          <t>N/A</t>
        </is>
      </c>
      <c r="AA1294" s="0" t="inlineStr">
        <is>
          <t>N/A</t>
        </is>
      </c>
    </row>
    <row r="1295" ht="15.75" customHeight="1" s="51">
      <c r="A1295" s="47" t="inlineStr">
        <is>
          <t>HER-129-03</t>
        </is>
      </c>
      <c r="B1295" s="47" t="inlineStr">
        <is>
          <t>Hera</t>
        </is>
      </c>
      <c r="C1295" s="47" t="inlineStr">
        <is>
          <t>Computer Hardware</t>
        </is>
      </c>
      <c r="D1295" s="47" t="inlineStr">
        <is>
          <t>Networking</t>
        </is>
      </c>
      <c r="E1295" s="48" t="inlineStr">
        <is>
          <t>Hera Zen Air Wi-Fi 7 PCIe Card</t>
        </is>
      </c>
      <c r="F1295" s="49" t="n">
        <v>128.99</v>
      </c>
      <c r="G1295" s="47" t="inlineStr">
        <is>
          <t>the Zen Air; Hera Zen Air; Herra Zen Air; Zen Air networking</t>
        </is>
      </c>
      <c r="H1295" s="47" t="inlineStr">
        <is>
          <t>2 year limited</t>
        </is>
      </c>
      <c r="I1295" s="47" t="inlineStr">
        <is>
          <t>FCC, CE, RoHS, Wi-Fi CERTIFIED 7, Bluetooth SIG Qualified</t>
        </is>
      </c>
      <c r="J1295" s="47" t="inlineStr">
        <is>
          <t>Chipset: Qualcomm FastConnect 7800</t>
        </is>
      </c>
      <c r="K1295" s="47" t="inlineStr">
        <is>
          <t>N/A</t>
        </is>
      </c>
      <c r="L1295" s="47" t="inlineStr">
        <is>
          <t>N/A</t>
        </is>
      </c>
      <c r="M1295" s="47" t="inlineStr">
        <is>
          <t>N/A</t>
        </is>
      </c>
      <c r="N1295" s="47" t="inlineStr">
        <is>
          <t>PCIe x1, internal USB 2.0 header (Bluetooth 5.4), 2x external antennas</t>
        </is>
      </c>
      <c r="O1295" s="47" t="inlineStr">
        <is>
          <t>N/A</t>
        </is>
      </c>
      <c r="P1295" s="47" t="inlineStr">
        <is>
          <t>N/A</t>
        </is>
      </c>
      <c r="Q1295" s="50" t="n">
        <v>97</v>
      </c>
      <c r="R1295" s="47" t="inlineStr">
        <is>
          <t>Lighter than Eirene Drift SE Wi-Fi 7 PCIe Card [EIR-112-01] (97 g vs 109 g)</t>
        </is>
      </c>
      <c r="S1295" s="47" t="inlineStr">
        <is>
          <t>gaming, streaming, PC building</t>
        </is>
      </c>
      <c r="T1295" s="0" t="inlineStr">
        <is>
          <t>in_stock</t>
        </is>
      </c>
      <c r="U1295" s="0" t="n">
        <v>45</v>
      </c>
      <c r="V1295" s="52" t="n">
        <v>147.99</v>
      </c>
      <c r="W1295" s="0" t="inlineStr">
        <is>
          <t>2026-09-17</t>
        </is>
      </c>
      <c r="X1295" s="0" t="inlineStr">
        <is>
          <t>N/A</t>
        </is>
      </c>
      <c r="Y1295" s="0" t="inlineStr">
        <is>
          <t>N/A</t>
        </is>
      </c>
      <c r="Z1295" s="0" t="inlineStr">
        <is>
          <t>N/A</t>
        </is>
      </c>
      <c r="AA1295" s="0" t="inlineStr">
        <is>
          <t>N/A</t>
        </is>
      </c>
    </row>
    <row r="1296" ht="15.75" customHeight="1" s="51">
      <c r="A1296" s="47" t="inlineStr">
        <is>
          <t>HER-129-04</t>
        </is>
      </c>
      <c r="B1296" s="47" t="inlineStr">
        <is>
          <t>Hera</t>
        </is>
      </c>
      <c r="C1296" s="47" t="inlineStr">
        <is>
          <t>Computer Hardware</t>
        </is>
      </c>
      <c r="D1296" s="47" t="inlineStr">
        <is>
          <t>Storage</t>
        </is>
      </c>
      <c r="E1296" s="48" t="inlineStr">
        <is>
          <t>Hera Quanta Pro 2TB NVMe SSD</t>
        </is>
      </c>
      <c r="F1296" s="49" t="n">
        <v>154.99</v>
      </c>
      <c r="G1296" s="47" t="inlineStr">
        <is>
          <t>the Quanta Pro; Hera Quanta Pro; Heraa Quanta Pro; Quanta Pro storage</t>
        </is>
      </c>
      <c r="H1296" s="47" t="inlineStr">
        <is>
          <t>5 year limited</t>
        </is>
      </c>
      <c r="I1296" s="47" t="inlineStr">
        <is>
          <t>FCC, CE, RoHS</t>
        </is>
      </c>
      <c r="J1296" s="47" t="inlineStr">
        <is>
          <t>Controller: Phison E21T</t>
        </is>
      </c>
      <c r="K1296" s="47" t="inlineStr">
        <is>
          <t>N/A</t>
        </is>
      </c>
      <c r="L1296" s="47" t="inlineStr">
        <is>
          <t>N/A</t>
        </is>
      </c>
      <c r="M1296" s="47" t="inlineStr">
        <is>
          <t>N/A</t>
        </is>
      </c>
      <c r="N1296" s="47" t="inlineStr">
        <is>
          <t>M.2 2280, PCIe 4.0 x4 NVMe</t>
        </is>
      </c>
      <c r="O1296" s="47" t="inlineStr">
        <is>
          <t>N/A</t>
        </is>
      </c>
      <c r="P1296" s="47" t="inlineStr">
        <is>
          <t>N/A</t>
        </is>
      </c>
      <c r="Q1296" s="50" t="n">
        <v>13</v>
      </c>
      <c r="R1296" s="47" t="inlineStr">
        <is>
          <t>Lower price than Astraeus Core Lite 2TB NVMe SSD [AST-146-06] ($154.99 vs $244.99); Lighter than Dionysus Orbit Max 2TB NVMe SSD [DIO-118-08] (13 g vs 23 g)</t>
        </is>
      </c>
      <c r="S1296" s="47" t="inlineStr">
        <is>
          <t>gaming, fast boot, content creation</t>
        </is>
      </c>
      <c r="T1296" s="0" t="inlineStr">
        <is>
          <t>in_stock</t>
        </is>
      </c>
      <c r="U1296" s="0" t="n">
        <v>45</v>
      </c>
      <c r="V1296" s="52" t="n">
        <v>161.99</v>
      </c>
      <c r="W1296" s="0" t="inlineStr">
        <is>
          <t>2026-08-08</t>
        </is>
      </c>
      <c r="X1296" s="0" t="inlineStr">
        <is>
          <t>N/A</t>
        </is>
      </c>
      <c r="Y1296" s="0" t="inlineStr">
        <is>
          <t>N/A</t>
        </is>
      </c>
      <c r="Z1296" s="0" t="inlineStr">
        <is>
          <t>N/A</t>
        </is>
      </c>
      <c r="AA1296" s="0" t="inlineStr">
        <is>
          <t>N/A</t>
        </is>
      </c>
    </row>
    <row r="1297" ht="15.75" customHeight="1" s="51">
      <c r="A1297" s="47" t="inlineStr">
        <is>
          <t>HER-129-05</t>
        </is>
      </c>
      <c r="B1297" s="47" t="inlineStr">
        <is>
          <t>Hera</t>
        </is>
      </c>
      <c r="C1297" s="47" t="inlineStr">
        <is>
          <t>Computer Hardware</t>
        </is>
      </c>
      <c r="D1297" s="47" t="inlineStr">
        <is>
          <t>Power Supply</t>
        </is>
      </c>
      <c r="E1297" s="48" t="inlineStr">
        <is>
          <t>Hera Sable X 850W Power Supply</t>
        </is>
      </c>
      <c r="F1297" s="49" t="n">
        <v>213.99</v>
      </c>
      <c r="G1297" s="47" t="inlineStr">
        <is>
          <t>the Sable X; Hera Sable X; Heraa Sable X; Sable X power supply</t>
        </is>
      </c>
      <c r="H1297" s="47" t="inlineStr">
        <is>
          <t>10 year limited</t>
        </is>
      </c>
      <c r="I1297" s="47" t="inlineStr">
        <is>
          <t>FCC, CE, RoHS, 80 PLUS Titanium, UL Listed</t>
        </is>
      </c>
      <c r="J1297" s="47" t="inlineStr">
        <is>
          <t>N/A</t>
        </is>
      </c>
      <c r="K1297" s="47" t="inlineStr">
        <is>
          <t>N/A</t>
        </is>
      </c>
      <c r="L1297" s="47" t="inlineStr">
        <is>
          <t>N/A</t>
        </is>
      </c>
      <c r="M1297" s="47" t="inlineStr">
        <is>
          <t>N/A</t>
        </is>
      </c>
      <c r="N1297" s="47" t="inlineStr">
        <is>
          <t>ATX 3.1, native 12V-2x6 (600W) connector, fully modular</t>
        </is>
      </c>
      <c r="O1297" s="47" t="inlineStr">
        <is>
          <t>N/A</t>
        </is>
      </c>
      <c r="P1297" s="47" t="inlineStr">
        <is>
          <t>N/A</t>
        </is>
      </c>
      <c r="Q1297" s="50" t="n">
        <v>2198</v>
      </c>
      <c r="R1297" s="47" t="inlineStr">
        <is>
          <t>Lighter than Eurybia Aeon SE 850W Power Supply [EUR-104-06] (2,198 g vs 2,219 g); Lower price than Perses Aria 850W Power Supply [PER-101-06] ($213.99 vs $224.99)</t>
        </is>
      </c>
      <c r="S1297" s="47" t="inlineStr">
        <is>
          <t>PC building, high-end gaming</t>
        </is>
      </c>
      <c r="T1297" s="0" t="inlineStr">
        <is>
          <t>in_stock</t>
        </is>
      </c>
      <c r="U1297" s="0" t="n">
        <v>45</v>
      </c>
      <c r="V1297" s="52" t="n">
        <v>238.99</v>
      </c>
      <c r="W1297" s="0" t="inlineStr">
        <is>
          <t>2026-08-30</t>
        </is>
      </c>
      <c r="X1297" s="0" t="inlineStr">
        <is>
          <t>N/A</t>
        </is>
      </c>
      <c r="Y1297" s="0" t="inlineStr">
        <is>
          <t>N/A</t>
        </is>
      </c>
      <c r="Z1297" s="0" t="inlineStr">
        <is>
          <t>N/A</t>
        </is>
      </c>
      <c r="AA1297" s="0" t="inlineStr">
        <is>
          <t>N/A</t>
        </is>
      </c>
    </row>
    <row r="1298" ht="15.75" customHeight="1" s="51">
      <c r="A1298" s="47" t="inlineStr">
        <is>
          <t>HER-129-06</t>
        </is>
      </c>
      <c r="B1298" s="47" t="inlineStr">
        <is>
          <t>Hera</t>
        </is>
      </c>
      <c r="C1298" s="47" t="inlineStr">
        <is>
          <t>Computer Hardware</t>
        </is>
      </c>
      <c r="D1298" s="47" t="inlineStr">
        <is>
          <t>Cooling</t>
        </is>
      </c>
      <c r="E1298" s="48" t="inlineStr">
        <is>
          <t>Hera Volt 360mm AIO CPU Cooler</t>
        </is>
      </c>
      <c r="F1298" s="49" t="n">
        <v>228.99</v>
      </c>
      <c r="G1298" s="47" t="inlineStr">
        <is>
          <t>the Volt; Hera Volt; Hrea Volt; Volt cooling</t>
        </is>
      </c>
      <c r="H1298" s="47" t="inlineStr">
        <is>
          <t>6 year limited</t>
        </is>
      </c>
      <c r="I1298" s="47" t="inlineStr">
        <is>
          <t>FCC, CE, RoHS</t>
        </is>
      </c>
      <c r="J1298" s="47" t="inlineStr">
        <is>
          <t>N/A</t>
        </is>
      </c>
      <c r="K1298" s="47" t="inlineStr">
        <is>
          <t>N/A</t>
        </is>
      </c>
      <c r="L1298" s="47" t="inlineStr">
        <is>
          <t>IPS pump-head screen</t>
        </is>
      </c>
      <c r="M1298" s="47" t="inlineStr">
        <is>
          <t>480x480</t>
        </is>
      </c>
      <c r="N1298" s="47" t="inlineStr">
        <is>
          <t>3x 4-pin PWM fans, 3-pin pump header, ARGB 5V; LGA1700/LGA1851/AM5 mounts</t>
        </is>
      </c>
      <c r="O1298" s="47" t="inlineStr">
        <is>
          <t>N/A</t>
        </is>
      </c>
      <c r="P1298" s="47" t="inlineStr">
        <is>
          <t>N/A</t>
        </is>
      </c>
      <c r="Q1298" s="50" t="n">
        <v>1633</v>
      </c>
      <c r="R1298" s="47" t="inlineStr">
        <is>
          <t>Lighter than Eucleia Onyx Ultra 360mm AIO CPU Cooler [EUC-124-04] (1,633 g vs 1,938 g); Lower price than Gaia Quanta Plus 360mm AIO CPU Cooler [GAI-125-08] ($228.99 vs $243.99)</t>
        </is>
      </c>
      <c r="S1298" s="47" t="inlineStr">
        <is>
          <t>overclocking, gaming, quiet builds</t>
        </is>
      </c>
      <c r="T1298" s="0" t="inlineStr">
        <is>
          <t>out_of_stock</t>
        </is>
      </c>
      <c r="U1298" s="0" t="n">
        <v>45</v>
      </c>
      <c r="V1298" s="52" t="n">
        <v>250.99</v>
      </c>
      <c r="W1298" s="0" t="inlineStr">
        <is>
          <t>2026-08-26</t>
        </is>
      </c>
      <c r="X1298" s="0" t="inlineStr">
        <is>
          <t>N/A</t>
        </is>
      </c>
      <c r="Y1298" s="0" t="inlineStr">
        <is>
          <t>N/A</t>
        </is>
      </c>
      <c r="Z1298" s="0" t="inlineStr">
        <is>
          <t>N/A</t>
        </is>
      </c>
      <c r="AA1298" s="0" t="inlineStr">
        <is>
          <t>N/A</t>
        </is>
      </c>
    </row>
    <row r="1299" ht="15.75" customHeight="1" s="51">
      <c r="A1299" s="47" t="inlineStr">
        <is>
          <t>HER-129-07</t>
        </is>
      </c>
      <c r="B1299" s="47" t="inlineStr">
        <is>
          <t>Hera</t>
        </is>
      </c>
      <c r="C1299" s="47" t="inlineStr">
        <is>
          <t>Computer Hardware</t>
        </is>
      </c>
      <c r="D1299" s="47" t="inlineStr">
        <is>
          <t>Motherboard</t>
        </is>
      </c>
      <c r="E1299" s="48" t="inlineStr">
        <is>
          <t>Hera Wave Air ATX Motherboard</t>
        </is>
      </c>
      <c r="F1299" s="49" t="n">
        <v>260.99</v>
      </c>
      <c r="G1299" s="47" t="inlineStr">
        <is>
          <t>the Wave Air; Hera Wave Air; Herra Wave Air; Wave Air motherboard</t>
        </is>
      </c>
      <c r="H1299" s="47" t="inlineStr">
        <is>
          <t>3 year limited</t>
        </is>
      </c>
      <c r="I1299" s="47" t="inlineStr">
        <is>
          <t>FCC, CE, RoHS</t>
        </is>
      </c>
      <c r="J1299" s="47" t="inlineStr">
        <is>
          <t>Supports Intel Core Ultra 200S (LGA1851)</t>
        </is>
      </c>
      <c r="K1299" s="47" t="inlineStr">
        <is>
          <t>N/A</t>
        </is>
      </c>
      <c r="L1299" s="47" t="inlineStr">
        <is>
          <t>N/A</t>
        </is>
      </c>
      <c r="M1299" s="47" t="inlineStr">
        <is>
          <t>N/A</t>
        </is>
      </c>
      <c r="N1299" s="47" t="inlineStr">
        <is>
          <t>Rear I/O: 1x HDMI, 6x USB-A, 1x USB-C 10Gbps, 2.5GbE, Wi-Fi 6E</t>
        </is>
      </c>
      <c r="O1299" s="47" t="inlineStr">
        <is>
          <t>N/A</t>
        </is>
      </c>
      <c r="P1299" s="47" t="inlineStr">
        <is>
          <t>N/A</t>
        </is>
      </c>
      <c r="Q1299" s="50" t="n">
        <v>1499</v>
      </c>
      <c r="R1299" s="47" t="inlineStr">
        <is>
          <t>Lighter than Artemis Zen Plus ATX Motherboard [ART-150-08] (1,499 g vs 1,751 g); Lower price than Euterpe Aria Plus ATX Motherboard [EUT-120-08] ($260.99 vs $338.99)</t>
        </is>
      </c>
      <c r="S1299" s="47" t="inlineStr">
        <is>
          <t>PC building, gaming, workstation builds</t>
        </is>
      </c>
      <c r="T1299" s="0" t="inlineStr">
        <is>
          <t>in_stock</t>
        </is>
      </c>
      <c r="U1299" s="0" t="n">
        <v>45</v>
      </c>
      <c r="V1299" s="52" t="n">
        <v>282.99</v>
      </c>
      <c r="W1299" s="0" t="inlineStr">
        <is>
          <t>2026-08-29</t>
        </is>
      </c>
      <c r="X1299" s="0" t="inlineStr">
        <is>
          <t>N/A</t>
        </is>
      </c>
      <c r="Y1299" s="0" t="inlineStr">
        <is>
          <t>N/A</t>
        </is>
      </c>
      <c r="Z1299" s="0" t="inlineStr">
        <is>
          <t>N/A</t>
        </is>
      </c>
      <c r="AA1299" s="0" t="inlineStr">
        <is>
          <t>N/A</t>
        </is>
      </c>
    </row>
    <row r="1300" ht="15.75" customHeight="1" s="51">
      <c r="A1300" s="47" t="inlineStr">
        <is>
          <t>HER-129-08</t>
        </is>
      </c>
      <c r="B1300" s="47" t="inlineStr">
        <is>
          <t>Hera</t>
        </is>
      </c>
      <c r="C1300" s="47" t="inlineStr">
        <is>
          <t>Computer Hardware</t>
        </is>
      </c>
      <c r="D1300" s="47" t="inlineStr">
        <is>
          <t>Monitor</t>
        </is>
      </c>
      <c r="E1300" s="48" t="inlineStr">
        <is>
          <t>Hera Vertex Air 27" 1440p Monitor</t>
        </is>
      </c>
      <c r="F1300" s="49" t="n">
        <v>279.99</v>
      </c>
      <c r="G1300" s="47" t="inlineStr">
        <is>
          <t>the Vertex Air; Hera Vertex Air; Heraa Vertex Air; Vertex Air monitor</t>
        </is>
      </c>
      <c r="H1300" s="47" t="inlineStr">
        <is>
          <t>3 year limited</t>
        </is>
      </c>
      <c r="I1300" s="47" t="inlineStr">
        <is>
          <t>FCC, CE, RoHS, Energy Star, TUV Rheinland Low Blue Light, VESA DisplayHDR 400</t>
        </is>
      </c>
      <c r="J1300" s="47" t="inlineStr">
        <is>
          <t>N/A</t>
        </is>
      </c>
      <c r="K1300" s="47" t="inlineStr">
        <is>
          <t>N/A</t>
        </is>
      </c>
      <c r="L1300" s="47" t="inlineStr">
        <is>
          <t>VA, 144Hz</t>
        </is>
      </c>
      <c r="M1300" s="47" t="inlineStr">
        <is>
          <t>2560x1440</t>
        </is>
      </c>
      <c r="N1300" s="47" t="inlineStr">
        <is>
          <t>2x HDMI 2.1, 1x DisplayPort 1.4</t>
        </is>
      </c>
      <c r="O1300" s="47" t="inlineStr">
        <is>
          <t>N/A</t>
        </is>
      </c>
      <c r="P1300" s="47" t="inlineStr">
        <is>
          <t>N/A</t>
        </is>
      </c>
      <c r="Q1300" s="50" t="n">
        <v>7097</v>
      </c>
      <c r="R1300" s="47" t="inlineStr">
        <is>
          <t>Lower price than Palaemon Nimbus SE 27" 1440p Monitor [PAL-127-09] ($279.99 vs $672.99); Lighter than Notus Core Air 27" 1440p Monitor [NOT-108-09] (7,097 g vs 7,125 g)</t>
        </is>
      </c>
      <c r="S1300" s="47" t="inlineStr">
        <is>
          <t>gaming, office, content creation</t>
        </is>
      </c>
      <c r="T1300" s="0" t="inlineStr">
        <is>
          <t>in_stock</t>
        </is>
      </c>
      <c r="U1300" s="0" t="n">
        <v>45</v>
      </c>
      <c r="V1300" s="52" t="n">
        <v>314.99</v>
      </c>
      <c r="W1300" s="0" t="inlineStr">
        <is>
          <t>2026-08-27</t>
        </is>
      </c>
      <c r="X1300" s="0" t="inlineStr">
        <is>
          <t>N/A</t>
        </is>
      </c>
      <c r="Y1300" s="0" t="inlineStr">
        <is>
          <t>N/A</t>
        </is>
      </c>
      <c r="Z1300" s="0" t="inlineStr">
        <is>
          <t>N/A</t>
        </is>
      </c>
      <c r="AA1300" s="0" t="inlineStr">
        <is>
          <t>N/A</t>
        </is>
      </c>
    </row>
    <row r="1301" ht="15.75" customHeight="1" s="51">
      <c r="A1301" s="47" t="inlineStr">
        <is>
          <t>HER-129-09</t>
        </is>
      </c>
      <c r="B1301" s="47" t="inlineStr">
        <is>
          <t>Hera</t>
        </is>
      </c>
      <c r="C1301" s="47" t="inlineStr">
        <is>
          <t>Computer Hardware</t>
        </is>
      </c>
      <c r="D1301" s="47" t="inlineStr">
        <is>
          <t>Docking Station</t>
        </is>
      </c>
      <c r="E1301" s="48" t="inlineStr">
        <is>
          <t>Hera Nova Plus USB-C Docking Station</t>
        </is>
      </c>
      <c r="F1301" s="49" t="n">
        <v>284.99</v>
      </c>
      <c r="G1301" s="47" t="inlineStr">
        <is>
          <t>the Nova Plus; Hera Nova Plus; Herra Nova Plus; Nova Plus docking station</t>
        </is>
      </c>
      <c r="H1301" s="47" t="inlineStr">
        <is>
          <t>2 year limited</t>
        </is>
      </c>
      <c r="I1301" s="47" t="inlineStr">
        <is>
          <t>FCC, CE, RoHS, USB-IF Certified, UL Listed</t>
        </is>
      </c>
      <c r="J1301" s="47" t="inlineStr">
        <is>
          <t>N/A</t>
        </is>
      </c>
      <c r="K1301" s="47" t="inlineStr">
        <is>
          <t>N/A</t>
        </is>
      </c>
      <c r="L1301" s="47" t="inlineStr">
        <is>
          <t>N/A</t>
        </is>
      </c>
      <c r="M1301" s="47" t="inlineStr">
        <is>
          <t>N/A</t>
        </is>
      </c>
      <c r="N1301" s="47" t="inlineStr">
        <is>
          <t>Thunderbolt 4 host, 2x HDMI 2.1, 4x USB-A, 3x USB-C, 2.5GbE, SD/microSD, 96W PD</t>
        </is>
      </c>
      <c r="O1301" s="47" t="inlineStr">
        <is>
          <t>N/A</t>
        </is>
      </c>
      <c r="P1301" s="47" t="inlineStr">
        <is>
          <t>N/A</t>
        </is>
      </c>
      <c r="Q1301" s="50" t="n">
        <v>352</v>
      </c>
      <c r="R1301" s="47" t="inlineStr">
        <is>
          <t>Lighter than Hestia Lumen Lite USB-C Docking Station [HES-116-04] (352 g vs 476 g); Lower price than Dione Aria Pro USB-C Docking Station [DIO-128-08] ($284.99 vs $304.99)</t>
        </is>
      </c>
      <c r="S1301" s="47" t="inlineStr">
        <is>
          <t>office, remote work, multi-monitor</t>
        </is>
      </c>
      <c r="T1301" s="0" t="inlineStr">
        <is>
          <t>in_stock</t>
        </is>
      </c>
      <c r="U1301" s="0" t="n">
        <v>45</v>
      </c>
      <c r="V1301" s="52" t="n">
        <v>303.99</v>
      </c>
      <c r="W1301" s="0" t="inlineStr">
        <is>
          <t>2026-08-27</t>
        </is>
      </c>
      <c r="X1301" s="0" t="inlineStr">
        <is>
          <t>N/A</t>
        </is>
      </c>
      <c r="Y1301" s="0" t="inlineStr">
        <is>
          <t>N/A</t>
        </is>
      </c>
      <c r="Z1301" s="0" t="inlineStr">
        <is>
          <t>N/A</t>
        </is>
      </c>
      <c r="AA1301" s="0" t="inlineStr">
        <is>
          <t>N/A</t>
        </is>
      </c>
    </row>
    <row r="1302" ht="15.75" customHeight="1" s="51">
      <c r="A1302" s="47" t="inlineStr">
        <is>
          <t>HER-129-10</t>
        </is>
      </c>
      <c r="B1302" s="47" t="inlineStr">
        <is>
          <t>Hera</t>
        </is>
      </c>
      <c r="C1302" s="47" t="inlineStr">
        <is>
          <t>Computer Hardware</t>
        </is>
      </c>
      <c r="D1302" s="47" t="inlineStr">
        <is>
          <t>Graphics Card</t>
        </is>
      </c>
      <c r="E1302" s="48" t="inlineStr">
        <is>
          <t>Hera Apex Max Graphics Card</t>
        </is>
      </c>
      <c r="F1302" s="49" t="n">
        <v>1974.99</v>
      </c>
      <c r="G1302" s="47" t="inlineStr">
        <is>
          <t>the Apex Max; Hera Apex Max; Herra Apex Max; Apex Max graphics card</t>
        </is>
      </c>
      <c r="H1302" s="47" t="inlineStr">
        <is>
          <t>3 year limited</t>
        </is>
      </c>
      <c r="I1302" s="47" t="inlineStr">
        <is>
          <t>FCC, CE, RoHS</t>
        </is>
      </c>
      <c r="J1302" s="47" t="inlineStr">
        <is>
          <t>N/A</t>
        </is>
      </c>
      <c r="K1302" s="47" t="inlineStr">
        <is>
          <t>NVIDIA GeForce RTX 4090 24GB (Hera Apex edition)</t>
        </is>
      </c>
      <c r="L1302" s="47" t="inlineStr">
        <is>
          <t>N/A</t>
        </is>
      </c>
      <c r="M1302" s="47" t="inlineStr">
        <is>
          <t>N/A</t>
        </is>
      </c>
      <c r="N1302" s="47" t="inlineStr">
        <is>
          <t>3x DisplayPort 1.4a, 1x HDMI 2.1a</t>
        </is>
      </c>
      <c r="O1302" s="47" t="inlineStr">
        <is>
          <t>N/A</t>
        </is>
      </c>
      <c r="P1302" s="47" t="inlineStr">
        <is>
          <t>N/A</t>
        </is>
      </c>
      <c r="Q1302" s="50" t="n">
        <v>1740</v>
      </c>
      <c r="R1302" s="47" t="inlineStr">
        <is>
          <t>Lighter than Eileithyia Aria Max Graphics Card [EIL-149-10] (1,740 g vs 2,064 g); Lower price than Eucleia Nimbus Pro Graphics Card [EUC-124-10] ($1,974.99 vs $1,993.99)</t>
        </is>
      </c>
      <c r="S1302" s="47" t="inlineStr">
        <is>
          <t>gaming, 3D rendering, AI workloads</t>
        </is>
      </c>
      <c r="T1302" s="0" t="inlineStr">
        <is>
          <t>in_stock</t>
        </is>
      </c>
      <c r="U1302" s="0" t="n">
        <v>45</v>
      </c>
      <c r="V1302" s="52" t="n">
        <v>2255.99</v>
      </c>
      <c r="W1302" s="0" t="inlineStr">
        <is>
          <t>2026-08-10</t>
        </is>
      </c>
      <c r="X1302" s="0" t="inlineStr">
        <is>
          <t>N/A</t>
        </is>
      </c>
      <c r="Y1302" s="0" t="inlineStr">
        <is>
          <t>N/A</t>
        </is>
      </c>
      <c r="Z1302" s="0" t="inlineStr">
        <is>
          <t>N/A</t>
        </is>
      </c>
      <c r="AA1302" s="0" t="inlineStr">
        <is>
          <t>N/A</t>
        </is>
      </c>
    </row>
    <row r="1303" ht="15.75" customHeight="1" s="51">
      <c r="A1303" s="47" t="inlineStr">
        <is>
          <t>IRI-130-01</t>
        </is>
      </c>
      <c r="B1303" s="47" t="inlineStr">
        <is>
          <t>Iris</t>
        </is>
      </c>
      <c r="C1303" s="47" t="inlineStr">
        <is>
          <t>Computer Hardware</t>
        </is>
      </c>
      <c r="D1303" s="47" t="inlineStr">
        <is>
          <t>Case Fans</t>
        </is>
      </c>
      <c r="E1303" s="48" t="inlineStr">
        <is>
          <t>Iris Spark RGB Case Fan 3-Pack</t>
        </is>
      </c>
      <c r="F1303" s="49" t="n">
        <v>85.98999999999999</v>
      </c>
      <c r="G1303" s="47" t="inlineStr">
        <is>
          <t>the Spark; Iris Spark; Irris Spark; Spark case fans</t>
        </is>
      </c>
      <c r="H1303" s="47" t="inlineStr">
        <is>
          <t>2 year limited</t>
        </is>
      </c>
      <c r="I1303" s="47" t="inlineStr">
        <is>
          <t>FCC, CE, RoHS</t>
        </is>
      </c>
      <c r="J1303" s="47" t="inlineStr">
        <is>
          <t>N/A</t>
        </is>
      </c>
      <c r="K1303" s="47" t="inlineStr">
        <is>
          <t>N/A</t>
        </is>
      </c>
      <c r="L1303" s="47" t="inlineStr">
        <is>
          <t>N/A</t>
        </is>
      </c>
      <c r="M1303" s="47" t="inlineStr">
        <is>
          <t>N/A</t>
        </is>
      </c>
      <c r="N1303" s="47" t="inlineStr">
        <is>
          <t>4-pin PWM, 3-pin 5V ARGB, daisy-chain connectors</t>
        </is>
      </c>
      <c r="O1303" s="47" t="inlineStr">
        <is>
          <t>N/A</t>
        </is>
      </c>
      <c r="P1303" s="47" t="inlineStr">
        <is>
          <t>N/A</t>
        </is>
      </c>
      <c r="Q1303" s="50" t="n">
        <v>425</v>
      </c>
      <c r="R1303" s="47" t="inlineStr">
        <is>
          <t>Lighter than Dionysus Aeon SE RGB Case Fan 3-Pack [DIO-118-02] (425 g vs 454 g); Lower price than Kairos Core Max RGB Case Fan 3-Pack [KAI-142-02] ($85.99 vs $89.99)</t>
        </is>
      </c>
      <c r="S1303" s="47" t="inlineStr">
        <is>
          <t>PC building, cooling, RGB builds</t>
        </is>
      </c>
      <c r="T1303" s="0" t="inlineStr">
        <is>
          <t>in_stock</t>
        </is>
      </c>
      <c r="U1303" s="0" t="n">
        <v>15</v>
      </c>
      <c r="V1303" s="52" t="n">
        <v>95.98999999999999</v>
      </c>
      <c r="W1303" s="0" t="inlineStr">
        <is>
          <t>2026-09-15</t>
        </is>
      </c>
      <c r="X1303" s="0" t="inlineStr">
        <is>
          <t>N/A</t>
        </is>
      </c>
      <c r="Y1303" s="0" t="inlineStr">
        <is>
          <t>N/A</t>
        </is>
      </c>
      <c r="Z1303" s="0" t="inlineStr">
        <is>
          <t>N/A</t>
        </is>
      </c>
      <c r="AA1303" s="0" t="inlineStr">
        <is>
          <t>N/A</t>
        </is>
      </c>
    </row>
    <row r="1304" ht="15.75" customHeight="1" s="51">
      <c r="A1304" s="47" t="inlineStr">
        <is>
          <t>IRI-130-02</t>
        </is>
      </c>
      <c r="B1304" s="47" t="inlineStr">
        <is>
          <t>Iris</t>
        </is>
      </c>
      <c r="C1304" s="47" t="inlineStr">
        <is>
          <t>Computer Hardware</t>
        </is>
      </c>
      <c r="D1304" s="47" t="inlineStr">
        <is>
          <t>Mouse</t>
        </is>
      </c>
      <c r="E1304" s="48" t="inlineStr">
        <is>
          <t>Iris Core Air Gaming Mouse</t>
        </is>
      </c>
      <c r="F1304" s="49" t="n">
        <v>116.99</v>
      </c>
      <c r="G1304" s="47" t="inlineStr">
        <is>
          <t>the Core Air; Iris Core Air; Irris Core Air; Core Air mouse</t>
        </is>
      </c>
      <c r="H1304" s="47" t="inlineStr">
        <is>
          <t>2 year limited</t>
        </is>
      </c>
      <c r="I1304" s="47" t="inlineStr">
        <is>
          <t>FCC, CE, RoHS, Bluetooth SIG Qualified</t>
        </is>
      </c>
      <c r="J1304" s="47" t="inlineStr">
        <is>
          <t>Sensor: 30K DPI optical</t>
        </is>
      </c>
      <c r="K1304" s="47" t="inlineStr">
        <is>
          <t>N/A</t>
        </is>
      </c>
      <c r="L1304" s="47" t="inlineStr">
        <is>
          <t>N/A</t>
        </is>
      </c>
      <c r="M1304" s="47" t="inlineStr">
        <is>
          <t>N/A</t>
        </is>
      </c>
      <c r="N1304" s="47" t="inlineStr">
        <is>
          <t>USB-C, 2.4GHz dongle, Bluetooth 5.1</t>
        </is>
      </c>
      <c r="O1304" s="47" t="inlineStr">
        <is>
          <t>N/A</t>
        </is>
      </c>
      <c r="P1304" s="47" t="n">
        <v>93</v>
      </c>
      <c r="Q1304" s="50" t="n">
        <v>86</v>
      </c>
      <c r="R1304" s="47" t="inlineStr">
        <is>
          <t>Lower price than Apollo Lumen X Gaming Mouse [APO-109-06] ($116.99 vs $142.99); Lighter than Hyperion Quanta Air Gaming Mouse [HYP-123-04] (86 g vs 93 g)</t>
        </is>
      </c>
      <c r="S1304" s="47" t="inlineStr">
        <is>
          <t>gaming, esports</t>
        </is>
      </c>
      <c r="T1304" s="0" t="inlineStr">
        <is>
          <t>in_stock</t>
        </is>
      </c>
      <c r="U1304" s="0" t="n">
        <v>15</v>
      </c>
      <c r="V1304" s="52" t="n">
        <v>124.99</v>
      </c>
      <c r="W1304" s="0" t="inlineStr">
        <is>
          <t>2026-09-11</t>
        </is>
      </c>
      <c r="X1304" s="0" t="inlineStr">
        <is>
          <t>N/A</t>
        </is>
      </c>
      <c r="Y1304" s="0" t="inlineStr">
        <is>
          <t>N/A</t>
        </is>
      </c>
      <c r="Z1304" s="0" t="inlineStr">
        <is>
          <t>N/A</t>
        </is>
      </c>
      <c r="AA1304" s="0" t="inlineStr">
        <is>
          <t>N/A</t>
        </is>
      </c>
    </row>
    <row r="1305" ht="15.75" customHeight="1" s="51">
      <c r="A1305" s="47" t="inlineStr">
        <is>
          <t>IRI-130-03</t>
        </is>
      </c>
      <c r="B1305" s="47" t="inlineStr">
        <is>
          <t>Iris</t>
        </is>
      </c>
      <c r="C1305" s="47" t="inlineStr">
        <is>
          <t>Computer Hardware</t>
        </is>
      </c>
      <c r="D1305" s="47" t="inlineStr">
        <is>
          <t>Power Supply</t>
        </is>
      </c>
      <c r="E1305" s="48" t="inlineStr">
        <is>
          <t>Iris Quanta X 850W Power Supply</t>
        </is>
      </c>
      <c r="F1305" s="49" t="n">
        <v>149.99</v>
      </c>
      <c r="G1305" s="47" t="inlineStr">
        <is>
          <t>the Quanta X; Iris Quanta X; Iriis Quanta X; Quanta X power supply</t>
        </is>
      </c>
      <c r="H1305" s="47" t="inlineStr">
        <is>
          <t>7 year limited</t>
        </is>
      </c>
      <c r="I1305" s="47" t="inlineStr">
        <is>
          <t>FCC, CE, RoHS, 80 PLUS Gold, UL Listed</t>
        </is>
      </c>
      <c r="J1305" s="47" t="inlineStr">
        <is>
          <t>N/A</t>
        </is>
      </c>
      <c r="K1305" s="47" t="inlineStr">
        <is>
          <t>N/A</t>
        </is>
      </c>
      <c r="L1305" s="47" t="inlineStr">
        <is>
          <t>N/A</t>
        </is>
      </c>
      <c r="M1305" s="47" t="inlineStr">
        <is>
          <t>N/A</t>
        </is>
      </c>
      <c r="N1305" s="47" t="inlineStr">
        <is>
          <t>ATX 3.1, native 12V-2x6 (600W) connector, fully modular</t>
        </is>
      </c>
      <c r="O1305" s="47" t="inlineStr">
        <is>
          <t>N/A</t>
        </is>
      </c>
      <c r="P1305" s="47" t="inlineStr">
        <is>
          <t>N/A</t>
        </is>
      </c>
      <c r="Q1305" s="50" t="n">
        <v>1614</v>
      </c>
      <c r="R1305" s="47" t="inlineStr">
        <is>
          <t>Lighter than Thalassa Apex Air 850W Power Supply [THA-126-07] (1,614 g vs 1,995 g); Lower price than Eros Sable Plus 850W Power Supply [ERO-134-07] ($149.99 vs $181.99)</t>
        </is>
      </c>
      <c r="S1305" s="47" t="inlineStr">
        <is>
          <t>PC building, high-end gaming</t>
        </is>
      </c>
      <c r="T1305" s="0" t="inlineStr">
        <is>
          <t>in_stock</t>
        </is>
      </c>
      <c r="U1305" s="0" t="n">
        <v>15</v>
      </c>
      <c r="V1305" s="52" t="n">
        <v>162.99</v>
      </c>
      <c r="W1305" s="0" t="inlineStr">
        <is>
          <t>2026-09-09</t>
        </is>
      </c>
      <c r="X1305" s="0" t="inlineStr">
        <is>
          <t>N/A</t>
        </is>
      </c>
      <c r="Y1305" s="0" t="inlineStr">
        <is>
          <t>N/A</t>
        </is>
      </c>
      <c r="Z1305" s="0" t="inlineStr">
        <is>
          <t>N/A</t>
        </is>
      </c>
      <c r="AA1305" s="0" t="inlineStr">
        <is>
          <t>N/A</t>
        </is>
      </c>
    </row>
    <row r="1306" ht="15.75" customHeight="1" s="51">
      <c r="A1306" s="47" t="inlineStr">
        <is>
          <t>IRI-130-04</t>
        </is>
      </c>
      <c r="B1306" s="47" t="inlineStr">
        <is>
          <t>Iris</t>
        </is>
      </c>
      <c r="C1306" s="47" t="inlineStr">
        <is>
          <t>Computer Hardware</t>
        </is>
      </c>
      <c r="D1306" s="47" t="inlineStr">
        <is>
          <t>Memory</t>
        </is>
      </c>
      <c r="E1306" s="48" t="inlineStr">
        <is>
          <t>Iris Rift 32GB DDR5 RAM Kit</t>
        </is>
      </c>
      <c r="F1306" s="49" t="n">
        <v>175.99</v>
      </c>
      <c r="G1306" s="47" t="inlineStr">
        <is>
          <t>the Rift; Iris Rift; Iriss Rift; Rift memory</t>
        </is>
      </c>
      <c r="H1306" s="47" t="inlineStr">
        <is>
          <t>Limited lifetime</t>
        </is>
      </c>
      <c r="I1306" s="47" t="inlineStr">
        <is>
          <t>FCC, CE, RoHS</t>
        </is>
      </c>
      <c r="J1306" s="47" t="inlineStr">
        <is>
          <t>N/A</t>
        </is>
      </c>
      <c r="K1306" s="47" t="inlineStr">
        <is>
          <t>N/A</t>
        </is>
      </c>
      <c r="L1306" s="47" t="inlineStr">
        <is>
          <t>N/A</t>
        </is>
      </c>
      <c r="M1306" s="47" t="inlineStr">
        <is>
          <t>N/A</t>
        </is>
      </c>
      <c r="N1306" s="47" t="inlineStr">
        <is>
          <t>2x 16GB DDR5 288-pin DIMM, 6000 MT/s</t>
        </is>
      </c>
      <c r="O1306" s="47" t="inlineStr">
        <is>
          <t>N/A</t>
        </is>
      </c>
      <c r="P1306" s="47" t="inlineStr">
        <is>
          <t>N/A</t>
        </is>
      </c>
      <c r="Q1306" s="50" t="n">
        <v>67</v>
      </c>
      <c r="R1306" s="47" t="inlineStr">
        <is>
          <t>Lower price than Ceto Aria 32GB DDR5 RAM Kit [CET-131-06] ($175.99 vs $186.99); Lighter than Pheme Echo 32GB DDR5 RAM Kit [PHE-102-06] (67 g vs 70 g)</t>
        </is>
      </c>
      <c r="S1306" s="47" t="inlineStr">
        <is>
          <t>gaming, multitasking, PC building</t>
        </is>
      </c>
      <c r="T1306" s="0" t="inlineStr">
        <is>
          <t>in_stock</t>
        </is>
      </c>
      <c r="U1306" s="0" t="n">
        <v>15</v>
      </c>
      <c r="V1306" s="52" t="n">
        <v>201.99</v>
      </c>
      <c r="W1306" s="0" t="inlineStr">
        <is>
          <t>2026-08-30</t>
        </is>
      </c>
      <c r="X1306" s="0" t="inlineStr">
        <is>
          <t>N/A</t>
        </is>
      </c>
      <c r="Y1306" s="0" t="inlineStr">
        <is>
          <t>N/A</t>
        </is>
      </c>
      <c r="Z1306" s="0" t="inlineStr">
        <is>
          <t>N/A</t>
        </is>
      </c>
      <c r="AA1306" s="0" t="inlineStr">
        <is>
          <t>N/A</t>
        </is>
      </c>
    </row>
    <row r="1307" ht="15.75" customHeight="1" s="51">
      <c r="A1307" s="47" t="inlineStr">
        <is>
          <t>IRI-130-05</t>
        </is>
      </c>
      <c r="B1307" s="47" t="inlineStr">
        <is>
          <t>Iris</t>
        </is>
      </c>
      <c r="C1307" s="47" t="inlineStr">
        <is>
          <t>Computer Hardware</t>
        </is>
      </c>
      <c r="D1307" s="47" t="inlineStr">
        <is>
          <t>Webcam</t>
        </is>
      </c>
      <c r="E1307" s="48" t="inlineStr">
        <is>
          <t>Iris Arc 4K Webcam</t>
        </is>
      </c>
      <c r="F1307" s="49" t="n">
        <v>207.99</v>
      </c>
      <c r="G1307" s="47" t="inlineStr">
        <is>
          <t>the Arc; Iris Arc; Iirs Arc; Arc webcam</t>
        </is>
      </c>
      <c r="H1307" s="47" t="inlineStr">
        <is>
          <t>2 year limited</t>
        </is>
      </c>
      <c r="I1307" s="47" t="inlineStr">
        <is>
          <t>FCC, CE, RoHS, USB-IF Certified</t>
        </is>
      </c>
      <c r="J1307" s="47" t="inlineStr">
        <is>
          <t>N/A</t>
        </is>
      </c>
      <c r="K1307" s="47" t="inlineStr">
        <is>
          <t>N/A</t>
        </is>
      </c>
      <c r="L1307" s="47" t="inlineStr">
        <is>
          <t>N/A</t>
        </is>
      </c>
      <c r="M1307" s="47" t="inlineStr">
        <is>
          <t>3840x2160 @ 30fps, 1080p @ 60fps</t>
        </is>
      </c>
      <c r="N1307" s="47" t="inlineStr">
        <is>
          <t>USB-C (USB 3.0)</t>
        </is>
      </c>
      <c r="O1307" s="47" t="inlineStr">
        <is>
          <t>N/A</t>
        </is>
      </c>
      <c r="P1307" s="47" t="inlineStr">
        <is>
          <t>N/A</t>
        </is>
      </c>
      <c r="Q1307" s="50" t="n">
        <v>155</v>
      </c>
      <c r="R1307" s="47" t="inlineStr">
        <is>
          <t>Lower price than Enyo Titan Ultra 4K Webcam [ENY-114-06] ($207.99 vs $223.99); Lighter than Phoebe Spark Ultra 4K Webcam [PHO-143-06] (155 g vs 164 g)</t>
        </is>
      </c>
      <c r="S1307" s="47" t="inlineStr">
        <is>
          <t>video calls, streaming, remote work</t>
        </is>
      </c>
      <c r="T1307" s="0" t="inlineStr">
        <is>
          <t>in_stock</t>
        </is>
      </c>
      <c r="U1307" s="0" t="n">
        <v>15</v>
      </c>
      <c r="V1307" s="52" t="n">
        <v>220.99</v>
      </c>
      <c r="W1307" s="0" t="inlineStr">
        <is>
          <t>2026-09-12</t>
        </is>
      </c>
      <c r="X1307" s="0" t="inlineStr">
        <is>
          <t>N/A</t>
        </is>
      </c>
      <c r="Y1307" s="0" t="inlineStr">
        <is>
          <t>N/A</t>
        </is>
      </c>
      <c r="Z1307" s="0" t="inlineStr">
        <is>
          <t>N/A</t>
        </is>
      </c>
      <c r="AA1307" s="0" t="inlineStr">
        <is>
          <t>N/A</t>
        </is>
      </c>
    </row>
    <row r="1308" ht="15.75" customHeight="1" s="51">
      <c r="A1308" s="47" t="inlineStr">
        <is>
          <t>IRI-130-06</t>
        </is>
      </c>
      <c r="B1308" s="47" t="inlineStr">
        <is>
          <t>Iris</t>
        </is>
      </c>
      <c r="C1308" s="47" t="inlineStr">
        <is>
          <t>Computer Hardware</t>
        </is>
      </c>
      <c r="D1308" s="47" t="inlineStr">
        <is>
          <t>Cooling</t>
        </is>
      </c>
      <c r="E1308" s="48" t="inlineStr">
        <is>
          <t>Iris Aria Plus 360mm AIO CPU Cooler</t>
        </is>
      </c>
      <c r="F1308" s="49" t="n">
        <v>220.99</v>
      </c>
      <c r="G1308" s="47" t="inlineStr">
        <is>
          <t>the Aria Plus; Iris Aria Plus; Iirs Aria Plus; Aria Plus cooling</t>
        </is>
      </c>
      <c r="H1308" s="47" t="inlineStr">
        <is>
          <t>6 year limited</t>
        </is>
      </c>
      <c r="I1308" s="47" t="inlineStr">
        <is>
          <t>FCC, CE, RoHS</t>
        </is>
      </c>
      <c r="J1308" s="47" t="inlineStr">
        <is>
          <t>N/A</t>
        </is>
      </c>
      <c r="K1308" s="47" t="inlineStr">
        <is>
          <t>N/A</t>
        </is>
      </c>
      <c r="L1308" s="47" t="inlineStr">
        <is>
          <t>IPS pump-head screen</t>
        </is>
      </c>
      <c r="M1308" s="47" t="inlineStr">
        <is>
          <t>480x480</t>
        </is>
      </c>
      <c r="N1308" s="47" t="inlineStr">
        <is>
          <t>3x 4-pin PWM fans, 3-pin pump header, ARGB 5V; LGA1700/LGA1851/AM5 mounts</t>
        </is>
      </c>
      <c r="O1308" s="47" t="inlineStr">
        <is>
          <t>N/A</t>
        </is>
      </c>
      <c r="P1308" s="47" t="inlineStr">
        <is>
          <t>N/A</t>
        </is>
      </c>
      <c r="Q1308" s="50" t="n">
        <v>1539</v>
      </c>
      <c r="R1308" s="47" t="inlineStr">
        <is>
          <t>Lighter than Psyche Onyx SE 360mm AIO CPU Cooler [PSY-144-06] (1,539 g vs 1,615 g); Lower price than Hera Volt 360mm AIO CPU Cooler [HER-129-06] ($220.99 vs $228.99)</t>
        </is>
      </c>
      <c r="S1308" s="47" t="inlineStr">
        <is>
          <t>overclocking, gaming, quiet builds</t>
        </is>
      </c>
      <c r="T1308" s="0" t="inlineStr">
        <is>
          <t>in_stock</t>
        </is>
      </c>
      <c r="U1308" s="0" t="n">
        <v>15</v>
      </c>
      <c r="V1308" s="52" t="n">
        <v>241.99</v>
      </c>
      <c r="W1308" s="0" t="inlineStr">
        <is>
          <t>2026-09-20</t>
        </is>
      </c>
      <c r="X1308" s="0" t="inlineStr">
        <is>
          <t>N/A</t>
        </is>
      </c>
      <c r="Y1308" s="0" t="inlineStr">
        <is>
          <t>N/A</t>
        </is>
      </c>
      <c r="Z1308" s="0" t="inlineStr">
        <is>
          <t>N/A</t>
        </is>
      </c>
      <c r="AA1308" s="0" t="inlineStr">
        <is>
          <t>N/A</t>
        </is>
      </c>
    </row>
    <row r="1309" ht="15.75" customHeight="1" s="51">
      <c r="A1309" s="47" t="inlineStr">
        <is>
          <t>IRI-130-07</t>
        </is>
      </c>
      <c r="B1309" s="47" t="inlineStr">
        <is>
          <t>Iris</t>
        </is>
      </c>
      <c r="C1309" s="47" t="inlineStr">
        <is>
          <t>Computer Hardware</t>
        </is>
      </c>
      <c r="D1309" s="47" t="inlineStr">
        <is>
          <t>Keyboard</t>
        </is>
      </c>
      <c r="E1309" s="48" t="inlineStr">
        <is>
          <t>Iris Prism Mechanical Keyboard</t>
        </is>
      </c>
      <c r="F1309" s="49" t="n">
        <v>233.99</v>
      </c>
      <c r="G1309" s="47" t="inlineStr">
        <is>
          <t>the Prism; Iris Prism; Iriss Prism; Prism keyboard</t>
        </is>
      </c>
      <c r="H1309" s="47" t="inlineStr">
        <is>
          <t>2 year limited</t>
        </is>
      </c>
      <c r="I1309" s="47" t="inlineStr">
        <is>
          <t>FCC, CE, RoHS, Bluetooth SIG Qualified</t>
        </is>
      </c>
      <c r="J1309" s="47" t="inlineStr">
        <is>
          <t>N/A</t>
        </is>
      </c>
      <c r="K1309" s="47" t="inlineStr">
        <is>
          <t>N/A</t>
        </is>
      </c>
      <c r="L1309" s="47" t="inlineStr">
        <is>
          <t>N/A</t>
        </is>
      </c>
      <c r="M1309" s="47" t="inlineStr">
        <is>
          <t>N/A</t>
        </is>
      </c>
      <c r="N1309" s="47" t="inlineStr">
        <is>
          <t>USB-C, 2.4GHz dongle, Bluetooth 5.1</t>
        </is>
      </c>
      <c r="O1309" s="47" t="inlineStr">
        <is>
          <t>N/A</t>
        </is>
      </c>
      <c r="P1309" s="47" t="n">
        <v>354</v>
      </c>
      <c r="Q1309" s="50" t="n">
        <v>1019</v>
      </c>
      <c r="R1309" s="47" t="inlineStr">
        <is>
          <t>Longer battery than Eirene Axis Max Mechanical Keyboard [EIR-112-07] (354 vs 335 hrs); Lower price than Kairos Vibe Mechanical Keyboard [KAI-142-08] ($233.99 vs $236.99)</t>
        </is>
      </c>
      <c r="S1309" s="47" t="inlineStr">
        <is>
          <t>gaming, typing, office</t>
        </is>
      </c>
      <c r="T1309" s="0" t="inlineStr">
        <is>
          <t>in_stock</t>
        </is>
      </c>
      <c r="U1309" s="0" t="n">
        <v>15</v>
      </c>
      <c r="V1309" s="52" t="n">
        <v>244.99</v>
      </c>
      <c r="W1309" s="0" t="inlineStr">
        <is>
          <t>2026-08-09</t>
        </is>
      </c>
      <c r="X1309" s="0" t="inlineStr">
        <is>
          <t>N/A</t>
        </is>
      </c>
      <c r="Y1309" s="0" t="inlineStr">
        <is>
          <t>N/A</t>
        </is>
      </c>
      <c r="Z1309" s="0" t="inlineStr">
        <is>
          <t>N/A</t>
        </is>
      </c>
      <c r="AA1309" s="0" t="inlineStr">
        <is>
          <t>N/A</t>
        </is>
      </c>
    </row>
    <row r="1310" ht="15.75" customHeight="1" s="51">
      <c r="A1310" s="47" t="inlineStr">
        <is>
          <t>IRI-130-08</t>
        </is>
      </c>
      <c r="B1310" s="47" t="inlineStr">
        <is>
          <t>Iris</t>
        </is>
      </c>
      <c r="C1310" s="47" t="inlineStr">
        <is>
          <t>Computer Hardware</t>
        </is>
      </c>
      <c r="D1310" s="47" t="inlineStr">
        <is>
          <t>Storage</t>
        </is>
      </c>
      <c r="E1310" s="48" t="inlineStr">
        <is>
          <t>Iris Quanta Plus 2TB NVMe SSD</t>
        </is>
      </c>
      <c r="F1310" s="49" t="n">
        <v>272.99</v>
      </c>
      <c r="G1310" s="47" t="inlineStr">
        <is>
          <t>the Quanta Plus; Iris Quanta Plus; Iriss Quanta Plus; Quanta Plus storage</t>
        </is>
      </c>
      <c r="H1310" s="47" t="inlineStr">
        <is>
          <t>5 year limited</t>
        </is>
      </c>
      <c r="I1310" s="47" t="inlineStr">
        <is>
          <t>FCC, CE, RoHS</t>
        </is>
      </c>
      <c r="J1310" s="47" t="inlineStr">
        <is>
          <t>Controller: Phison E26</t>
        </is>
      </c>
      <c r="K1310" s="47" t="inlineStr">
        <is>
          <t>N/A</t>
        </is>
      </c>
      <c r="L1310" s="47" t="inlineStr">
        <is>
          <t>N/A</t>
        </is>
      </c>
      <c r="M1310" s="47" t="inlineStr">
        <is>
          <t>N/A</t>
        </is>
      </c>
      <c r="N1310" s="47" t="inlineStr">
        <is>
          <t>M.2 2280, PCIe 5.0 x4 NVMe</t>
        </is>
      </c>
      <c r="O1310" s="47" t="inlineStr">
        <is>
          <t>N/A</t>
        </is>
      </c>
      <c r="P1310" s="47" t="inlineStr">
        <is>
          <t>N/A</t>
        </is>
      </c>
      <c r="Q1310" s="50" t="n">
        <v>11</v>
      </c>
      <c r="R1310" s="47" t="inlineStr">
        <is>
          <t>Lower price than Hades Vertex Max 2TB NVMe SSD [HAD-119-08] ($272.99 vs $278.99); Lighter than Eos Arc 2TB NVMe SSD [EOS-111-03] (11 g vs 30 g)</t>
        </is>
      </c>
      <c r="S1310" s="47" t="inlineStr">
        <is>
          <t>gaming, fast boot, content creation</t>
        </is>
      </c>
      <c r="T1310" s="0" t="inlineStr">
        <is>
          <t>in_stock</t>
        </is>
      </c>
      <c r="U1310" s="0" t="n">
        <v>15</v>
      </c>
      <c r="V1310" s="52" t="n">
        <v>307.99</v>
      </c>
      <c r="W1310" s="0" t="inlineStr">
        <is>
          <t>2026-08-02</t>
        </is>
      </c>
      <c r="X1310" s="0" t="inlineStr">
        <is>
          <t>N/A</t>
        </is>
      </c>
      <c r="Y1310" s="0" t="inlineStr">
        <is>
          <t>N/A</t>
        </is>
      </c>
      <c r="Z1310" s="0" t="inlineStr">
        <is>
          <t>N/A</t>
        </is>
      </c>
      <c r="AA1310" s="0" t="inlineStr">
        <is>
          <t>N/A</t>
        </is>
      </c>
    </row>
    <row r="1311" ht="15.75" customHeight="1" s="51">
      <c r="A1311" s="47" t="inlineStr">
        <is>
          <t>IRI-130-09</t>
        </is>
      </c>
      <c r="B1311" s="47" t="inlineStr">
        <is>
          <t>Iris</t>
        </is>
      </c>
      <c r="C1311" s="47" t="inlineStr">
        <is>
          <t>Computer Hardware</t>
        </is>
      </c>
      <c r="D1311" s="47" t="inlineStr">
        <is>
          <t>Monitor</t>
        </is>
      </c>
      <c r="E1311" s="48" t="inlineStr">
        <is>
          <t>Iris Volt Ultra 27" 1440p Monitor</t>
        </is>
      </c>
      <c r="F1311" s="49" t="n">
        <v>540.99</v>
      </c>
      <c r="G1311" s="47" t="inlineStr">
        <is>
          <t>the Volt Ultra; Iris Volt Ultra; Iriss Volt Ultra; Volt Ultra monitor</t>
        </is>
      </c>
      <c r="H1311" s="47" t="inlineStr">
        <is>
          <t>3 year limited</t>
        </is>
      </c>
      <c r="I1311" s="47" t="inlineStr">
        <is>
          <t>FCC, CE, RoHS, Energy Star, TUV Rheinland Low Blue Light, VESA DisplayHDR True Black 400</t>
        </is>
      </c>
      <c r="J1311" s="47" t="inlineStr">
        <is>
          <t>N/A</t>
        </is>
      </c>
      <c r="K1311" s="47" t="inlineStr">
        <is>
          <t>N/A</t>
        </is>
      </c>
      <c r="L1311" s="47" t="inlineStr">
        <is>
          <t>Fast IPS, 240Hz</t>
        </is>
      </c>
      <c r="M1311" s="47" t="inlineStr">
        <is>
          <t>2560x1440</t>
        </is>
      </c>
      <c r="N1311" s="47" t="inlineStr">
        <is>
          <t>2x HDMI 2.1, 1x DisplayPort 1.4, USB-C 90W, USB hub</t>
        </is>
      </c>
      <c r="O1311" s="47" t="inlineStr">
        <is>
          <t>N/A</t>
        </is>
      </c>
      <c r="P1311" s="47" t="inlineStr">
        <is>
          <t>N/A</t>
        </is>
      </c>
      <c r="Q1311" s="50" t="n">
        <v>6654</v>
      </c>
      <c r="R1311" s="47" t="inlineStr">
        <is>
          <t>Lower price than Ares Vibe X 27" 1440p Monitor [ARE-140-10] ($540.99 vs $621.99); Lighter than Themis Zen SE 27" 1440p Monitor [THE-145-10] (6,654 g vs 7,033 g)</t>
        </is>
      </c>
      <c r="S1311" s="47" t="inlineStr">
        <is>
          <t>gaming, office, content creation</t>
        </is>
      </c>
      <c r="T1311" s="0" t="inlineStr">
        <is>
          <t>in_stock</t>
        </is>
      </c>
      <c r="U1311" s="0" t="n">
        <v>15</v>
      </c>
      <c r="V1311" s="52" t="n">
        <v>576.99</v>
      </c>
      <c r="W1311" s="0" t="inlineStr">
        <is>
          <t>2026-08-25</t>
        </is>
      </c>
      <c r="X1311" s="0" t="inlineStr">
        <is>
          <t>N/A</t>
        </is>
      </c>
      <c r="Y1311" s="0" t="inlineStr">
        <is>
          <t>N/A</t>
        </is>
      </c>
      <c r="Z1311" s="0" t="inlineStr">
        <is>
          <t>N/A</t>
        </is>
      </c>
      <c r="AA1311" s="0" t="inlineStr">
        <is>
          <t>N/A</t>
        </is>
      </c>
    </row>
    <row r="1312" ht="15.75" customHeight="1" s="51">
      <c r="A1312" s="47" t="inlineStr">
        <is>
          <t>IRI-130-10</t>
        </is>
      </c>
      <c r="B1312" s="47" t="inlineStr">
        <is>
          <t>Iris</t>
        </is>
      </c>
      <c r="C1312" s="47" t="inlineStr">
        <is>
          <t>Computer Hardware</t>
        </is>
      </c>
      <c r="D1312" s="47" t="inlineStr">
        <is>
          <t>Graphics Card</t>
        </is>
      </c>
      <c r="E1312" s="48" t="inlineStr">
        <is>
          <t>Iris Sable Air Graphics Card</t>
        </is>
      </c>
      <c r="F1312" s="49" t="n">
        <v>1301.99</v>
      </c>
      <c r="G1312" s="47" t="inlineStr">
        <is>
          <t>the Sable Air; Iris Sable Air; Iriis Sable Air; Sable Air graphics card</t>
        </is>
      </c>
      <c r="H1312" s="47" t="inlineStr">
        <is>
          <t>3 year limited</t>
        </is>
      </c>
      <c r="I1312" s="47" t="inlineStr">
        <is>
          <t>FCC, CE, RoHS</t>
        </is>
      </c>
      <c r="J1312" s="47" t="inlineStr">
        <is>
          <t>N/A</t>
        </is>
      </c>
      <c r="K1312" s="47" t="inlineStr">
        <is>
          <t>AMD Radeon RX 7900 XTX 24GB (Iris Sable edition)</t>
        </is>
      </c>
      <c r="L1312" s="47" t="inlineStr">
        <is>
          <t>N/A</t>
        </is>
      </c>
      <c r="M1312" s="47" t="inlineStr">
        <is>
          <t>N/A</t>
        </is>
      </c>
      <c r="N1312" s="47" t="inlineStr">
        <is>
          <t>2x DisplayPort 2.1, 1x HDMI 2.1, 1x USB-C</t>
        </is>
      </c>
      <c r="O1312" s="47" t="inlineStr">
        <is>
          <t>N/A</t>
        </is>
      </c>
      <c r="P1312" s="47" t="inlineStr">
        <is>
          <t>N/A</t>
        </is>
      </c>
      <c r="Q1312" s="50" t="n">
        <v>1621</v>
      </c>
      <c r="R1312" s="47" t="inlineStr">
        <is>
          <t>Lower price than Hera Apex Max Graphics Card [HER-129-10] ($1,301.99 vs $1,974.99); Lighter than Palaemon Sable Lite Graphics Card [PAL-127-10] (1,621 g vs 1,945 g)</t>
        </is>
      </c>
      <c r="S1312" s="47" t="inlineStr">
        <is>
          <t>gaming, 3D rendering, AI workloads</t>
        </is>
      </c>
      <c r="T1312" s="0" t="inlineStr">
        <is>
          <t>in_stock</t>
        </is>
      </c>
      <c r="U1312" s="0" t="n">
        <v>15</v>
      </c>
      <c r="V1312" s="52" t="n">
        <v>1374.99</v>
      </c>
      <c r="W1312" s="0" t="inlineStr">
        <is>
          <t>2026-08-24</t>
        </is>
      </c>
      <c r="X1312" s="0" t="inlineStr">
        <is>
          <t>N/A</t>
        </is>
      </c>
      <c r="Y1312" s="0" t="inlineStr">
        <is>
          <t>N/A</t>
        </is>
      </c>
      <c r="Z1312" s="0" t="inlineStr">
        <is>
          <t>N/A</t>
        </is>
      </c>
      <c r="AA1312" s="0" t="inlineStr">
        <is>
          <t>N/A</t>
        </is>
      </c>
    </row>
    <row r="1313" ht="15.75" customHeight="1" s="51">
      <c r="A1313" s="47" t="inlineStr">
        <is>
          <t>CET-131-01</t>
        </is>
      </c>
      <c r="B1313" s="47" t="inlineStr">
        <is>
          <t>Ceto</t>
        </is>
      </c>
      <c r="C1313" s="47" t="inlineStr">
        <is>
          <t>Computer Hardware</t>
        </is>
      </c>
      <c r="D1313" s="47" t="inlineStr">
        <is>
          <t>Case Fans</t>
        </is>
      </c>
      <c r="E1313" s="48" t="inlineStr">
        <is>
          <t>Ceto Echo RGB Case Fan 3-Pack</t>
        </is>
      </c>
      <c r="F1313" s="49" t="n">
        <v>70.98999999999999</v>
      </c>
      <c r="G1313" s="47" t="inlineStr">
        <is>
          <t>the Echo; Ceto Echo; Cetto Echo; Echo case fans</t>
        </is>
      </c>
      <c r="H1313" s="47" t="inlineStr">
        <is>
          <t>2 year limited</t>
        </is>
      </c>
      <c r="I1313" s="47" t="inlineStr">
        <is>
          <t>FCC, CE, RoHS</t>
        </is>
      </c>
      <c r="J1313" s="47" t="inlineStr">
        <is>
          <t>N/A</t>
        </is>
      </c>
      <c r="K1313" s="47" t="inlineStr">
        <is>
          <t>N/A</t>
        </is>
      </c>
      <c r="L1313" s="47" t="inlineStr">
        <is>
          <t>N/A</t>
        </is>
      </c>
      <c r="M1313" s="47" t="inlineStr">
        <is>
          <t>N/A</t>
        </is>
      </c>
      <c r="N1313" s="47" t="inlineStr">
        <is>
          <t>4-pin PWM, 3-pin 5V ARGB, daisy-chain connectors</t>
        </is>
      </c>
      <c r="O1313" s="47" t="inlineStr">
        <is>
          <t>N/A</t>
        </is>
      </c>
      <c r="P1313" s="47" t="inlineStr">
        <is>
          <t>N/A</t>
        </is>
      </c>
      <c r="Q1313" s="50" t="n">
        <v>440</v>
      </c>
      <c r="R1313" s="47" t="inlineStr">
        <is>
          <t>Lower price than Hyperion Axis Ultra RGB Case Fan 3-Pack [HYP-123-02] ($70.99 vs $74.99); Lighter than Eucleia Halo RGB Case Fan 3-Pack [EUC-124-01] (440 g vs 519 g)</t>
        </is>
      </c>
      <c r="S1313" s="47" t="inlineStr">
        <is>
          <t>PC building, cooling, RGB builds</t>
        </is>
      </c>
      <c r="T1313" s="0" t="inlineStr">
        <is>
          <t>in_stock</t>
        </is>
      </c>
      <c r="U1313" s="0" t="n">
        <v>15</v>
      </c>
      <c r="V1313" s="52" t="n">
        <v>78.98999999999999</v>
      </c>
      <c r="W1313" s="0" t="inlineStr">
        <is>
          <t>2026-08-31</t>
        </is>
      </c>
      <c r="X1313" s="0" t="inlineStr">
        <is>
          <t>N/A</t>
        </is>
      </c>
      <c r="Y1313" s="0" t="inlineStr">
        <is>
          <t>N/A</t>
        </is>
      </c>
      <c r="Z1313" s="0" t="inlineStr">
        <is>
          <t>N/A</t>
        </is>
      </c>
      <c r="AA1313" s="0" t="inlineStr">
        <is>
          <t>N/A</t>
        </is>
      </c>
    </row>
    <row r="1314" ht="15.75" customHeight="1" s="51">
      <c r="A1314" s="47" t="inlineStr">
        <is>
          <t>CET-131-02</t>
        </is>
      </c>
      <c r="B1314" s="47" t="inlineStr">
        <is>
          <t>Ceto</t>
        </is>
      </c>
      <c r="C1314" s="47" t="inlineStr">
        <is>
          <t>Computer Hardware</t>
        </is>
      </c>
      <c r="D1314" s="47" t="inlineStr">
        <is>
          <t>PC Case</t>
        </is>
      </c>
      <c r="E1314" s="48" t="inlineStr">
        <is>
          <t>Ceto Titan Mid-Tower PC Case</t>
        </is>
      </c>
      <c r="F1314" s="49" t="n">
        <v>122.99</v>
      </c>
      <c r="G1314" s="47" t="inlineStr">
        <is>
          <t>the Titan; Ceto Titan; Ceeto Titan; Titan pc case</t>
        </is>
      </c>
      <c r="H1314" s="47" t="inlineStr">
        <is>
          <t>2 year limited</t>
        </is>
      </c>
      <c r="I1314" s="47" t="inlineStr">
        <is>
          <t>FCC, CE, RoHS, UL 94 V-0 (materials)</t>
        </is>
      </c>
      <c r="J1314" s="47" t="inlineStr">
        <is>
          <t>N/A</t>
        </is>
      </c>
      <c r="K1314" s="47" t="inlineStr">
        <is>
          <t>N/A</t>
        </is>
      </c>
      <c r="L1314" s="47" t="inlineStr">
        <is>
          <t>N/A</t>
        </is>
      </c>
      <c r="M1314" s="47" t="inlineStr">
        <is>
          <t>N/A</t>
        </is>
      </c>
      <c r="N1314" s="47" t="inlineStr">
        <is>
          <t>Front I/O: 1x USB-C 10Gbps, 2x USB-A 3.0, 3.5mm combo audio</t>
        </is>
      </c>
      <c r="O1314" s="47" t="inlineStr">
        <is>
          <t>N/A</t>
        </is>
      </c>
      <c r="P1314" s="47" t="inlineStr">
        <is>
          <t>N/A</t>
        </is>
      </c>
      <c r="Q1314" s="50" t="n">
        <v>7241</v>
      </c>
      <c r="R1314" s="47" t="inlineStr">
        <is>
          <t>Lighter than Kairos Vertex Air Mid-Tower PC Case [KAI-142-04] (7,241 g vs 9,278 g); Lower price than Perses Orbit Plus Mid-Tower PC Case [PER-101-05] ($122.99 vs $178.99)</t>
        </is>
      </c>
      <c r="S1314" s="47" t="inlineStr">
        <is>
          <t>PC building, gaming</t>
        </is>
      </c>
      <c r="T1314" s="0" t="inlineStr">
        <is>
          <t>in_stock</t>
        </is>
      </c>
      <c r="U1314" s="0" t="n">
        <v>15</v>
      </c>
      <c r="V1314" s="52" t="n">
        <v>136.99</v>
      </c>
      <c r="W1314" s="0" t="inlineStr">
        <is>
          <t>2026-08-31</t>
        </is>
      </c>
      <c r="X1314" s="0" t="inlineStr">
        <is>
          <t>N/A</t>
        </is>
      </c>
      <c r="Y1314" s="0" t="inlineStr">
        <is>
          <t>N/A</t>
        </is>
      </c>
      <c r="Z1314" s="0" t="inlineStr">
        <is>
          <t>N/A</t>
        </is>
      </c>
      <c r="AA1314" s="0" t="inlineStr">
        <is>
          <t>N/A</t>
        </is>
      </c>
    </row>
    <row r="1315" ht="15.75" customHeight="1" s="51">
      <c r="A1315" s="47" t="inlineStr">
        <is>
          <t>CET-131-03</t>
        </is>
      </c>
      <c r="B1315" s="47" t="inlineStr">
        <is>
          <t>Ceto</t>
        </is>
      </c>
      <c r="C1315" s="47" t="inlineStr">
        <is>
          <t>Computer Hardware</t>
        </is>
      </c>
      <c r="D1315" s="47" t="inlineStr">
        <is>
          <t>Power Supply</t>
        </is>
      </c>
      <c r="E1315" s="48" t="inlineStr">
        <is>
          <t>Ceto Titan SE 850W Power Supply</t>
        </is>
      </c>
      <c r="F1315" s="49" t="n">
        <v>140.99</v>
      </c>
      <c r="G1315" s="47" t="inlineStr">
        <is>
          <t>the Titan SE; Ceto Titan SE; Keto Titan SE; Titan SE power supply</t>
        </is>
      </c>
      <c r="H1315" s="47" t="inlineStr">
        <is>
          <t>7 year limited</t>
        </is>
      </c>
      <c r="I1315" s="47" t="inlineStr">
        <is>
          <t>FCC, CE, RoHS, 80 PLUS Gold, UL Listed</t>
        </is>
      </c>
      <c r="J1315" s="47" t="inlineStr">
        <is>
          <t>N/A</t>
        </is>
      </c>
      <c r="K1315" s="47" t="inlineStr">
        <is>
          <t>N/A</t>
        </is>
      </c>
      <c r="L1315" s="47" t="inlineStr">
        <is>
          <t>N/A</t>
        </is>
      </c>
      <c r="M1315" s="47" t="inlineStr">
        <is>
          <t>N/A</t>
        </is>
      </c>
      <c r="N1315" s="47" t="inlineStr">
        <is>
          <t>ATX 3.1, native 12V-2x6 (600W) connector, fully modular</t>
        </is>
      </c>
      <c r="O1315" s="47" t="inlineStr">
        <is>
          <t>N/A</t>
        </is>
      </c>
      <c r="P1315" s="47" t="inlineStr">
        <is>
          <t>N/A</t>
        </is>
      </c>
      <c r="Q1315" s="50" t="n">
        <v>1969</v>
      </c>
      <c r="R1315" s="47" t="inlineStr">
        <is>
          <t>Lower price than Hemera Quanta Ultra 850W Power Supply [HEM-117-05] ($140.99 vs $175.99); Lighter than Aidos Wave X 850W Power Supply [AID-135-04] (1,969 g vs 2,205 g)</t>
        </is>
      </c>
      <c r="S1315" s="47" t="inlineStr">
        <is>
          <t>PC building, high-end gaming</t>
        </is>
      </c>
      <c r="T1315" s="0" t="inlineStr">
        <is>
          <t>low_stock</t>
        </is>
      </c>
      <c r="U1315" s="0" t="n">
        <v>15</v>
      </c>
      <c r="V1315" s="52" t="n">
        <v>146.99</v>
      </c>
      <c r="W1315" s="0" t="inlineStr">
        <is>
          <t>2026-08-21</t>
        </is>
      </c>
      <c r="X1315" s="0" t="inlineStr">
        <is>
          <t>N/A</t>
        </is>
      </c>
      <c r="Y1315" s="0" t="inlineStr">
        <is>
          <t>N/A</t>
        </is>
      </c>
      <c r="Z1315" s="0" t="inlineStr">
        <is>
          <t>N/A</t>
        </is>
      </c>
      <c r="AA1315" s="0" t="inlineStr">
        <is>
          <t>N/A</t>
        </is>
      </c>
    </row>
    <row r="1316" ht="15.75" customHeight="1" s="51">
      <c r="A1316" s="47" t="inlineStr">
        <is>
          <t>CET-131-04</t>
        </is>
      </c>
      <c r="B1316" s="47" t="inlineStr">
        <is>
          <t>Ceto</t>
        </is>
      </c>
      <c r="C1316" s="47" t="inlineStr">
        <is>
          <t>Computer Hardware</t>
        </is>
      </c>
      <c r="D1316" s="47" t="inlineStr">
        <is>
          <t>Mouse</t>
        </is>
      </c>
      <c r="E1316" s="48" t="inlineStr">
        <is>
          <t>Ceto Titan Gaming Mouse</t>
        </is>
      </c>
      <c r="F1316" s="49" t="n">
        <v>155.99</v>
      </c>
      <c r="G1316" s="47" t="inlineStr">
        <is>
          <t>the Titan; Ceto Titan; Cteo Titan; Titan mouse</t>
        </is>
      </c>
      <c r="H1316" s="47" t="inlineStr">
        <is>
          <t>2 year limited</t>
        </is>
      </c>
      <c r="I1316" s="47" t="inlineStr">
        <is>
          <t>FCC, CE, RoHS, Bluetooth SIG Qualified</t>
        </is>
      </c>
      <c r="J1316" s="47" t="inlineStr">
        <is>
          <t>Sensor: 36K DPI optical</t>
        </is>
      </c>
      <c r="K1316" s="47" t="inlineStr">
        <is>
          <t>N/A</t>
        </is>
      </c>
      <c r="L1316" s="47" t="inlineStr">
        <is>
          <t>N/A</t>
        </is>
      </c>
      <c r="M1316" s="47" t="inlineStr">
        <is>
          <t>N/A</t>
        </is>
      </c>
      <c r="N1316" s="47" t="inlineStr">
        <is>
          <t>USB-C, 2.4GHz dongle, Bluetooth 5.1</t>
        </is>
      </c>
      <c r="O1316" s="47" t="inlineStr">
        <is>
          <t>N/A</t>
        </is>
      </c>
      <c r="P1316" s="47" t="n">
        <v>108</v>
      </c>
      <c r="Q1316" s="50" t="n">
        <v>64</v>
      </c>
      <c r="R1316" s="47" t="inlineStr">
        <is>
          <t>Longer battery than Eurybia Pulse Max Gaming Mouse [EUR-104-03] (108 vs 94 hrs); Lighter than Eucleia Flux SE Gaming Mouse [EUC-124-02] (64 g vs 67 g)</t>
        </is>
      </c>
      <c r="S1316" s="47" t="inlineStr">
        <is>
          <t>gaming, esports</t>
        </is>
      </c>
      <c r="T1316" s="0" t="inlineStr">
        <is>
          <t>low_stock</t>
        </is>
      </c>
      <c r="U1316" s="0" t="n">
        <v>15</v>
      </c>
      <c r="V1316" s="52" t="n">
        <v>172.99</v>
      </c>
      <c r="W1316" s="0" t="inlineStr">
        <is>
          <t>2026-08-01</t>
        </is>
      </c>
      <c r="X1316" s="0" t="inlineStr">
        <is>
          <t>N/A</t>
        </is>
      </c>
      <c r="Y1316" s="0" t="inlineStr">
        <is>
          <t>N/A</t>
        </is>
      </c>
      <c r="Z1316" s="0" t="inlineStr">
        <is>
          <t>N/A</t>
        </is>
      </c>
      <c r="AA1316" s="0" t="inlineStr">
        <is>
          <t>N/A</t>
        </is>
      </c>
    </row>
    <row r="1317" ht="15.75" customHeight="1" s="51">
      <c r="A1317" s="47" t="inlineStr">
        <is>
          <t>CET-131-05</t>
        </is>
      </c>
      <c r="B1317" s="47" t="inlineStr">
        <is>
          <t>Ceto</t>
        </is>
      </c>
      <c r="C1317" s="47" t="inlineStr">
        <is>
          <t>Computer Hardware</t>
        </is>
      </c>
      <c r="D1317" s="47" t="inlineStr">
        <is>
          <t>Motherboard</t>
        </is>
      </c>
      <c r="E1317" s="48" t="inlineStr">
        <is>
          <t>Ceto Echo Lite ATX Motherboard</t>
        </is>
      </c>
      <c r="F1317" s="49" t="n">
        <v>185.99</v>
      </c>
      <c r="G1317" s="47" t="inlineStr">
        <is>
          <t>the Echo Lite; Ceto Echo Lite; Cet Echo Lite; Echo Lite motherboard</t>
        </is>
      </c>
      <c r="H1317" s="47" t="inlineStr">
        <is>
          <t>3 year limited</t>
        </is>
      </c>
      <c r="I1317" s="47" t="inlineStr">
        <is>
          <t>FCC, CE, RoHS</t>
        </is>
      </c>
      <c r="J1317" s="47" t="inlineStr">
        <is>
          <t>Supports Intel Core 12th-14th Gen (LGA1700)</t>
        </is>
      </c>
      <c r="K1317" s="47" t="inlineStr">
        <is>
          <t>N/A</t>
        </is>
      </c>
      <c r="L1317" s="47" t="inlineStr">
        <is>
          <t>N/A</t>
        </is>
      </c>
      <c r="M1317" s="47" t="inlineStr">
        <is>
          <t>N/A</t>
        </is>
      </c>
      <c r="N1317" s="47" t="inlineStr">
        <is>
          <t>Rear I/O: 1x HDMI, 6x USB-A, 1x USB-C 10Gbps, 2.5GbE, Wi-Fi 6E</t>
        </is>
      </c>
      <c r="O1317" s="47" t="inlineStr">
        <is>
          <t>N/A</t>
        </is>
      </c>
      <c r="P1317" s="47" t="inlineStr">
        <is>
          <t>N/A</t>
        </is>
      </c>
      <c r="Q1317" s="50" t="n">
        <v>1517</v>
      </c>
      <c r="R1317" s="47" t="inlineStr">
        <is>
          <t>Lighter than Apate Sable Lite ATX Motherboard [APA-110-08] (1,517 g vs 1,584 g); Lower price than Eris Strata SE ATX Motherboard [ERI-148-09] ($185.99 vs $334.99)</t>
        </is>
      </c>
      <c r="S1317" s="47" t="inlineStr">
        <is>
          <t>PC building, gaming, workstation builds</t>
        </is>
      </c>
      <c r="T1317" s="0" t="inlineStr">
        <is>
          <t>in_stock</t>
        </is>
      </c>
      <c r="U1317" s="0" t="n">
        <v>15</v>
      </c>
      <c r="V1317" s="52" t="n">
        <v>196.99</v>
      </c>
      <c r="W1317" s="0" t="inlineStr">
        <is>
          <t>2026-09-19</t>
        </is>
      </c>
      <c r="X1317" s="0" t="inlineStr">
        <is>
          <t>N/A</t>
        </is>
      </c>
      <c r="Y1317" s="0" t="inlineStr">
        <is>
          <t>N/A</t>
        </is>
      </c>
      <c r="Z1317" s="0" t="inlineStr">
        <is>
          <t>N/A</t>
        </is>
      </c>
      <c r="AA1317" s="0" t="inlineStr">
        <is>
          <t>N/A</t>
        </is>
      </c>
    </row>
    <row r="1318" ht="15.75" customHeight="1" s="51">
      <c r="A1318" s="47" t="inlineStr">
        <is>
          <t>CET-131-06</t>
        </is>
      </c>
      <c r="B1318" s="47" t="inlineStr">
        <is>
          <t>Ceto</t>
        </is>
      </c>
      <c r="C1318" s="47" t="inlineStr">
        <is>
          <t>Computer Hardware</t>
        </is>
      </c>
      <c r="D1318" s="47" t="inlineStr">
        <is>
          <t>Memory</t>
        </is>
      </c>
      <c r="E1318" s="48" t="inlineStr">
        <is>
          <t>Ceto Aria 32GB DDR5 RAM Kit</t>
        </is>
      </c>
      <c r="F1318" s="49" t="n">
        <v>186.99</v>
      </c>
      <c r="G1318" s="47" t="inlineStr">
        <is>
          <t>the Aria; Ceto Aria; Cet Aria; Aria memory</t>
        </is>
      </c>
      <c r="H1318" s="47" t="inlineStr">
        <is>
          <t>Limited lifetime</t>
        </is>
      </c>
      <c r="I1318" s="47" t="inlineStr">
        <is>
          <t>FCC, CE, RoHS</t>
        </is>
      </c>
      <c r="J1318" s="47" t="inlineStr">
        <is>
          <t>N/A</t>
        </is>
      </c>
      <c r="K1318" s="47" t="inlineStr">
        <is>
          <t>N/A</t>
        </is>
      </c>
      <c r="L1318" s="47" t="inlineStr">
        <is>
          <t>N/A</t>
        </is>
      </c>
      <c r="M1318" s="47" t="inlineStr">
        <is>
          <t>N/A</t>
        </is>
      </c>
      <c r="N1318" s="47" t="inlineStr">
        <is>
          <t>2x 16GB DDR5 288-pin DIMM, 6400 MT/s</t>
        </is>
      </c>
      <c r="O1318" s="47" t="inlineStr">
        <is>
          <t>N/A</t>
        </is>
      </c>
      <c r="P1318" s="47" t="inlineStr">
        <is>
          <t>N/A</t>
        </is>
      </c>
      <c r="Q1318" s="50" t="n">
        <v>67</v>
      </c>
      <c r="R1318" s="47" t="inlineStr">
        <is>
          <t>Lighter than Harmonia Lumen Air 32GB DDR5 RAM Kit [HAR-106-07] (67 g vs 77 g); Lower price than Nyx Crest 32GB DDR5 RAM Kit [NYX-115-06] ($186.99 vs $226.99)</t>
        </is>
      </c>
      <c r="S1318" s="47" t="inlineStr">
        <is>
          <t>gaming, multitasking, PC building</t>
        </is>
      </c>
      <c r="T1318" s="0" t="inlineStr">
        <is>
          <t>low_stock</t>
        </is>
      </c>
      <c r="U1318" s="0" t="n">
        <v>15</v>
      </c>
      <c r="V1318" s="52" t="n">
        <v>196.99</v>
      </c>
      <c r="W1318" s="0" t="inlineStr">
        <is>
          <t>2026-09-14</t>
        </is>
      </c>
      <c r="X1318" s="0" t="inlineStr">
        <is>
          <t>N/A</t>
        </is>
      </c>
      <c r="Y1318" s="0" t="inlineStr">
        <is>
          <t>N/A</t>
        </is>
      </c>
      <c r="Z1318" s="0" t="inlineStr">
        <is>
          <t>N/A</t>
        </is>
      </c>
      <c r="AA1318" s="0" t="inlineStr">
        <is>
          <t>N/A</t>
        </is>
      </c>
    </row>
    <row r="1319" ht="15.75" customHeight="1" s="51">
      <c r="A1319" s="47" t="inlineStr">
        <is>
          <t>CET-131-07</t>
        </is>
      </c>
      <c r="B1319" s="47" t="inlineStr">
        <is>
          <t>Ceto</t>
        </is>
      </c>
      <c r="C1319" s="47" t="inlineStr">
        <is>
          <t>Computer Hardware</t>
        </is>
      </c>
      <c r="D1319" s="47" t="inlineStr">
        <is>
          <t>Webcam</t>
        </is>
      </c>
      <c r="E1319" s="48" t="inlineStr">
        <is>
          <t>Ceto Nova Pro 4K Webcam</t>
        </is>
      </c>
      <c r="F1319" s="49" t="n">
        <v>208.99</v>
      </c>
      <c r="G1319" s="47" t="inlineStr">
        <is>
          <t>the Nova Pro; Ceto Nova Pro; Ceeto Nova Pro; Nova Pro webcam</t>
        </is>
      </c>
      <c r="H1319" s="47" t="inlineStr">
        <is>
          <t>2 year limited</t>
        </is>
      </c>
      <c r="I1319" s="47" t="inlineStr">
        <is>
          <t>FCC, CE, RoHS, USB-IF Certified</t>
        </is>
      </c>
      <c r="J1319" s="47" t="inlineStr">
        <is>
          <t>N/A</t>
        </is>
      </c>
      <c r="K1319" s="47" t="inlineStr">
        <is>
          <t>N/A</t>
        </is>
      </c>
      <c r="L1319" s="47" t="inlineStr">
        <is>
          <t>N/A</t>
        </is>
      </c>
      <c r="M1319" s="47" t="inlineStr">
        <is>
          <t>3840x2160 @ 30fps, 1080p @ 60fps</t>
        </is>
      </c>
      <c r="N1319" s="47" t="inlineStr">
        <is>
          <t>USB-C (USB 3.0)</t>
        </is>
      </c>
      <c r="O1319" s="47" t="inlineStr">
        <is>
          <t>N/A</t>
        </is>
      </c>
      <c r="P1319" s="47" t="inlineStr">
        <is>
          <t>N/A</t>
        </is>
      </c>
      <c r="Q1319" s="50" t="n">
        <v>149</v>
      </c>
      <c r="R1319" s="47" t="inlineStr">
        <is>
          <t>Lighter than Eileithyia Nimbus 4K Webcam [EIL-149-01] (149 g vs 163 g); Lower price than Enyo Titan Ultra 4K Webcam [ENY-114-06] ($208.99 vs $223.99)</t>
        </is>
      </c>
      <c r="S1319" s="47" t="inlineStr">
        <is>
          <t>video calls, streaming, remote work</t>
        </is>
      </c>
      <c r="T1319" s="0" t="inlineStr">
        <is>
          <t>in_stock</t>
        </is>
      </c>
      <c r="U1319" s="0" t="n">
        <v>15</v>
      </c>
      <c r="V1319" s="52" t="n">
        <v>236.99</v>
      </c>
      <c r="W1319" s="0" t="inlineStr">
        <is>
          <t>2026-08-13</t>
        </is>
      </c>
      <c r="X1319" s="0" t="inlineStr">
        <is>
          <t>N/A</t>
        </is>
      </c>
      <c r="Y1319" s="0" t="inlineStr">
        <is>
          <t>N/A</t>
        </is>
      </c>
      <c r="Z1319" s="0" t="inlineStr">
        <is>
          <t>N/A</t>
        </is>
      </c>
      <c r="AA1319" s="0" t="inlineStr">
        <is>
          <t>N/A</t>
        </is>
      </c>
    </row>
    <row r="1320" ht="15.75" customHeight="1" s="51">
      <c r="A1320" s="47" t="inlineStr">
        <is>
          <t>CET-131-08</t>
        </is>
      </c>
      <c r="B1320" s="47" t="inlineStr">
        <is>
          <t>Ceto</t>
        </is>
      </c>
      <c r="C1320" s="47" t="inlineStr">
        <is>
          <t>Computer Hardware</t>
        </is>
      </c>
      <c r="D1320" s="47" t="inlineStr">
        <is>
          <t>Keyboard</t>
        </is>
      </c>
      <c r="E1320" s="48" t="inlineStr">
        <is>
          <t>Ceto Aria Mechanical Keyboard</t>
        </is>
      </c>
      <c r="F1320" s="49" t="n">
        <v>213.99</v>
      </c>
      <c r="G1320" s="47" t="inlineStr">
        <is>
          <t>the Aria; Ceto Aria; Cetoo Aria; Aria keyboard</t>
        </is>
      </c>
      <c r="H1320" s="47" t="inlineStr">
        <is>
          <t>2 year limited</t>
        </is>
      </c>
      <c r="I1320" s="47" t="inlineStr">
        <is>
          <t>FCC, CE, RoHS, Bluetooth SIG Qualified</t>
        </is>
      </c>
      <c r="J1320" s="47" t="inlineStr">
        <is>
          <t>N/A</t>
        </is>
      </c>
      <c r="K1320" s="47" t="inlineStr">
        <is>
          <t>N/A</t>
        </is>
      </c>
      <c r="L1320" s="47" t="inlineStr">
        <is>
          <t>N/A</t>
        </is>
      </c>
      <c r="M1320" s="47" t="inlineStr">
        <is>
          <t>N/A</t>
        </is>
      </c>
      <c r="N1320" s="47" t="inlineStr">
        <is>
          <t>USB-C, 2.4GHz dongle, Bluetooth 5.1</t>
        </is>
      </c>
      <c r="O1320" s="47" t="inlineStr">
        <is>
          <t>N/A</t>
        </is>
      </c>
      <c r="P1320" s="47" t="n">
        <v>364</v>
      </c>
      <c r="Q1320" s="50" t="n">
        <v>884</v>
      </c>
      <c r="R1320" s="47" t="inlineStr">
        <is>
          <t>Lighter than Eros Apex Pro Mechanical Keyboard [ERO-134-02] (884 g vs 940 g); Longer battery than Atlas Strata Ultra Mechanical Keyboard [ATL-122-07] (364 vs 220 hrs)</t>
        </is>
      </c>
      <c r="S1320" s="47" t="inlineStr">
        <is>
          <t>gaming, typing, office</t>
        </is>
      </c>
      <c r="T1320" s="0" t="inlineStr">
        <is>
          <t>in_stock</t>
        </is>
      </c>
      <c r="U1320" s="0" t="n">
        <v>15</v>
      </c>
      <c r="V1320" s="52" t="n">
        <v>239.99</v>
      </c>
      <c r="W1320" s="0" t="inlineStr">
        <is>
          <t>2026-08-22</t>
        </is>
      </c>
      <c r="X1320" s="0" t="inlineStr">
        <is>
          <t>N/A</t>
        </is>
      </c>
      <c r="Y1320" s="0" t="inlineStr">
        <is>
          <t>N/A</t>
        </is>
      </c>
      <c r="Z1320" s="0" t="inlineStr">
        <is>
          <t>N/A</t>
        </is>
      </c>
      <c r="AA1320" s="0" t="inlineStr">
        <is>
          <t>N/A</t>
        </is>
      </c>
    </row>
    <row r="1321" ht="15.75" customHeight="1" s="51">
      <c r="A1321" s="47" t="inlineStr">
        <is>
          <t>CET-131-09</t>
        </is>
      </c>
      <c r="B1321" s="47" t="inlineStr">
        <is>
          <t>Ceto</t>
        </is>
      </c>
      <c r="C1321" s="47" t="inlineStr">
        <is>
          <t>Computer Hardware</t>
        </is>
      </c>
      <c r="D1321" s="47" t="inlineStr">
        <is>
          <t>Processor</t>
        </is>
      </c>
      <c r="E1321" s="48" t="inlineStr">
        <is>
          <t>Ceto Pulse Ultra Desktop CPU</t>
        </is>
      </c>
      <c r="F1321" s="49" t="n">
        <v>285.99</v>
      </c>
      <c r="G1321" s="47" t="inlineStr">
        <is>
          <t>the Pulse Ultra; Ceto Pulse Ultra; Ceeto Pulse Ultra; Pulse Ultra processor</t>
        </is>
      </c>
      <c r="H1321" s="47" t="inlineStr">
        <is>
          <t>3 year limited</t>
        </is>
      </c>
      <c r="I1321" s="47" t="inlineStr">
        <is>
          <t>FCC, CE, RoHS</t>
        </is>
      </c>
      <c r="J1321" s="47" t="inlineStr">
        <is>
          <t>Ceto Pulse 8-core / 16-thread, up to 4.9 GHz</t>
        </is>
      </c>
      <c r="K1321" s="47" t="inlineStr">
        <is>
          <t>None (discrete GPU required)</t>
        </is>
      </c>
      <c r="L1321" s="47" t="inlineStr">
        <is>
          <t>N/A</t>
        </is>
      </c>
      <c r="M1321" s="47" t="inlineStr">
        <is>
          <t>N/A</t>
        </is>
      </c>
      <c r="N1321" s="47" t="inlineStr">
        <is>
          <t>N/A</t>
        </is>
      </c>
      <c r="O1321" s="47" t="inlineStr">
        <is>
          <t>N/A</t>
        </is>
      </c>
      <c r="P1321" s="47" t="inlineStr">
        <is>
          <t>N/A</t>
        </is>
      </c>
      <c r="Q1321" s="50" t="n">
        <v>59</v>
      </c>
      <c r="R1321" s="47" t="inlineStr">
        <is>
          <t>Lower price than Nyx Echo X Desktop CPU [NYX-115-10] ($285.99 vs $609.99)</t>
        </is>
      </c>
      <c r="S1321" s="47" t="inlineStr">
        <is>
          <t>gaming, content creation, workstation builds</t>
        </is>
      </c>
      <c r="T1321" s="0" t="inlineStr">
        <is>
          <t>in_stock</t>
        </is>
      </c>
      <c r="U1321" s="0" t="n">
        <v>15</v>
      </c>
      <c r="V1321" s="52" t="n">
        <v>311.99</v>
      </c>
      <c r="W1321" s="0" t="inlineStr">
        <is>
          <t>2026-09-07</t>
        </is>
      </c>
      <c r="X1321" s="0" t="inlineStr">
        <is>
          <t>N/A</t>
        </is>
      </c>
      <c r="Y1321" s="0" t="inlineStr">
        <is>
          <t>N/A</t>
        </is>
      </c>
      <c r="Z1321" s="0" t="inlineStr">
        <is>
          <t>N/A</t>
        </is>
      </c>
      <c r="AA1321" s="0" t="inlineStr">
        <is>
          <t>N/A</t>
        </is>
      </c>
    </row>
    <row r="1322" ht="15.75" customHeight="1" s="51">
      <c r="A1322" s="47" t="inlineStr">
        <is>
          <t>CET-131-10</t>
        </is>
      </c>
      <c r="B1322" s="47" t="inlineStr">
        <is>
          <t>Ceto</t>
        </is>
      </c>
      <c r="C1322" s="47" t="inlineStr">
        <is>
          <t>Computer Hardware</t>
        </is>
      </c>
      <c r="D1322" s="47" t="inlineStr">
        <is>
          <t>Monitor</t>
        </is>
      </c>
      <c r="E1322" s="48" t="inlineStr">
        <is>
          <t>Ceto Drift Pro 27" 1440p Monitor</t>
        </is>
      </c>
      <c r="F1322" s="49" t="n">
        <v>541.99</v>
      </c>
      <c r="G1322" s="47" t="inlineStr">
        <is>
          <t>the Drift Pro; Ceto Drift Pro; Cteo Drift Pro; Drift Pro monitor</t>
        </is>
      </c>
      <c r="H1322" s="47" t="inlineStr">
        <is>
          <t>3 year limited</t>
        </is>
      </c>
      <c r="I1322" s="47" t="inlineStr">
        <is>
          <t>FCC, CE, RoHS, Energy Star, TUV Rheinland Low Blue Light, VESA DisplayHDR True Black 400</t>
        </is>
      </c>
      <c r="J1322" s="47" t="inlineStr">
        <is>
          <t>N/A</t>
        </is>
      </c>
      <c r="K1322" s="47" t="inlineStr">
        <is>
          <t>N/A</t>
        </is>
      </c>
      <c r="L1322" s="47" t="inlineStr">
        <is>
          <t>Fast IPS, 240Hz</t>
        </is>
      </c>
      <c r="M1322" s="47" t="inlineStr">
        <is>
          <t>2560x1440</t>
        </is>
      </c>
      <c r="N1322" s="47" t="inlineStr">
        <is>
          <t>2x HDMI 2.1, 1x DisplayPort 1.4, USB-C 90W, USB hub</t>
        </is>
      </c>
      <c r="O1322" s="47" t="inlineStr">
        <is>
          <t>N/A</t>
        </is>
      </c>
      <c r="P1322" s="47" t="inlineStr">
        <is>
          <t>N/A</t>
        </is>
      </c>
      <c r="Q1322" s="50" t="n">
        <v>5181</v>
      </c>
      <c r="R1322" s="47" t="inlineStr">
        <is>
          <t>Lighter than Apollo Echo Lite 27" 1440p Monitor [APO-109-09] (5,181 g vs 6,418 g); Lower price than Hyperion Arc Ultra 27" 1440p Monitor [HYP-123-10] ($541.99 vs $616.99)</t>
        </is>
      </c>
      <c r="S1322" s="47" t="inlineStr">
        <is>
          <t>gaming, office, content creation</t>
        </is>
      </c>
      <c r="T1322" s="0" t="inlineStr">
        <is>
          <t>in_stock</t>
        </is>
      </c>
      <c r="U1322" s="0" t="n">
        <v>15</v>
      </c>
      <c r="V1322" s="52" t="n">
        <v>568.99</v>
      </c>
      <c r="W1322" s="0" t="inlineStr">
        <is>
          <t>2026-08-13</t>
        </is>
      </c>
      <c r="X1322" s="0" t="inlineStr">
        <is>
          <t>N/A</t>
        </is>
      </c>
      <c r="Y1322" s="0" t="inlineStr">
        <is>
          <t>N/A</t>
        </is>
      </c>
      <c r="Z1322" s="0" t="inlineStr">
        <is>
          <t>N/A</t>
        </is>
      </c>
      <c r="AA1322" s="0" t="inlineStr">
        <is>
          <t>N/A</t>
        </is>
      </c>
    </row>
    <row r="1323" ht="15.75" customHeight="1" s="51">
      <c r="A1323" s="47" t="inlineStr">
        <is>
          <t>NIK-132-01</t>
        </is>
      </c>
      <c r="B1323" s="47" t="inlineStr">
        <is>
          <t>Nike</t>
        </is>
      </c>
      <c r="C1323" s="47" t="inlineStr">
        <is>
          <t>Computer Hardware</t>
        </is>
      </c>
      <c r="D1323" s="47" t="inlineStr">
        <is>
          <t>Case Fans</t>
        </is>
      </c>
      <c r="E1323" s="48" t="inlineStr">
        <is>
          <t>Nike Prism Max RGB Case Fan 3-Pack</t>
        </is>
      </c>
      <c r="F1323" s="49" t="n">
        <v>41.99</v>
      </c>
      <c r="G1323" s="47" t="inlineStr">
        <is>
          <t>the Prism Max; Nike Prism Max; Nikee Prism Max; Prism Max case fans</t>
        </is>
      </c>
      <c r="H1323" s="47" t="inlineStr">
        <is>
          <t>2 year limited</t>
        </is>
      </c>
      <c r="I1323" s="47" t="inlineStr">
        <is>
          <t>FCC, CE, RoHS</t>
        </is>
      </c>
      <c r="J1323" s="47" t="inlineStr">
        <is>
          <t>N/A</t>
        </is>
      </c>
      <c r="K1323" s="47" t="inlineStr">
        <is>
          <t>N/A</t>
        </is>
      </c>
      <c r="L1323" s="47" t="inlineStr">
        <is>
          <t>N/A</t>
        </is>
      </c>
      <c r="M1323" s="47" t="inlineStr">
        <is>
          <t>N/A</t>
        </is>
      </c>
      <c r="N1323" s="47" t="inlineStr">
        <is>
          <t>4-pin PWM, 3-pin 5V ARGB, daisy-chain connectors</t>
        </is>
      </c>
      <c r="O1323" s="47" t="inlineStr">
        <is>
          <t>N/A</t>
        </is>
      </c>
      <c r="P1323" s="47" t="inlineStr">
        <is>
          <t>N/A</t>
        </is>
      </c>
      <c r="Q1323" s="50" t="n">
        <v>490</v>
      </c>
      <c r="R1323" s="47" t="inlineStr">
        <is>
          <t>Lower price than Crius Nimbus X RGB Case Fan 3-Pack [CRI-139-02] ($41.99 vs $94.99); Lighter than Harmonia Halo Lite RGB Case Fan 3-Pack [HAR-106-01] (490 g vs 491 g)</t>
        </is>
      </c>
      <c r="S1323" s="47" t="inlineStr">
        <is>
          <t>PC building, cooling, RGB builds</t>
        </is>
      </c>
      <c r="T1323" s="0" t="inlineStr">
        <is>
          <t>in_stock</t>
        </is>
      </c>
      <c r="U1323" s="0" t="n">
        <v>60</v>
      </c>
      <c r="V1323" s="52" t="n">
        <v>45.99</v>
      </c>
      <c r="W1323" s="0" t="inlineStr">
        <is>
          <t>2026-08-01</t>
        </is>
      </c>
      <c r="X1323" s="0" t="inlineStr">
        <is>
          <t>N/A</t>
        </is>
      </c>
      <c r="Y1323" s="0" t="inlineStr">
        <is>
          <t>N/A</t>
        </is>
      </c>
      <c r="Z1323" s="0" t="inlineStr">
        <is>
          <t>N/A</t>
        </is>
      </c>
      <c r="AA1323" s="0" t="inlineStr">
        <is>
          <t>N/A</t>
        </is>
      </c>
    </row>
    <row r="1324" ht="15.75" customHeight="1" s="51">
      <c r="A1324" s="47" t="inlineStr">
        <is>
          <t>NIK-132-02</t>
        </is>
      </c>
      <c r="B1324" s="47" t="inlineStr">
        <is>
          <t>Nike</t>
        </is>
      </c>
      <c r="C1324" s="47" t="inlineStr">
        <is>
          <t>Computer Hardware</t>
        </is>
      </c>
      <c r="D1324" s="47" t="inlineStr">
        <is>
          <t>PC Case</t>
        </is>
      </c>
      <c r="E1324" s="48" t="inlineStr">
        <is>
          <t>Nike Axis Mid-Tower PC Case</t>
        </is>
      </c>
      <c r="F1324" s="49" t="n">
        <v>69.98999999999999</v>
      </c>
      <c r="G1324" s="47" t="inlineStr">
        <is>
          <t>the Axis; Nike Axis; Nik Axis; Axis pc case</t>
        </is>
      </c>
      <c r="H1324" s="47" t="inlineStr">
        <is>
          <t>2 year limited</t>
        </is>
      </c>
      <c r="I1324" s="47" t="inlineStr">
        <is>
          <t>FCC, CE, RoHS, UL 94 V-0 (materials)</t>
        </is>
      </c>
      <c r="J1324" s="47" t="inlineStr">
        <is>
          <t>N/A</t>
        </is>
      </c>
      <c r="K1324" s="47" t="inlineStr">
        <is>
          <t>N/A</t>
        </is>
      </c>
      <c r="L1324" s="47" t="inlineStr">
        <is>
          <t>N/A</t>
        </is>
      </c>
      <c r="M1324" s="47" t="inlineStr">
        <is>
          <t>N/A</t>
        </is>
      </c>
      <c r="N1324" s="47" t="inlineStr">
        <is>
          <t>Front I/O: 1x USB-C 10Gbps, 2x USB-A 3.0, 3.5mm combo audio</t>
        </is>
      </c>
      <c r="O1324" s="47" t="inlineStr">
        <is>
          <t>N/A</t>
        </is>
      </c>
      <c r="P1324" s="47" t="inlineStr">
        <is>
          <t>N/A</t>
        </is>
      </c>
      <c r="Q1324" s="50" t="n">
        <v>8041</v>
      </c>
      <c r="R1324" s="47" t="inlineStr">
        <is>
          <t>Lower price than Ceto Titan Mid-Tower PC Case [CET-131-02] ($69.99 vs $122.99); Lighter than Astraeus Blaze Pro Mid-Tower PC Case [AST-146-02] (8,041 g vs 8,422 g)</t>
        </is>
      </c>
      <c r="S1324" s="47" t="inlineStr">
        <is>
          <t>PC building, gaming</t>
        </is>
      </c>
      <c r="T1324" s="0" t="inlineStr">
        <is>
          <t>low_stock</t>
        </is>
      </c>
      <c r="U1324" s="0" t="n">
        <v>60</v>
      </c>
      <c r="V1324" s="52" t="n">
        <v>75.98999999999999</v>
      </c>
      <c r="W1324" s="0" t="inlineStr">
        <is>
          <t>2026-09-02</t>
        </is>
      </c>
      <c r="X1324" s="0" t="inlineStr">
        <is>
          <t>N/A</t>
        </is>
      </c>
      <c r="Y1324" s="0" t="inlineStr">
        <is>
          <t>N/A</t>
        </is>
      </c>
      <c r="Z1324" s="0" t="inlineStr">
        <is>
          <t>N/A</t>
        </is>
      </c>
      <c r="AA1324" s="0" t="inlineStr">
        <is>
          <t>N/A</t>
        </is>
      </c>
    </row>
    <row r="1325" ht="15.75" customHeight="1" s="51">
      <c r="A1325" s="47" t="inlineStr">
        <is>
          <t>NIK-132-03</t>
        </is>
      </c>
      <c r="B1325" s="47" t="inlineStr">
        <is>
          <t>Nike</t>
        </is>
      </c>
      <c r="C1325" s="47" t="inlineStr">
        <is>
          <t>Computer Hardware</t>
        </is>
      </c>
      <c r="D1325" s="47" t="inlineStr">
        <is>
          <t>Power Supply</t>
        </is>
      </c>
      <c r="E1325" s="48" t="inlineStr">
        <is>
          <t>Nike Spark Lite 850W Power Supply</t>
        </is>
      </c>
      <c r="F1325" s="49" t="n">
        <v>95.98999999999999</v>
      </c>
      <c r="G1325" s="47" t="inlineStr">
        <is>
          <t>the Spark Lite; Nike Spark Lite; Niike Spark Lite; Spark Lite power supply</t>
        </is>
      </c>
      <c r="H1325" s="47" t="inlineStr">
        <is>
          <t>7 year limited</t>
        </is>
      </c>
      <c r="I1325" s="47" t="inlineStr">
        <is>
          <t>FCC, CE, RoHS, 80 PLUS Gold, UL Listed</t>
        </is>
      </c>
      <c r="J1325" s="47" t="inlineStr">
        <is>
          <t>N/A</t>
        </is>
      </c>
      <c r="K1325" s="47" t="inlineStr">
        <is>
          <t>N/A</t>
        </is>
      </c>
      <c r="L1325" s="47" t="inlineStr">
        <is>
          <t>N/A</t>
        </is>
      </c>
      <c r="M1325" s="47" t="inlineStr">
        <is>
          <t>N/A</t>
        </is>
      </c>
      <c r="N1325" s="47" t="inlineStr">
        <is>
          <t>ATX 3.1, native 12V-2x6 (600W) connector, semi-modular</t>
        </is>
      </c>
      <c r="O1325" s="47" t="inlineStr">
        <is>
          <t>N/A</t>
        </is>
      </c>
      <c r="P1325" s="47" t="inlineStr">
        <is>
          <t>N/A</t>
        </is>
      </c>
      <c r="Q1325" s="50" t="n">
        <v>1732</v>
      </c>
      <c r="R1325" s="47" t="inlineStr">
        <is>
          <t>Lower price than Ares Wave Ultra 850W Power Supply [ARE-140-02] ($95.99 vs $112.99); Lighter than Apate Halo Ultra 850W Power Supply [APA-110-04] (1,732 g vs 2,007 g)</t>
        </is>
      </c>
      <c r="S1325" s="47" t="inlineStr">
        <is>
          <t>PC building, high-end gaming</t>
        </is>
      </c>
      <c r="T1325" s="0" t="inlineStr">
        <is>
          <t>in_stock</t>
        </is>
      </c>
      <c r="U1325" s="0" t="n">
        <v>60</v>
      </c>
      <c r="V1325" s="52" t="n">
        <v>104.99</v>
      </c>
      <c r="W1325" s="0" t="inlineStr">
        <is>
          <t>2026-09-02</t>
        </is>
      </c>
      <c r="X1325" s="0" t="inlineStr">
        <is>
          <t>N/A</t>
        </is>
      </c>
      <c r="Y1325" s="0" t="inlineStr">
        <is>
          <t>N/A</t>
        </is>
      </c>
      <c r="Z1325" s="0" t="inlineStr">
        <is>
          <t>N/A</t>
        </is>
      </c>
      <c r="AA1325" s="0" t="inlineStr">
        <is>
          <t>N/A</t>
        </is>
      </c>
    </row>
    <row r="1326" ht="15.75" customHeight="1" s="51">
      <c r="A1326" s="47" t="inlineStr">
        <is>
          <t>NIK-132-04</t>
        </is>
      </c>
      <c r="B1326" s="47" t="inlineStr">
        <is>
          <t>Nike</t>
        </is>
      </c>
      <c r="C1326" s="47" t="inlineStr">
        <is>
          <t>Computer Hardware</t>
        </is>
      </c>
      <c r="D1326" s="47" t="inlineStr">
        <is>
          <t>Storage</t>
        </is>
      </c>
      <c r="E1326" s="48" t="inlineStr">
        <is>
          <t>Nike Onyx X 2TB NVMe SSD</t>
        </is>
      </c>
      <c r="F1326" s="49" t="n">
        <v>114.99</v>
      </c>
      <c r="G1326" s="47" t="inlineStr">
        <is>
          <t>the Onyx X; Nike Onyx X; Nik Onyx X; Onyx X storage</t>
        </is>
      </c>
      <c r="H1326" s="47" t="inlineStr">
        <is>
          <t>5 year limited</t>
        </is>
      </c>
      <c r="I1326" s="47" t="inlineStr">
        <is>
          <t>FCC, CE, RoHS</t>
        </is>
      </c>
      <c r="J1326" s="47" t="inlineStr">
        <is>
          <t>Controller: Phison E21T</t>
        </is>
      </c>
      <c r="K1326" s="47" t="inlineStr">
        <is>
          <t>N/A</t>
        </is>
      </c>
      <c r="L1326" s="47" t="inlineStr">
        <is>
          <t>N/A</t>
        </is>
      </c>
      <c r="M1326" s="47" t="inlineStr">
        <is>
          <t>N/A</t>
        </is>
      </c>
      <c r="N1326" s="47" t="inlineStr">
        <is>
          <t>M.2 2280, PCIe 4.0 x4 NVMe</t>
        </is>
      </c>
      <c r="O1326" s="47" t="inlineStr">
        <is>
          <t>N/A</t>
        </is>
      </c>
      <c r="P1326" s="47" t="inlineStr">
        <is>
          <t>N/A</t>
        </is>
      </c>
      <c r="Q1326" s="50" t="n">
        <v>8</v>
      </c>
      <c r="R1326" s="47" t="inlineStr">
        <is>
          <t>Lighter than Bia Aria Max 2TB NVMe SSD [BIA-107-04] (8 g vs 14 g); Lower price than Zelus Drift SE 2TB NVMe SSD [ZEL-137-07] ($114.99 vs $194.99)</t>
        </is>
      </c>
      <c r="S1326" s="47" t="inlineStr">
        <is>
          <t>gaming, fast boot, content creation</t>
        </is>
      </c>
      <c r="T1326" s="0" t="inlineStr">
        <is>
          <t>in_stock</t>
        </is>
      </c>
      <c r="U1326" s="0" t="n">
        <v>60</v>
      </c>
      <c r="V1326" s="52" t="n">
        <v>125.99</v>
      </c>
      <c r="W1326" s="0" t="inlineStr">
        <is>
          <t>2026-08-19</t>
        </is>
      </c>
      <c r="X1326" s="0" t="inlineStr">
        <is>
          <t>N/A</t>
        </is>
      </c>
      <c r="Y1326" s="0" t="inlineStr">
        <is>
          <t>N/A</t>
        </is>
      </c>
      <c r="Z1326" s="0" t="inlineStr">
        <is>
          <t>N/A</t>
        </is>
      </c>
      <c r="AA1326" s="0" t="inlineStr">
        <is>
          <t>N/A</t>
        </is>
      </c>
    </row>
    <row r="1327" ht="15.75" customHeight="1" s="51">
      <c r="A1327" s="47" t="inlineStr">
        <is>
          <t>NIK-132-05</t>
        </is>
      </c>
      <c r="B1327" s="47" t="inlineStr">
        <is>
          <t>Nike</t>
        </is>
      </c>
      <c r="C1327" s="47" t="inlineStr">
        <is>
          <t>Computer Hardware</t>
        </is>
      </c>
      <c r="D1327" s="47" t="inlineStr">
        <is>
          <t>Networking</t>
        </is>
      </c>
      <c r="E1327" s="48" t="inlineStr">
        <is>
          <t>Nike Nova Max Wi-Fi 7 PCIe Card</t>
        </is>
      </c>
      <c r="F1327" s="49" t="n">
        <v>115.99</v>
      </c>
      <c r="G1327" s="47" t="inlineStr">
        <is>
          <t>the Nova Max; Nike Nova Max; Nikee Nova Max; Nova Max networking</t>
        </is>
      </c>
      <c r="H1327" s="47" t="inlineStr">
        <is>
          <t>2 year limited</t>
        </is>
      </c>
      <c r="I1327" s="47" t="inlineStr">
        <is>
          <t>FCC, CE, RoHS, Wi-Fi CERTIFIED 7, Bluetooth SIG Qualified</t>
        </is>
      </c>
      <c r="J1327" s="47" t="inlineStr">
        <is>
          <t>Chipset: MediaTek MT7927</t>
        </is>
      </c>
      <c r="K1327" s="47" t="inlineStr">
        <is>
          <t>N/A</t>
        </is>
      </c>
      <c r="L1327" s="47" t="inlineStr">
        <is>
          <t>N/A</t>
        </is>
      </c>
      <c r="M1327" s="47" t="inlineStr">
        <is>
          <t>N/A</t>
        </is>
      </c>
      <c r="N1327" s="47" t="inlineStr">
        <is>
          <t>PCIe x1, internal USB 2.0 header (Bluetooth 5.4), 2x external antennas</t>
        </is>
      </c>
      <c r="O1327" s="47" t="inlineStr">
        <is>
          <t>N/A</t>
        </is>
      </c>
      <c r="P1327" s="47" t="inlineStr">
        <is>
          <t>N/A</t>
        </is>
      </c>
      <c r="Q1327" s="50" t="n">
        <v>102</v>
      </c>
      <c r="R1327" s="47" t="inlineStr">
        <is>
          <t>Lighter than Eirene Drift SE Wi-Fi 7 PCIe Card [EIR-112-01] (102 g vs 109 g); Lower price than Hera Zen Air Wi-Fi 7 PCIe Card [HER-129-03] ($115.99 vs $128.99)</t>
        </is>
      </c>
      <c r="S1327" s="47" t="inlineStr">
        <is>
          <t>gaming, streaming, PC building</t>
        </is>
      </c>
      <c r="T1327" s="0" t="inlineStr">
        <is>
          <t>low_stock</t>
        </is>
      </c>
      <c r="U1327" s="0" t="n">
        <v>60</v>
      </c>
      <c r="V1327" s="52" t="n">
        <v>130.99</v>
      </c>
      <c r="W1327" s="0" t="inlineStr">
        <is>
          <t>2026-08-25</t>
        </is>
      </c>
      <c r="X1327" s="0" t="inlineStr">
        <is>
          <t>N/A</t>
        </is>
      </c>
      <c r="Y1327" s="0" t="inlineStr">
        <is>
          <t>N/A</t>
        </is>
      </c>
      <c r="Z1327" s="0" t="inlineStr">
        <is>
          <t>N/A</t>
        </is>
      </c>
      <c r="AA1327" s="0" t="inlineStr">
        <is>
          <t>N/A</t>
        </is>
      </c>
    </row>
    <row r="1328" ht="15.75" customHeight="1" s="51">
      <c r="A1328" s="47" t="inlineStr">
        <is>
          <t>NIK-132-06</t>
        </is>
      </c>
      <c r="B1328" s="47" t="inlineStr">
        <is>
          <t>Nike</t>
        </is>
      </c>
      <c r="C1328" s="47" t="inlineStr">
        <is>
          <t>Computer Hardware</t>
        </is>
      </c>
      <c r="D1328" s="47" t="inlineStr">
        <is>
          <t>Mouse</t>
        </is>
      </c>
      <c r="E1328" s="48" t="inlineStr">
        <is>
          <t>Nike Nimbus SE Gaming Mouse</t>
        </is>
      </c>
      <c r="F1328" s="49" t="n">
        <v>130.99</v>
      </c>
      <c r="G1328" s="47" t="inlineStr">
        <is>
          <t>the Nimbus SE; Nike Nimbus SE; Nikee Nimbus SE; Nimbus SE mouse</t>
        </is>
      </c>
      <c r="H1328" s="47" t="inlineStr">
        <is>
          <t>2 year limited</t>
        </is>
      </c>
      <c r="I1328" s="47" t="inlineStr">
        <is>
          <t>FCC, CE, RoHS, Bluetooth SIG Qualified</t>
        </is>
      </c>
      <c r="J1328" s="47" t="inlineStr">
        <is>
          <t>Sensor: 36K DPI optical</t>
        </is>
      </c>
      <c r="K1328" s="47" t="inlineStr">
        <is>
          <t>N/A</t>
        </is>
      </c>
      <c r="L1328" s="47" t="inlineStr">
        <is>
          <t>N/A</t>
        </is>
      </c>
      <c r="M1328" s="47" t="inlineStr">
        <is>
          <t>N/A</t>
        </is>
      </c>
      <c r="N1328" s="47" t="inlineStr">
        <is>
          <t>USB-C, 2.4GHz dongle, Bluetooth 5.1</t>
        </is>
      </c>
      <c r="O1328" s="47" t="inlineStr">
        <is>
          <t>N/A</t>
        </is>
      </c>
      <c r="P1328" s="47" t="n">
        <v>114</v>
      </c>
      <c r="Q1328" s="50" t="n">
        <v>59</v>
      </c>
      <c r="R1328" s="47" t="inlineStr">
        <is>
          <t>Longer battery than Iris Core Air Gaming Mouse [IRI-130-02] (114 vs 93 hrs); Lower price than Ares Orbit Gaming Mouse [ARE-140-04] ($130.99 vs $154.99)</t>
        </is>
      </c>
      <c r="S1328" s="47" t="inlineStr">
        <is>
          <t>gaming, esports</t>
        </is>
      </c>
      <c r="T1328" s="0" t="inlineStr">
        <is>
          <t>in_stock</t>
        </is>
      </c>
      <c r="U1328" s="0" t="n">
        <v>60</v>
      </c>
      <c r="V1328" s="52" t="n">
        <v>150.99</v>
      </c>
      <c r="W1328" s="0" t="inlineStr">
        <is>
          <t>2026-08-08</t>
        </is>
      </c>
      <c r="X1328" s="0" t="inlineStr">
        <is>
          <t>N/A</t>
        </is>
      </c>
      <c r="Y1328" s="0" t="inlineStr">
        <is>
          <t>N/A</t>
        </is>
      </c>
      <c r="Z1328" s="0" t="inlineStr">
        <is>
          <t>N/A</t>
        </is>
      </c>
      <c r="AA1328" s="0" t="inlineStr">
        <is>
          <t>N/A</t>
        </is>
      </c>
    </row>
    <row r="1329" ht="15.75" customHeight="1" s="51">
      <c r="A1329" s="47" t="inlineStr">
        <is>
          <t>NIK-132-07</t>
        </is>
      </c>
      <c r="B1329" s="47" t="inlineStr">
        <is>
          <t>Nike</t>
        </is>
      </c>
      <c r="C1329" s="47" t="inlineStr">
        <is>
          <t>Computer Hardware</t>
        </is>
      </c>
      <c r="D1329" s="47" t="inlineStr">
        <is>
          <t>Storage</t>
        </is>
      </c>
      <c r="E1329" s="48" t="inlineStr">
        <is>
          <t>Nike Rift Air 4TB External Hard Drive</t>
        </is>
      </c>
      <c r="F1329" s="49" t="n">
        <v>133.99</v>
      </c>
      <c r="G1329" s="47" t="inlineStr">
        <is>
          <t>the Rift Air; Nike Rift Air; Niike Rift Air; Rift Air storage</t>
        </is>
      </c>
      <c r="H1329" s="47" t="inlineStr">
        <is>
          <t>2 year limited</t>
        </is>
      </c>
      <c r="I1329" s="47" t="inlineStr">
        <is>
          <t>FCC, CE, RoHS, USB-IF Certified</t>
        </is>
      </c>
      <c r="J1329" s="47" t="inlineStr">
        <is>
          <t>N/A</t>
        </is>
      </c>
      <c r="K1329" s="47" t="inlineStr">
        <is>
          <t>N/A</t>
        </is>
      </c>
      <c r="L1329" s="47" t="inlineStr">
        <is>
          <t>N/A</t>
        </is>
      </c>
      <c r="M1329" s="47" t="inlineStr">
        <is>
          <t>N/A</t>
        </is>
      </c>
      <c r="N1329" s="47" t="inlineStr">
        <is>
          <t>USB-C (USB 3.2 Gen 1)</t>
        </is>
      </c>
      <c r="O1329" s="47" t="inlineStr">
        <is>
          <t>N/A</t>
        </is>
      </c>
      <c r="P1329" s="47" t="inlineStr">
        <is>
          <t>N/A</t>
        </is>
      </c>
      <c r="Q1329" s="50" t="n">
        <v>241</v>
      </c>
      <c r="R1329" s="47" t="inlineStr">
        <is>
          <t>Lower price than Aidos Orbit 4TB External Hard Drive [AID-135-05] ($133.99 vs $196.99); Lighter than Eileithyia Spark Max 4TB External Hard Drive [EIL-149-06] (241 g vs 254 g)</t>
        </is>
      </c>
      <c r="S1329" s="47" t="inlineStr">
        <is>
          <t>backup, media storage</t>
        </is>
      </c>
      <c r="T1329" s="0" t="inlineStr">
        <is>
          <t>in_stock</t>
        </is>
      </c>
      <c r="U1329" s="0" t="n">
        <v>60</v>
      </c>
      <c r="V1329" s="52" t="n">
        <v>149.99</v>
      </c>
      <c r="W1329" s="0" t="inlineStr">
        <is>
          <t>2026-08-19</t>
        </is>
      </c>
      <c r="X1329" s="0" t="inlineStr">
        <is>
          <t>N/A</t>
        </is>
      </c>
      <c r="Y1329" s="0" t="inlineStr">
        <is>
          <t>N/A</t>
        </is>
      </c>
      <c r="Z1329" s="0" t="inlineStr">
        <is>
          <t>N/A</t>
        </is>
      </c>
      <c r="AA1329" s="0" t="inlineStr">
        <is>
          <t>N/A</t>
        </is>
      </c>
    </row>
    <row r="1330" ht="15.75" customHeight="1" s="51">
      <c r="A1330" s="47" t="inlineStr">
        <is>
          <t>NIK-132-08</t>
        </is>
      </c>
      <c r="B1330" s="47" t="inlineStr">
        <is>
          <t>Nike</t>
        </is>
      </c>
      <c r="C1330" s="47" t="inlineStr">
        <is>
          <t>Computer Hardware</t>
        </is>
      </c>
      <c r="D1330" s="47" t="inlineStr">
        <is>
          <t>Webcam</t>
        </is>
      </c>
      <c r="E1330" s="48" t="inlineStr">
        <is>
          <t>Nike Pulse X 4K Webcam</t>
        </is>
      </c>
      <c r="F1330" s="49" t="n">
        <v>184.99</v>
      </c>
      <c r="G1330" s="47" t="inlineStr">
        <is>
          <t>the Pulse X; Nike Pulse X; Nkie Pulse X; Pulse X webcam</t>
        </is>
      </c>
      <c r="H1330" s="47" t="inlineStr">
        <is>
          <t>2 year limited</t>
        </is>
      </c>
      <c r="I1330" s="47" t="inlineStr">
        <is>
          <t>FCC, CE, RoHS, USB-IF Certified</t>
        </is>
      </c>
      <c r="J1330" s="47" t="inlineStr">
        <is>
          <t>N/A</t>
        </is>
      </c>
      <c r="K1330" s="47" t="inlineStr">
        <is>
          <t>N/A</t>
        </is>
      </c>
      <c r="L1330" s="47" t="inlineStr">
        <is>
          <t>N/A</t>
        </is>
      </c>
      <c r="M1330" s="47" t="inlineStr">
        <is>
          <t>3840x2160 @ 30fps, 1080p @ 60fps</t>
        </is>
      </c>
      <c r="N1330" s="47" t="inlineStr">
        <is>
          <t>USB-C (USB 3.0)</t>
        </is>
      </c>
      <c r="O1330" s="47" t="inlineStr">
        <is>
          <t>N/A</t>
        </is>
      </c>
      <c r="P1330" s="47" t="inlineStr">
        <is>
          <t>N/A</t>
        </is>
      </c>
      <c r="Q1330" s="50" t="n">
        <v>141</v>
      </c>
      <c r="R1330" s="47" t="inlineStr">
        <is>
          <t>Lighter than Euterpe Zen SE 4K Webcam [EUT-120-04] (141 g vs 172 g); Lower price than Iris Arc 4K Webcam [IRI-130-05] ($184.99 vs $207.99)</t>
        </is>
      </c>
      <c r="S1330" s="47" t="inlineStr">
        <is>
          <t>video calls, streaming, remote work</t>
        </is>
      </c>
      <c r="T1330" s="0" t="inlineStr">
        <is>
          <t>in_stock</t>
        </is>
      </c>
      <c r="U1330" s="0" t="n">
        <v>60</v>
      </c>
      <c r="V1330" s="52" t="n">
        <v>191.99</v>
      </c>
      <c r="W1330" s="0" t="inlineStr">
        <is>
          <t>2026-08-01</t>
        </is>
      </c>
      <c r="X1330" s="0" t="inlineStr">
        <is>
          <t>N/A</t>
        </is>
      </c>
      <c r="Y1330" s="0" t="inlineStr">
        <is>
          <t>N/A</t>
        </is>
      </c>
      <c r="Z1330" s="0" t="inlineStr">
        <is>
          <t>N/A</t>
        </is>
      </c>
      <c r="AA1330" s="0" t="inlineStr">
        <is>
          <t>N/A</t>
        </is>
      </c>
    </row>
    <row r="1331" ht="15.75" customHeight="1" s="51">
      <c r="A1331" s="47" t="inlineStr">
        <is>
          <t>NIK-132-09</t>
        </is>
      </c>
      <c r="B1331" s="47" t="inlineStr">
        <is>
          <t>Nike</t>
        </is>
      </c>
      <c r="C1331" s="47" t="inlineStr">
        <is>
          <t>Computer Hardware</t>
        </is>
      </c>
      <c r="D1331" s="47" t="inlineStr">
        <is>
          <t>Cooling</t>
        </is>
      </c>
      <c r="E1331" s="48" t="inlineStr">
        <is>
          <t>Nike Apex 360mm AIO CPU Cooler</t>
        </is>
      </c>
      <c r="F1331" s="49" t="n">
        <v>187.99</v>
      </c>
      <c r="G1331" s="47" t="inlineStr">
        <is>
          <t>the Apex; Nike Apex; Nik Apex; Apex cooling</t>
        </is>
      </c>
      <c r="H1331" s="47" t="inlineStr">
        <is>
          <t>6 year limited</t>
        </is>
      </c>
      <c r="I1331" s="47" t="inlineStr">
        <is>
          <t>FCC, CE, RoHS</t>
        </is>
      </c>
      <c r="J1331" s="47" t="inlineStr">
        <is>
          <t>N/A</t>
        </is>
      </c>
      <c r="K1331" s="47" t="inlineStr">
        <is>
          <t>N/A</t>
        </is>
      </c>
      <c r="L1331" s="47" t="inlineStr">
        <is>
          <t>N/A</t>
        </is>
      </c>
      <c r="M1331" s="47" t="inlineStr">
        <is>
          <t>N/A</t>
        </is>
      </c>
      <c r="N1331" s="47" t="inlineStr">
        <is>
          <t>3x 4-pin PWM fans, 3-pin pump header, ARGB 5V; LGA1700/LGA1851/AM5 mounts</t>
        </is>
      </c>
      <c r="O1331" s="47" t="inlineStr">
        <is>
          <t>N/A</t>
        </is>
      </c>
      <c r="P1331" s="47" t="inlineStr">
        <is>
          <t>N/A</t>
        </is>
      </c>
      <c r="Q1331" s="50" t="n">
        <v>1617</v>
      </c>
      <c r="R1331" s="47" t="inlineStr">
        <is>
          <t>Lower price than Enyo Quanta Air 360mm AIO CPU Cooler [ENY-114-07] ($187.99 vs $256.99); Lighter than Pheme Lumen Lite 360mm AIO CPU Cooler [PHE-102-05] (1,617 g vs 1,678 g)</t>
        </is>
      </c>
      <c r="S1331" s="47" t="inlineStr">
        <is>
          <t>overclocking, gaming, quiet builds</t>
        </is>
      </c>
      <c r="T1331" s="0" t="inlineStr">
        <is>
          <t>low_stock</t>
        </is>
      </c>
      <c r="U1331" s="0" t="n">
        <v>60</v>
      </c>
      <c r="V1331" s="52" t="n">
        <v>212.99</v>
      </c>
      <c r="W1331" s="0" t="inlineStr">
        <is>
          <t>2026-08-23</t>
        </is>
      </c>
      <c r="X1331" s="0" t="inlineStr">
        <is>
          <t>N/A</t>
        </is>
      </c>
      <c r="Y1331" s="0" t="inlineStr">
        <is>
          <t>N/A</t>
        </is>
      </c>
      <c r="Z1331" s="0" t="inlineStr">
        <is>
          <t>N/A</t>
        </is>
      </c>
      <c r="AA1331" s="0" t="inlineStr">
        <is>
          <t>N/A</t>
        </is>
      </c>
    </row>
    <row r="1332" ht="15.75" customHeight="1" s="51">
      <c r="A1332" s="47" t="inlineStr">
        <is>
          <t>NIK-132-10</t>
        </is>
      </c>
      <c r="B1332" s="47" t="inlineStr">
        <is>
          <t>Nike</t>
        </is>
      </c>
      <c r="C1332" s="47" t="inlineStr">
        <is>
          <t>Computer Hardware</t>
        </is>
      </c>
      <c r="D1332" s="47" t="inlineStr">
        <is>
          <t>Graphics Card</t>
        </is>
      </c>
      <c r="E1332" s="48" t="inlineStr">
        <is>
          <t>Nike Arc Lite Graphics Card</t>
        </is>
      </c>
      <c r="F1332" s="49" t="n">
        <v>1340.99</v>
      </c>
      <c r="G1332" s="47" t="inlineStr">
        <is>
          <t>the Arc Lite; Nike Arc Lite; Nikke Arc Lite; Arc Lite graphics card</t>
        </is>
      </c>
      <c r="H1332" s="47" t="inlineStr">
        <is>
          <t>3 year limited</t>
        </is>
      </c>
      <c r="I1332" s="47" t="inlineStr">
        <is>
          <t>FCC, CE, RoHS</t>
        </is>
      </c>
      <c r="J1332" s="47" t="inlineStr">
        <is>
          <t>N/A</t>
        </is>
      </c>
      <c r="K1332" s="47" t="inlineStr">
        <is>
          <t>NVIDIA GeForce RTX 4090 24GB (Nike Arc edition)</t>
        </is>
      </c>
      <c r="L1332" s="47" t="inlineStr">
        <is>
          <t>N/A</t>
        </is>
      </c>
      <c r="M1332" s="47" t="inlineStr">
        <is>
          <t>N/A</t>
        </is>
      </c>
      <c r="N1332" s="47" t="inlineStr">
        <is>
          <t>3x DisplayPort 1.4a, 1x HDMI 2.1a</t>
        </is>
      </c>
      <c r="O1332" s="47" t="inlineStr">
        <is>
          <t>N/A</t>
        </is>
      </c>
      <c r="P1332" s="47" t="inlineStr">
        <is>
          <t>N/A</t>
        </is>
      </c>
      <c r="Q1332" s="50" t="n">
        <v>2071</v>
      </c>
      <c r="R1332" s="47" t="inlineStr">
        <is>
          <t>Lower price than Perses Arc Max Graphics Card [PER-101-10] ($1,340.99 vs $1,593.99); Lighter than Aidos Prism Ultra Graphics Card [AID-135-10] (2,071 g vs 2,108 g)</t>
        </is>
      </c>
      <c r="S1332" s="47" t="inlineStr">
        <is>
          <t>gaming, 3D rendering, AI workloads</t>
        </is>
      </c>
      <c r="T1332" s="0" t="inlineStr">
        <is>
          <t>in_stock</t>
        </is>
      </c>
      <c r="U1332" s="0" t="n">
        <v>60</v>
      </c>
      <c r="V1332" s="52" t="n">
        <v>1512.99</v>
      </c>
      <c r="W1332" s="0" t="inlineStr">
        <is>
          <t>2026-08-26</t>
        </is>
      </c>
      <c r="X1332" s="0" t="inlineStr">
        <is>
          <t>N/A</t>
        </is>
      </c>
      <c r="Y1332" s="0" t="inlineStr">
        <is>
          <t>N/A</t>
        </is>
      </c>
      <c r="Z1332" s="0" t="inlineStr">
        <is>
          <t>N/A</t>
        </is>
      </c>
      <c r="AA1332" s="0" t="inlineStr">
        <is>
          <t>N/A</t>
        </is>
      </c>
    </row>
    <row r="1333" ht="15.75" customHeight="1" s="51">
      <c r="A1333" s="47" t="inlineStr">
        <is>
          <t>GER-133-01</t>
        </is>
      </c>
      <c r="B1333" s="47" t="inlineStr">
        <is>
          <t>Geras</t>
        </is>
      </c>
      <c r="C1333" s="47" t="inlineStr">
        <is>
          <t>Computer Hardware</t>
        </is>
      </c>
      <c r="D1333" s="47" t="inlineStr">
        <is>
          <t>Case Fans</t>
        </is>
      </c>
      <c r="E1333" s="48" t="inlineStr">
        <is>
          <t>Geras Flux RGB Case Fan 3-Pack</t>
        </is>
      </c>
      <c r="F1333" s="49" t="n">
        <v>46.99</v>
      </c>
      <c r="G1333" s="47" t="inlineStr">
        <is>
          <t>the Flux; Geras Flux; Geeras Flux; Flux case fans</t>
        </is>
      </c>
      <c r="H1333" s="47" t="inlineStr">
        <is>
          <t>2 year limited</t>
        </is>
      </c>
      <c r="I1333" s="47" t="inlineStr">
        <is>
          <t>FCC, CE, RoHS</t>
        </is>
      </c>
      <c r="J1333" s="47" t="inlineStr">
        <is>
          <t>N/A</t>
        </is>
      </c>
      <c r="K1333" s="47" t="inlineStr">
        <is>
          <t>N/A</t>
        </is>
      </c>
      <c r="L1333" s="47" t="inlineStr">
        <is>
          <t>N/A</t>
        </is>
      </c>
      <c r="M1333" s="47" t="inlineStr">
        <is>
          <t>N/A</t>
        </is>
      </c>
      <c r="N1333" s="47" t="inlineStr">
        <is>
          <t>4-pin PWM, 3-pin 5V ARGB, daisy-chain connectors</t>
        </is>
      </c>
      <c r="O1333" s="47" t="inlineStr">
        <is>
          <t>N/A</t>
        </is>
      </c>
      <c r="P1333" s="47" t="inlineStr">
        <is>
          <t>N/A</t>
        </is>
      </c>
      <c r="Q1333" s="50" t="n">
        <v>517</v>
      </c>
      <c r="R1333" s="47" t="inlineStr">
        <is>
          <t>Lower price than Hyperion Axis Ultra RGB Case Fan 3-Pack [HYP-123-02] ($46.99 vs $74.99); Lighter than Eucleia Halo RGB Case Fan 3-Pack [EUC-124-01] (517 g vs 519 g)</t>
        </is>
      </c>
      <c r="S1333" s="47" t="inlineStr">
        <is>
          <t>PC building, cooling, RGB builds</t>
        </is>
      </c>
      <c r="T1333" s="0" t="inlineStr">
        <is>
          <t>in_stock</t>
        </is>
      </c>
      <c r="U1333" s="0" t="n">
        <v>15</v>
      </c>
      <c r="V1333" s="52" t="n">
        <v>49.99</v>
      </c>
      <c r="W1333" s="0" t="inlineStr">
        <is>
          <t>2026-09-23</t>
        </is>
      </c>
      <c r="X1333" s="0" t="inlineStr">
        <is>
          <t>N/A</t>
        </is>
      </c>
      <c r="Y1333" s="0" t="inlineStr">
        <is>
          <t>N/A</t>
        </is>
      </c>
      <c r="Z1333" s="0" t="inlineStr">
        <is>
          <t>N/A</t>
        </is>
      </c>
      <c r="AA1333" s="0" t="inlineStr">
        <is>
          <t>N/A</t>
        </is>
      </c>
    </row>
    <row r="1334" ht="15.75" customHeight="1" s="51">
      <c r="A1334" s="47" t="inlineStr">
        <is>
          <t>GER-133-02</t>
        </is>
      </c>
      <c r="B1334" s="47" t="inlineStr">
        <is>
          <t>Geras</t>
        </is>
      </c>
      <c r="C1334" s="47" t="inlineStr">
        <is>
          <t>Computer Hardware</t>
        </is>
      </c>
      <c r="D1334" s="47" t="inlineStr">
        <is>
          <t>Webcam</t>
        </is>
      </c>
      <c r="E1334" s="48" t="inlineStr">
        <is>
          <t>Geras Lumen X 4K Webcam</t>
        </is>
      </c>
      <c r="F1334" s="49" t="n">
        <v>49.99</v>
      </c>
      <c r="G1334" s="47" t="inlineStr">
        <is>
          <t>the Lumen X; Geras Lumen X; Greas Lumen X; Lumen X webcam</t>
        </is>
      </c>
      <c r="H1334" s="47" t="inlineStr">
        <is>
          <t>2 year limited</t>
        </is>
      </c>
      <c r="I1334" s="47" t="inlineStr">
        <is>
          <t>FCC, CE, RoHS, USB-IF Certified</t>
        </is>
      </c>
      <c r="J1334" s="47" t="inlineStr">
        <is>
          <t>N/A</t>
        </is>
      </c>
      <c r="K1334" s="47" t="inlineStr">
        <is>
          <t>N/A</t>
        </is>
      </c>
      <c r="L1334" s="47" t="inlineStr">
        <is>
          <t>N/A</t>
        </is>
      </c>
      <c r="M1334" s="47" t="inlineStr">
        <is>
          <t>3840x2160 @ 30fps, 1080p @ 60fps</t>
        </is>
      </c>
      <c r="N1334" s="47" t="inlineStr">
        <is>
          <t>USB-C (USB 3.0)</t>
        </is>
      </c>
      <c r="O1334" s="47" t="inlineStr">
        <is>
          <t>N/A</t>
        </is>
      </c>
      <c r="P1334" s="47" t="inlineStr">
        <is>
          <t>N/A</t>
        </is>
      </c>
      <c r="Q1334" s="50" t="n">
        <v>143</v>
      </c>
      <c r="R1334" s="47" t="inlineStr">
        <is>
          <t>Lower price than Kratos Flux Air 4K Webcam [KRA-147-06] ($49.99 vs $165.99); Lighter than Phoebe Spark Ultra 4K Webcam [PHO-143-06] (143 g vs 164 g)</t>
        </is>
      </c>
      <c r="S1334" s="47" t="inlineStr">
        <is>
          <t>video calls, streaming, remote work</t>
        </is>
      </c>
      <c r="T1334" s="0" t="inlineStr">
        <is>
          <t>in_stock</t>
        </is>
      </c>
      <c r="U1334" s="0" t="n">
        <v>15</v>
      </c>
      <c r="V1334" s="52" t="n">
        <v>53.99</v>
      </c>
      <c r="W1334" s="0" t="inlineStr">
        <is>
          <t>2026-08-05</t>
        </is>
      </c>
      <c r="X1334" s="0" t="inlineStr">
        <is>
          <t>N/A</t>
        </is>
      </c>
      <c r="Y1334" s="0" t="inlineStr">
        <is>
          <t>N/A</t>
        </is>
      </c>
      <c r="Z1334" s="0" t="inlineStr">
        <is>
          <t>N/A</t>
        </is>
      </c>
      <c r="AA1334" s="0" t="inlineStr">
        <is>
          <t>N/A</t>
        </is>
      </c>
    </row>
    <row r="1335" ht="15.75" customHeight="1" s="51">
      <c r="A1335" s="47" t="inlineStr">
        <is>
          <t>GER-133-03</t>
        </is>
      </c>
      <c r="B1335" s="47" t="inlineStr">
        <is>
          <t>Geras</t>
        </is>
      </c>
      <c r="C1335" s="47" t="inlineStr">
        <is>
          <t>Computer Hardware</t>
        </is>
      </c>
      <c r="D1335" s="47" t="inlineStr">
        <is>
          <t>Networking</t>
        </is>
      </c>
      <c r="E1335" s="48" t="inlineStr">
        <is>
          <t>Geras Wave Lite Wi-Fi 7 PCIe Card</t>
        </is>
      </c>
      <c r="F1335" s="49" t="n">
        <v>56.99</v>
      </c>
      <c r="G1335" s="47" t="inlineStr">
        <is>
          <t>the Wave Lite; Geras Wave Lite; Gears Wave Lite; Wave Lite networking</t>
        </is>
      </c>
      <c r="H1335" s="47" t="inlineStr">
        <is>
          <t>2 year limited</t>
        </is>
      </c>
      <c r="I1335" s="47" t="inlineStr">
        <is>
          <t>FCC, CE, RoHS, Wi-Fi CERTIFIED 7, Bluetooth SIG Qualified</t>
        </is>
      </c>
      <c r="J1335" s="47" t="inlineStr">
        <is>
          <t>Chipset: Intel BE200</t>
        </is>
      </c>
      <c r="K1335" s="47" t="inlineStr">
        <is>
          <t>N/A</t>
        </is>
      </c>
      <c r="L1335" s="47" t="inlineStr">
        <is>
          <t>N/A</t>
        </is>
      </c>
      <c r="M1335" s="47" t="inlineStr">
        <is>
          <t>N/A</t>
        </is>
      </c>
      <c r="N1335" s="47" t="inlineStr">
        <is>
          <t>PCIe x1, internal USB 2.0 header (Bluetooth 5.4), 2x external antennas</t>
        </is>
      </c>
      <c r="O1335" s="47" t="inlineStr">
        <is>
          <t>N/A</t>
        </is>
      </c>
      <c r="P1335" s="47" t="inlineStr">
        <is>
          <t>N/A</t>
        </is>
      </c>
      <c r="Q1335" s="50" t="n">
        <v>99</v>
      </c>
      <c r="R1335" s="47" t="inlineStr">
        <is>
          <t>Lighter than Nike Nova Max Wi-Fi 7 PCIe Card [NIK-132-05] (99 g vs 102 g); Lower price than Psyche Rift SE Wi-Fi 7 PCIe Card [PSY-144-02] ($56.99 vs $96.99)</t>
        </is>
      </c>
      <c r="S1335" s="47" t="inlineStr">
        <is>
          <t>gaming, streaming, PC building</t>
        </is>
      </c>
      <c r="T1335" s="0" t="inlineStr">
        <is>
          <t>in_stock</t>
        </is>
      </c>
      <c r="U1335" s="0" t="n">
        <v>15</v>
      </c>
      <c r="V1335" s="52" t="n">
        <v>59.99</v>
      </c>
      <c r="W1335" s="0" t="inlineStr">
        <is>
          <t>2026-08-16</t>
        </is>
      </c>
      <c r="X1335" s="0" t="inlineStr">
        <is>
          <t>N/A</t>
        </is>
      </c>
      <c r="Y1335" s="0" t="inlineStr">
        <is>
          <t>N/A</t>
        </is>
      </c>
      <c r="Z1335" s="0" t="inlineStr">
        <is>
          <t>N/A</t>
        </is>
      </c>
      <c r="AA1335" s="0" t="inlineStr">
        <is>
          <t>N/A</t>
        </is>
      </c>
    </row>
    <row r="1336" ht="15.75" customHeight="1" s="51">
      <c r="A1336" s="47" t="inlineStr">
        <is>
          <t>GER-133-04</t>
        </is>
      </c>
      <c r="B1336" s="47" t="inlineStr">
        <is>
          <t>Geras</t>
        </is>
      </c>
      <c r="C1336" s="47" t="inlineStr">
        <is>
          <t>Computer Hardware</t>
        </is>
      </c>
      <c r="D1336" s="47" t="inlineStr">
        <is>
          <t>Storage</t>
        </is>
      </c>
      <c r="E1336" s="48" t="inlineStr">
        <is>
          <t>Geras Prism Pro 2TB NVMe SSD</t>
        </is>
      </c>
      <c r="F1336" s="49" t="n">
        <v>119.99</v>
      </c>
      <c r="G1336" s="47" t="inlineStr">
        <is>
          <t>the Prism Pro; Geras Prism Pro; Gerras Prism Pro; Prism Pro storage</t>
        </is>
      </c>
      <c r="H1336" s="47" t="inlineStr">
        <is>
          <t>5 year limited</t>
        </is>
      </c>
      <c r="I1336" s="47" t="inlineStr">
        <is>
          <t>FCC, CE, RoHS</t>
        </is>
      </c>
      <c r="J1336" s="47" t="inlineStr">
        <is>
          <t>Controller: Phison E21T</t>
        </is>
      </c>
      <c r="K1336" s="47" t="inlineStr">
        <is>
          <t>N/A</t>
        </is>
      </c>
      <c r="L1336" s="47" t="inlineStr">
        <is>
          <t>N/A</t>
        </is>
      </c>
      <c r="M1336" s="47" t="inlineStr">
        <is>
          <t>N/A</t>
        </is>
      </c>
      <c r="N1336" s="47" t="inlineStr">
        <is>
          <t>M.2 2280, PCIe 4.0 x4 NVMe</t>
        </is>
      </c>
      <c r="O1336" s="47" t="inlineStr">
        <is>
          <t>N/A</t>
        </is>
      </c>
      <c r="P1336" s="47" t="inlineStr">
        <is>
          <t>N/A</t>
        </is>
      </c>
      <c r="Q1336" s="50" t="n">
        <v>19</v>
      </c>
      <c r="R1336" s="47" t="inlineStr">
        <is>
          <t>Lower price than Notus Echo SE 2TB NVMe SSD [NOT-108-05] ($119.99 vs $130.99); Lighter than Astraeus Core Lite 2TB NVMe SSD [AST-146-06] (19 g vs 21 g)</t>
        </is>
      </c>
      <c r="S1336" s="47" t="inlineStr">
        <is>
          <t>gaming, fast boot, content creation</t>
        </is>
      </c>
      <c r="T1336" s="0" t="inlineStr">
        <is>
          <t>in_stock</t>
        </is>
      </c>
      <c r="U1336" s="0" t="n">
        <v>15</v>
      </c>
      <c r="V1336" s="52" t="n">
        <v>137.99</v>
      </c>
      <c r="W1336" s="0" t="inlineStr">
        <is>
          <t>2026-08-23</t>
        </is>
      </c>
      <c r="X1336" s="0" t="inlineStr">
        <is>
          <t>N/A</t>
        </is>
      </c>
      <c r="Y1336" s="0" t="inlineStr">
        <is>
          <t>N/A</t>
        </is>
      </c>
      <c r="Z1336" s="0" t="inlineStr">
        <is>
          <t>N/A</t>
        </is>
      </c>
      <c r="AA1336" s="0" t="inlineStr">
        <is>
          <t>N/A</t>
        </is>
      </c>
    </row>
    <row r="1337" ht="15.75" customHeight="1" s="51">
      <c r="A1337" s="47" t="inlineStr">
        <is>
          <t>GER-133-05</t>
        </is>
      </c>
      <c r="B1337" s="47" t="inlineStr">
        <is>
          <t>Geras</t>
        </is>
      </c>
      <c r="C1337" s="47" t="inlineStr">
        <is>
          <t>Computer Hardware</t>
        </is>
      </c>
      <c r="D1337" s="47" t="inlineStr">
        <is>
          <t>Power Supply</t>
        </is>
      </c>
      <c r="E1337" s="48" t="inlineStr">
        <is>
          <t>Geras Crest Max 850W Power Supply</t>
        </is>
      </c>
      <c r="F1337" s="49" t="n">
        <v>144.99</v>
      </c>
      <c r="G1337" s="47" t="inlineStr">
        <is>
          <t>the Crest Max; Geras Crest Max; Geeras Crest Max; Crest Max power supply</t>
        </is>
      </c>
      <c r="H1337" s="47" t="inlineStr">
        <is>
          <t>10 year limited</t>
        </is>
      </c>
      <c r="I1337" s="47" t="inlineStr">
        <is>
          <t>FCC, CE, RoHS, 80 PLUS Gold, UL Listed</t>
        </is>
      </c>
      <c r="J1337" s="47" t="inlineStr">
        <is>
          <t>N/A</t>
        </is>
      </c>
      <c r="K1337" s="47" t="inlineStr">
        <is>
          <t>N/A</t>
        </is>
      </c>
      <c r="L1337" s="47" t="inlineStr">
        <is>
          <t>N/A</t>
        </is>
      </c>
      <c r="M1337" s="47" t="inlineStr">
        <is>
          <t>N/A</t>
        </is>
      </c>
      <c r="N1337" s="47" t="inlineStr">
        <is>
          <t>ATX 3.1, native 12V-2x6 (600W) connector, fully modular</t>
        </is>
      </c>
      <c r="O1337" s="47" t="inlineStr">
        <is>
          <t>N/A</t>
        </is>
      </c>
      <c r="P1337" s="47" t="inlineStr">
        <is>
          <t>N/A</t>
        </is>
      </c>
      <c r="Q1337" s="50" t="n">
        <v>2113</v>
      </c>
      <c r="R1337" s="47" t="inlineStr">
        <is>
          <t>Lower price than Eucleia Aria Pro 850W Power Supply [EUC-124-07] ($144.99 vs $205.99); Lighter than Aidos Wave X 850W Power Supply [AID-135-04] (2,113 g vs 2,205 g)</t>
        </is>
      </c>
      <c r="S1337" s="47" t="inlineStr">
        <is>
          <t>PC building, high-end gaming</t>
        </is>
      </c>
      <c r="T1337" s="0" t="inlineStr">
        <is>
          <t>in_stock</t>
        </is>
      </c>
      <c r="U1337" s="0" t="n">
        <v>15</v>
      </c>
      <c r="V1337" s="52" t="n">
        <v>165.99</v>
      </c>
      <c r="W1337" s="0" t="inlineStr">
        <is>
          <t>2026-09-19</t>
        </is>
      </c>
      <c r="X1337" s="0" t="inlineStr">
        <is>
          <t>N/A</t>
        </is>
      </c>
      <c r="Y1337" s="0" t="inlineStr">
        <is>
          <t>N/A</t>
        </is>
      </c>
      <c r="Z1337" s="0" t="inlineStr">
        <is>
          <t>N/A</t>
        </is>
      </c>
      <c r="AA1337" s="0" t="inlineStr">
        <is>
          <t>N/A</t>
        </is>
      </c>
    </row>
    <row r="1338" ht="15.75" customHeight="1" s="51">
      <c r="A1338" s="47" t="inlineStr">
        <is>
          <t>GER-133-06</t>
        </is>
      </c>
      <c r="B1338" s="47" t="inlineStr">
        <is>
          <t>Geras</t>
        </is>
      </c>
      <c r="C1338" s="47" t="inlineStr">
        <is>
          <t>Computer Hardware</t>
        </is>
      </c>
      <c r="D1338" s="47" t="inlineStr">
        <is>
          <t>Keyboard</t>
        </is>
      </c>
      <c r="E1338" s="48" t="inlineStr">
        <is>
          <t>Geras Titan Air Mechanical Keyboard</t>
        </is>
      </c>
      <c r="F1338" s="49" t="n">
        <v>148.99</v>
      </c>
      <c r="G1338" s="47" t="inlineStr">
        <is>
          <t>the Titan Air; Geras Titan Air; Greas Titan Air; Titan Air keyboard</t>
        </is>
      </c>
      <c r="H1338" s="47" t="inlineStr">
        <is>
          <t>2 year limited</t>
        </is>
      </c>
      <c r="I1338" s="47" t="inlineStr">
        <is>
          <t>FCC, CE, RoHS, Bluetooth SIG Qualified</t>
        </is>
      </c>
      <c r="J1338" s="47" t="inlineStr">
        <is>
          <t>N/A</t>
        </is>
      </c>
      <c r="K1338" s="47" t="inlineStr">
        <is>
          <t>N/A</t>
        </is>
      </c>
      <c r="L1338" s="47" t="inlineStr">
        <is>
          <t>N/A</t>
        </is>
      </c>
      <c r="M1338" s="47" t="inlineStr">
        <is>
          <t>N/A</t>
        </is>
      </c>
      <c r="N1338" s="47" t="inlineStr">
        <is>
          <t>USB-C, 2.4GHz dongle, Bluetooth 5.1</t>
        </is>
      </c>
      <c r="O1338" s="47" t="inlineStr">
        <is>
          <t>N/A</t>
        </is>
      </c>
      <c r="P1338" s="47" t="n">
        <v>250</v>
      </c>
      <c r="Q1338" s="50" t="n">
        <v>1026</v>
      </c>
      <c r="R1338" s="47" t="inlineStr">
        <is>
          <t>Lower price than Bia Vertex X Mechanical Keyboard [BIA-107-06] ($148.99 vs $186.99); Longer battery than Notus Rift Mechanical Keyboard [NOT-108-04] (250 vs 225 hrs)</t>
        </is>
      </c>
      <c r="S1338" s="47" t="inlineStr">
        <is>
          <t>gaming, typing, office</t>
        </is>
      </c>
      <c r="T1338" s="0" t="inlineStr">
        <is>
          <t>in_stock</t>
        </is>
      </c>
      <c r="U1338" s="0" t="n">
        <v>15</v>
      </c>
      <c r="V1338" s="52" t="n">
        <v>166.99</v>
      </c>
      <c r="W1338" s="0" t="inlineStr">
        <is>
          <t>2026-08-24</t>
        </is>
      </c>
      <c r="X1338" s="0" t="inlineStr">
        <is>
          <t>N/A</t>
        </is>
      </c>
      <c r="Y1338" s="0" t="inlineStr">
        <is>
          <t>N/A</t>
        </is>
      </c>
      <c r="Z1338" s="0" t="inlineStr">
        <is>
          <t>N/A</t>
        </is>
      </c>
      <c r="AA1338" s="0" t="inlineStr">
        <is>
          <t>N/A</t>
        </is>
      </c>
    </row>
    <row r="1339" ht="15.75" customHeight="1" s="51">
      <c r="A1339" s="47" t="inlineStr">
        <is>
          <t>GER-133-07</t>
        </is>
      </c>
      <c r="B1339" s="47" t="inlineStr">
        <is>
          <t>Geras</t>
        </is>
      </c>
      <c r="C1339" s="47" t="inlineStr">
        <is>
          <t>Computer Hardware</t>
        </is>
      </c>
      <c r="D1339" s="47" t="inlineStr">
        <is>
          <t>Storage</t>
        </is>
      </c>
      <c r="E1339" s="48" t="inlineStr">
        <is>
          <t>Geras Strata Air 4TB External Hard Drive</t>
        </is>
      </c>
      <c r="F1339" s="49" t="n">
        <v>158.99</v>
      </c>
      <c r="G1339" s="47" t="inlineStr">
        <is>
          <t>the Strata Air; Geras Strata Air; Gears Strata Air; Strata Air storage</t>
        </is>
      </c>
      <c r="H1339" s="47" t="inlineStr">
        <is>
          <t>2 year limited</t>
        </is>
      </c>
      <c r="I1339" s="47" t="inlineStr">
        <is>
          <t>FCC, CE, RoHS, USB-IF Certified</t>
        </is>
      </c>
      <c r="J1339" s="47" t="inlineStr">
        <is>
          <t>N/A</t>
        </is>
      </c>
      <c r="K1339" s="47" t="inlineStr">
        <is>
          <t>N/A</t>
        </is>
      </c>
      <c r="L1339" s="47" t="inlineStr">
        <is>
          <t>N/A</t>
        </is>
      </c>
      <c r="M1339" s="47" t="inlineStr">
        <is>
          <t>N/A</t>
        </is>
      </c>
      <c r="N1339" s="47" t="inlineStr">
        <is>
          <t>USB-C (USB 3.2 Gen 1)</t>
        </is>
      </c>
      <c r="O1339" s="47" t="inlineStr">
        <is>
          <t>N/A</t>
        </is>
      </c>
      <c r="P1339" s="47" t="inlineStr">
        <is>
          <t>N/A</t>
        </is>
      </c>
      <c r="Q1339" s="50" t="n">
        <v>249</v>
      </c>
      <c r="R1339" s="47" t="inlineStr">
        <is>
          <t>Lower price than Eris Vibe X 4TB External Hard Drive [ERI-148-05] ($158.99 vs $161.99); Lighter than Aidos Orbit 4TB External Hard Drive [AID-135-05] (249 g vs 250 g)</t>
        </is>
      </c>
      <c r="S1339" s="47" t="inlineStr">
        <is>
          <t>backup, media storage</t>
        </is>
      </c>
      <c r="T1339" s="0" t="inlineStr">
        <is>
          <t>low_stock</t>
        </is>
      </c>
      <c r="U1339" s="0" t="n">
        <v>15</v>
      </c>
      <c r="V1339" s="52" t="n">
        <v>170.99</v>
      </c>
      <c r="W1339" s="0" t="inlineStr">
        <is>
          <t>2026-09-10</t>
        </is>
      </c>
      <c r="X1339" s="0" t="inlineStr">
        <is>
          <t>N/A</t>
        </is>
      </c>
      <c r="Y1339" s="0" t="inlineStr">
        <is>
          <t>N/A</t>
        </is>
      </c>
      <c r="Z1339" s="0" t="inlineStr">
        <is>
          <t>N/A</t>
        </is>
      </c>
      <c r="AA1339" s="0" t="inlineStr">
        <is>
          <t>N/A</t>
        </is>
      </c>
    </row>
    <row r="1340" ht="15.75" customHeight="1" s="51">
      <c r="A1340" s="47" t="inlineStr">
        <is>
          <t>GER-133-08</t>
        </is>
      </c>
      <c r="B1340" s="47" t="inlineStr">
        <is>
          <t>Geras</t>
        </is>
      </c>
      <c r="C1340" s="47" t="inlineStr">
        <is>
          <t>Computer Hardware</t>
        </is>
      </c>
      <c r="D1340" s="47" t="inlineStr">
        <is>
          <t>Motherboard</t>
        </is>
      </c>
      <c r="E1340" s="48" t="inlineStr">
        <is>
          <t>Geras Vertex Air ATX Motherboard</t>
        </is>
      </c>
      <c r="F1340" s="49" t="n">
        <v>256.99</v>
      </c>
      <c r="G1340" s="47" t="inlineStr">
        <is>
          <t>the Vertex Air; Geras Vertex Air; Geeras Vertex Air; Vertex Air motherboard</t>
        </is>
      </c>
      <c r="H1340" s="47" t="inlineStr">
        <is>
          <t>3 year limited</t>
        </is>
      </c>
      <c r="I1340" s="47" t="inlineStr">
        <is>
          <t>FCC, CE, RoHS</t>
        </is>
      </c>
      <c r="J1340" s="47" t="inlineStr">
        <is>
          <t>Supports Intel Core 12th-14th Gen (LGA1700)</t>
        </is>
      </c>
      <c r="K1340" s="47" t="inlineStr">
        <is>
          <t>N/A</t>
        </is>
      </c>
      <c r="L1340" s="47" t="inlineStr">
        <is>
          <t>N/A</t>
        </is>
      </c>
      <c r="M1340" s="47" t="inlineStr">
        <is>
          <t>N/A</t>
        </is>
      </c>
      <c r="N1340" s="47" t="inlineStr">
        <is>
          <t>Rear I/O: 1x HDMI, 6x USB-A, 1x USB-C 10Gbps, 2.5GbE, Wi-Fi 6E</t>
        </is>
      </c>
      <c r="O1340" s="47" t="inlineStr">
        <is>
          <t>N/A</t>
        </is>
      </c>
      <c r="P1340" s="47" t="inlineStr">
        <is>
          <t>N/A</t>
        </is>
      </c>
      <c r="Q1340" s="50" t="n">
        <v>1223</v>
      </c>
      <c r="R1340" s="47" t="inlineStr">
        <is>
          <t>Lighter than Enyo Volt Air ATX Motherboard [ENY-114-08] (1,223 g vs 1,285 g); Lower price than Eos Aria Pro ATX Motherboard [EOS-111-08] ($256.99 vs $596.99)</t>
        </is>
      </c>
      <c r="S1340" s="47" t="inlineStr">
        <is>
          <t>PC building, gaming, workstation builds</t>
        </is>
      </c>
      <c r="T1340" s="0" t="inlineStr">
        <is>
          <t>low_stock</t>
        </is>
      </c>
      <c r="U1340" s="0" t="n">
        <v>15</v>
      </c>
      <c r="V1340" s="52" t="n">
        <v>286.99</v>
      </c>
      <c r="W1340" s="0" t="inlineStr">
        <is>
          <t>2026-09-01</t>
        </is>
      </c>
      <c r="X1340" s="0" t="inlineStr">
        <is>
          <t>N/A</t>
        </is>
      </c>
      <c r="Y1340" s="0" t="inlineStr">
        <is>
          <t>N/A</t>
        </is>
      </c>
      <c r="Z1340" s="0" t="inlineStr">
        <is>
          <t>N/A</t>
        </is>
      </c>
      <c r="AA1340" s="0" t="inlineStr">
        <is>
          <t>N/A</t>
        </is>
      </c>
    </row>
    <row r="1341" ht="15.75" customHeight="1" s="51">
      <c r="A1341" s="47" t="inlineStr">
        <is>
          <t>GER-133-09</t>
        </is>
      </c>
      <c r="B1341" s="47" t="inlineStr">
        <is>
          <t>Geras</t>
        </is>
      </c>
      <c r="C1341" s="47" t="inlineStr">
        <is>
          <t>Computer Hardware</t>
        </is>
      </c>
      <c r="D1341" s="47" t="inlineStr">
        <is>
          <t>Monitor</t>
        </is>
      </c>
      <c r="E1341" s="48" t="inlineStr">
        <is>
          <t>Geras Blaze Plus 27" 1440p Monitor</t>
        </is>
      </c>
      <c r="F1341" s="49" t="n">
        <v>581.99</v>
      </c>
      <c r="G1341" s="47" t="inlineStr">
        <is>
          <t>the Blaze Plus; Geras Blaze Plus; Gerass Blaze Plus; Blaze Plus monitor</t>
        </is>
      </c>
      <c r="H1341" s="47" t="inlineStr">
        <is>
          <t>3 year limited</t>
        </is>
      </c>
      <c r="I1341" s="47" t="inlineStr">
        <is>
          <t>FCC, CE, RoHS, Energy Star, TUV Rheinland Low Blue Light, VESA DisplayHDR True Black 400</t>
        </is>
      </c>
      <c r="J1341" s="47" t="inlineStr">
        <is>
          <t>N/A</t>
        </is>
      </c>
      <c r="K1341" s="47" t="inlineStr">
        <is>
          <t>N/A</t>
        </is>
      </c>
      <c r="L1341" s="47" t="inlineStr">
        <is>
          <t>Fast IPS, 240Hz</t>
        </is>
      </c>
      <c r="M1341" s="47" t="inlineStr">
        <is>
          <t>2560x1440</t>
        </is>
      </c>
      <c r="N1341" s="47" t="inlineStr">
        <is>
          <t>2x HDMI 2.1, 1x DisplayPort 1.4, USB-C 90W, USB hub</t>
        </is>
      </c>
      <c r="O1341" s="47" t="inlineStr">
        <is>
          <t>N/A</t>
        </is>
      </c>
      <c r="P1341" s="47" t="inlineStr">
        <is>
          <t>N/A</t>
        </is>
      </c>
      <c r="Q1341" s="50" t="n">
        <v>6489</v>
      </c>
      <c r="R1341" s="47" t="inlineStr">
        <is>
          <t>Lower price than Crius Vertex X 27" 1440p Monitor [CRI-139-10] ($581.99 vs $623.99); Lighter than Iris Volt Ultra 27" 1440p Monitor [IRI-130-09] (6,489 g vs 6,654 g)</t>
        </is>
      </c>
      <c r="S1341" s="47" t="inlineStr">
        <is>
          <t>gaming, office, content creation</t>
        </is>
      </c>
      <c r="T1341" s="0" t="inlineStr">
        <is>
          <t>in_stock</t>
        </is>
      </c>
      <c r="U1341" s="0" t="n">
        <v>15</v>
      </c>
      <c r="V1341" s="52" t="n">
        <v>639.99</v>
      </c>
      <c r="W1341" s="0" t="inlineStr">
        <is>
          <t>2026-09-14</t>
        </is>
      </c>
      <c r="X1341" s="0" t="inlineStr">
        <is>
          <t>N/A</t>
        </is>
      </c>
      <c r="Y1341" s="0" t="inlineStr">
        <is>
          <t>N/A</t>
        </is>
      </c>
      <c r="Z1341" s="0" t="inlineStr">
        <is>
          <t>N/A</t>
        </is>
      </c>
      <c r="AA1341" s="0" t="inlineStr">
        <is>
          <t>N/A</t>
        </is>
      </c>
    </row>
    <row r="1342" ht="15.75" customHeight="1" s="51">
      <c r="A1342" s="47" t="inlineStr">
        <is>
          <t>GER-133-10</t>
        </is>
      </c>
      <c r="B1342" s="47" t="inlineStr">
        <is>
          <t>Geras</t>
        </is>
      </c>
      <c r="C1342" s="47" t="inlineStr">
        <is>
          <t>Computer Hardware</t>
        </is>
      </c>
      <c r="D1342" s="47" t="inlineStr">
        <is>
          <t>Graphics Card</t>
        </is>
      </c>
      <c r="E1342" s="48" t="inlineStr">
        <is>
          <t>Geras Flux Lite Graphics Card</t>
        </is>
      </c>
      <c r="F1342" s="49" t="n">
        <v>645.99</v>
      </c>
      <c r="G1342" s="47" t="inlineStr">
        <is>
          <t>the Flux Lite; Geras Flux Lite; Geeras Flux Lite; Flux Lite graphics card</t>
        </is>
      </c>
      <c r="H1342" s="47" t="inlineStr">
        <is>
          <t>3 year limited</t>
        </is>
      </c>
      <c r="I1342" s="47" t="inlineStr">
        <is>
          <t>FCC, CE, RoHS</t>
        </is>
      </c>
      <c r="J1342" s="47" t="inlineStr">
        <is>
          <t>N/A</t>
        </is>
      </c>
      <c r="K1342" s="47" t="inlineStr">
        <is>
          <t>NVIDIA GeForce RTX 4070 Super 12GB (Geras Flux edition)</t>
        </is>
      </c>
      <c r="L1342" s="47" t="inlineStr">
        <is>
          <t>N/A</t>
        </is>
      </c>
      <c r="M1342" s="47" t="inlineStr">
        <is>
          <t>N/A</t>
        </is>
      </c>
      <c r="N1342" s="47" t="inlineStr">
        <is>
          <t>3x DisplayPort 1.4a, 1x HDMI 2.1a</t>
        </is>
      </c>
      <c r="O1342" s="47" t="inlineStr">
        <is>
          <t>N/A</t>
        </is>
      </c>
      <c r="P1342" s="47" t="inlineStr">
        <is>
          <t>N/A</t>
        </is>
      </c>
      <c r="Q1342" s="50" t="n">
        <v>1196</v>
      </c>
      <c r="R1342" s="47" t="inlineStr">
        <is>
          <t>Lower price than Eirene Pulse Pro Graphics Card [EIR-112-10] ($645.99 vs $1,888.99); Lighter than Phoebe Orbit Max Graphics Card [PHO-143-10] (1,196 g vs 2,131 g)</t>
        </is>
      </c>
      <c r="S1342" s="47" t="inlineStr">
        <is>
          <t>gaming, 3D rendering, AI workloads</t>
        </is>
      </c>
      <c r="T1342" s="0" t="inlineStr">
        <is>
          <t>in_stock</t>
        </is>
      </c>
      <c r="U1342" s="0" t="n">
        <v>15</v>
      </c>
      <c r="V1342" s="52" t="n">
        <v>719.99</v>
      </c>
      <c r="W1342" s="0" t="inlineStr">
        <is>
          <t>2026-09-01</t>
        </is>
      </c>
      <c r="X1342" s="0" t="inlineStr">
        <is>
          <t>N/A</t>
        </is>
      </c>
      <c r="Y1342" s="0" t="inlineStr">
        <is>
          <t>N/A</t>
        </is>
      </c>
      <c r="Z1342" s="0" t="inlineStr">
        <is>
          <t>N/A</t>
        </is>
      </c>
      <c r="AA1342" s="0" t="inlineStr">
        <is>
          <t>N/A</t>
        </is>
      </c>
    </row>
    <row r="1343" ht="15.75" customHeight="1" s="51">
      <c r="A1343" s="47" t="inlineStr">
        <is>
          <t>ERO-134-01</t>
        </is>
      </c>
      <c r="B1343" s="47" t="inlineStr">
        <is>
          <t>Eros</t>
        </is>
      </c>
      <c r="C1343" s="47" t="inlineStr">
        <is>
          <t>Computer Hardware</t>
        </is>
      </c>
      <c r="D1343" s="47" t="inlineStr">
        <is>
          <t>Case Fans</t>
        </is>
      </c>
      <c r="E1343" s="48" t="inlineStr">
        <is>
          <t>Eros Crest Max RGB Case Fan 3-Pack</t>
        </is>
      </c>
      <c r="F1343" s="49" t="n">
        <v>70.98999999999999</v>
      </c>
      <c r="G1343" s="47" t="inlineStr">
        <is>
          <t>the Crest Max; Eros Crest Max; Eross Crest Max; Crest Max case fans</t>
        </is>
      </c>
      <c r="H1343" s="47" t="inlineStr">
        <is>
          <t>2 year limited</t>
        </is>
      </c>
      <c r="I1343" s="47" t="inlineStr">
        <is>
          <t>FCC, CE, RoHS</t>
        </is>
      </c>
      <c r="J1343" s="47" t="inlineStr">
        <is>
          <t>N/A</t>
        </is>
      </c>
      <c r="K1343" s="47" t="inlineStr">
        <is>
          <t>N/A</t>
        </is>
      </c>
      <c r="L1343" s="47" t="inlineStr">
        <is>
          <t>N/A</t>
        </is>
      </c>
      <c r="M1343" s="47" t="inlineStr">
        <is>
          <t>N/A</t>
        </is>
      </c>
      <c r="N1343" s="47" t="inlineStr">
        <is>
          <t>4-pin PWM, 3-pin 5V ARGB, daisy-chain connectors</t>
        </is>
      </c>
      <c r="O1343" s="47" t="inlineStr">
        <is>
          <t>N/A</t>
        </is>
      </c>
      <c r="P1343" s="47" t="inlineStr">
        <is>
          <t>N/A</t>
        </is>
      </c>
      <c r="Q1343" s="50" t="n">
        <v>419</v>
      </c>
      <c r="R1343" s="47" t="inlineStr">
        <is>
          <t>Lighter than Dionysus Aeon SE RGB Case Fan 3-Pack [DIO-118-02] (419 g vs 454 g); Lower price than Nyx Strata RGB Case Fan 3-Pack [NYX-115-03] ($70.99 vs $87.99)</t>
        </is>
      </c>
      <c r="S1343" s="47" t="inlineStr">
        <is>
          <t>PC building, cooling, RGB builds</t>
        </is>
      </c>
      <c r="T1343" s="0" t="inlineStr">
        <is>
          <t>out_of_stock</t>
        </is>
      </c>
      <c r="U1343" s="0" t="n">
        <v>30</v>
      </c>
      <c r="V1343" s="52" t="n">
        <v>77.98999999999999</v>
      </c>
      <c r="W1343" s="0" t="inlineStr">
        <is>
          <t>2026-09-13</t>
        </is>
      </c>
      <c r="X1343" s="0" t="inlineStr">
        <is>
          <t>N/A</t>
        </is>
      </c>
      <c r="Y1343" s="0" t="inlineStr">
        <is>
          <t>N/A</t>
        </is>
      </c>
      <c r="Z1343" s="0" t="inlineStr">
        <is>
          <t>N/A</t>
        </is>
      </c>
      <c r="AA1343" s="0" t="inlineStr">
        <is>
          <t>N/A</t>
        </is>
      </c>
    </row>
    <row r="1344" ht="15.75" customHeight="1" s="51">
      <c r="A1344" s="47" t="inlineStr">
        <is>
          <t>ERO-134-02</t>
        </is>
      </c>
      <c r="B1344" s="47" t="inlineStr">
        <is>
          <t>Eros</t>
        </is>
      </c>
      <c r="C1344" s="47" t="inlineStr">
        <is>
          <t>Computer Hardware</t>
        </is>
      </c>
      <c r="D1344" s="47" t="inlineStr">
        <is>
          <t>Keyboard</t>
        </is>
      </c>
      <c r="E1344" s="48" t="inlineStr">
        <is>
          <t>Eros Apex Pro Mechanical Keyboard</t>
        </is>
      </c>
      <c r="F1344" s="49" t="n">
        <v>80.98999999999999</v>
      </c>
      <c r="G1344" s="47" t="inlineStr">
        <is>
          <t>the Apex Pro; Eros Apex Pro; Erros Apex Pro; Apex Pro keyboard</t>
        </is>
      </c>
      <c r="H1344" s="47" t="inlineStr">
        <is>
          <t>2 year limited</t>
        </is>
      </c>
      <c r="I1344" s="47" t="inlineStr">
        <is>
          <t>FCC, CE, RoHS</t>
        </is>
      </c>
      <c r="J1344" s="47" t="inlineStr">
        <is>
          <t>N/A</t>
        </is>
      </c>
      <c r="K1344" s="47" t="inlineStr">
        <is>
          <t>N/A</t>
        </is>
      </c>
      <c r="L1344" s="47" t="inlineStr">
        <is>
          <t>N/A</t>
        </is>
      </c>
      <c r="M1344" s="47" t="inlineStr">
        <is>
          <t>N/A</t>
        </is>
      </c>
      <c r="N1344" s="47" t="inlineStr">
        <is>
          <t>USB-C wired</t>
        </is>
      </c>
      <c r="O1344" s="47" t="inlineStr">
        <is>
          <t>N/A</t>
        </is>
      </c>
      <c r="P1344" s="47" t="inlineStr">
        <is>
          <t>N/A</t>
        </is>
      </c>
      <c r="Q1344" s="50" t="n">
        <v>940</v>
      </c>
      <c r="R1344" s="47" t="inlineStr">
        <is>
          <t>Lower price than Themis Onyx Pro Mechanical Keyboard [THE-145-05] ($80.99 vs $171.99); Lighter than Ares Vibe Mechanical Keyboard [ARE-140-03] (940 g vs 945 g)</t>
        </is>
      </c>
      <c r="S1344" s="47" t="inlineStr">
        <is>
          <t>gaming, typing, office</t>
        </is>
      </c>
      <c r="T1344" s="0" t="inlineStr">
        <is>
          <t>in_stock</t>
        </is>
      </c>
      <c r="U1344" s="0" t="n">
        <v>30</v>
      </c>
      <c r="V1344" s="52" t="n">
        <v>87.98999999999999</v>
      </c>
      <c r="W1344" s="0" t="inlineStr">
        <is>
          <t>2026-09-23</t>
        </is>
      </c>
      <c r="X1344" s="0" t="inlineStr">
        <is>
          <t>N/A</t>
        </is>
      </c>
      <c r="Y1344" s="0" t="inlineStr">
        <is>
          <t>N/A</t>
        </is>
      </c>
      <c r="Z1344" s="0" t="inlineStr">
        <is>
          <t>N/A</t>
        </is>
      </c>
      <c r="AA1344" s="0" t="inlineStr">
        <is>
          <t>N/A</t>
        </is>
      </c>
    </row>
    <row r="1345" ht="15.75" customHeight="1" s="51">
      <c r="A1345" s="47" t="inlineStr">
        <is>
          <t>ERO-134-03</t>
        </is>
      </c>
      <c r="B1345" s="47" t="inlineStr">
        <is>
          <t>Eros</t>
        </is>
      </c>
      <c r="C1345" s="47" t="inlineStr">
        <is>
          <t>Computer Hardware</t>
        </is>
      </c>
      <c r="D1345" s="47" t="inlineStr">
        <is>
          <t>Cooling</t>
        </is>
      </c>
      <c r="E1345" s="48" t="inlineStr">
        <is>
          <t>Eros Prism X 360mm AIO CPU Cooler</t>
        </is>
      </c>
      <c r="F1345" s="49" t="n">
        <v>113.99</v>
      </c>
      <c r="G1345" s="47" t="inlineStr">
        <is>
          <t>the Prism X; Eros Prism X; Eross Prism X; Prism X cooling</t>
        </is>
      </c>
      <c r="H1345" s="47" t="inlineStr">
        <is>
          <t>5 year limited</t>
        </is>
      </c>
      <c r="I1345" s="47" t="inlineStr">
        <is>
          <t>FCC, CE, RoHS</t>
        </is>
      </c>
      <c r="J1345" s="47" t="inlineStr">
        <is>
          <t>N/A</t>
        </is>
      </c>
      <c r="K1345" s="47" t="inlineStr">
        <is>
          <t>N/A</t>
        </is>
      </c>
      <c r="L1345" s="47" t="inlineStr">
        <is>
          <t>N/A</t>
        </is>
      </c>
      <c r="M1345" s="47" t="inlineStr">
        <is>
          <t>N/A</t>
        </is>
      </c>
      <c r="N1345" s="47" t="inlineStr">
        <is>
          <t>3x 4-pin PWM fans, 3-pin pump header, ARGB 5V; LGA1700/LGA1851/AM5 mounts</t>
        </is>
      </c>
      <c r="O1345" s="47" t="inlineStr">
        <is>
          <t>N/A</t>
        </is>
      </c>
      <c r="P1345" s="47" t="inlineStr">
        <is>
          <t>N/A</t>
        </is>
      </c>
      <c r="Q1345" s="50" t="n">
        <v>1876</v>
      </c>
      <c r="R1345" s="47" t="inlineStr">
        <is>
          <t>Lower price than Thalassa Quanta SE 360mm AIO CPU Cooler [THA-126-04] ($113.99 vs $161.99); Lighter than Enyo Quanta Air 360mm AIO CPU Cooler [ENY-114-07] (1,876 g vs 2,077 g)</t>
        </is>
      </c>
      <c r="S1345" s="47" t="inlineStr">
        <is>
          <t>overclocking, gaming, quiet builds</t>
        </is>
      </c>
      <c r="T1345" s="0" t="inlineStr">
        <is>
          <t>in_stock</t>
        </is>
      </c>
      <c r="U1345" s="0" t="n">
        <v>30</v>
      </c>
      <c r="V1345" s="52" t="n">
        <v>127.99</v>
      </c>
      <c r="W1345" s="0" t="inlineStr">
        <is>
          <t>2026-08-18</t>
        </is>
      </c>
      <c r="X1345" s="0" t="inlineStr">
        <is>
          <t>N/A</t>
        </is>
      </c>
      <c r="Y1345" s="0" t="inlineStr">
        <is>
          <t>N/A</t>
        </is>
      </c>
      <c r="Z1345" s="0" t="inlineStr">
        <is>
          <t>N/A</t>
        </is>
      </c>
      <c r="AA1345" s="0" t="inlineStr">
        <is>
          <t>N/A</t>
        </is>
      </c>
    </row>
    <row r="1346" ht="15.75" customHeight="1" s="51">
      <c r="A1346" s="47" t="inlineStr">
        <is>
          <t>ERO-134-04</t>
        </is>
      </c>
      <c r="B1346" s="47" t="inlineStr">
        <is>
          <t>Eros</t>
        </is>
      </c>
      <c r="C1346" s="47" t="inlineStr">
        <is>
          <t>Computer Hardware</t>
        </is>
      </c>
      <c r="D1346" s="47" t="inlineStr">
        <is>
          <t>Webcam</t>
        </is>
      </c>
      <c r="E1346" s="48" t="inlineStr">
        <is>
          <t>Eros Spark Ultra 4K Webcam</t>
        </is>
      </c>
      <c r="F1346" s="49" t="n">
        <v>129.99</v>
      </c>
      <c r="G1346" s="47" t="inlineStr">
        <is>
          <t>the Spark Ultra; Eros Spark Ultra; Ero Spark Ultra; Spark Ultra webcam</t>
        </is>
      </c>
      <c r="H1346" s="47" t="inlineStr">
        <is>
          <t>2 year limited</t>
        </is>
      </c>
      <c r="I1346" s="47" t="inlineStr">
        <is>
          <t>FCC, CE, RoHS, USB-IF Certified</t>
        </is>
      </c>
      <c r="J1346" s="47" t="inlineStr">
        <is>
          <t>N/A</t>
        </is>
      </c>
      <c r="K1346" s="47" t="inlineStr">
        <is>
          <t>N/A</t>
        </is>
      </c>
      <c r="L1346" s="47" t="inlineStr">
        <is>
          <t>N/A</t>
        </is>
      </c>
      <c r="M1346" s="47" t="inlineStr">
        <is>
          <t>3840x2160 @ 30fps, 1080p @ 60fps</t>
        </is>
      </c>
      <c r="N1346" s="47" t="inlineStr">
        <is>
          <t>USB-C (USB 3.0)</t>
        </is>
      </c>
      <c r="O1346" s="47" t="inlineStr">
        <is>
          <t>N/A</t>
        </is>
      </c>
      <c r="P1346" s="47" t="inlineStr">
        <is>
          <t>N/A</t>
        </is>
      </c>
      <c r="Q1346" s="50" t="n">
        <v>140</v>
      </c>
      <c r="R1346" s="47" t="inlineStr">
        <is>
          <t>Lighter than Iris Arc 4K Webcam [IRI-130-05] (140 g vs 155 g); Lower price than Enyo Titan Ultra 4K Webcam [ENY-114-06] ($129.99 vs $223.99)</t>
        </is>
      </c>
      <c r="S1346" s="47" t="inlineStr">
        <is>
          <t>video calls, streaming, remote work</t>
        </is>
      </c>
      <c r="T1346" s="0" t="inlineStr">
        <is>
          <t>in_stock</t>
        </is>
      </c>
      <c r="U1346" s="0" t="n">
        <v>30</v>
      </c>
      <c r="V1346" s="52" t="n">
        <v>145.99</v>
      </c>
      <c r="W1346" s="0" t="inlineStr">
        <is>
          <t>2026-08-28</t>
        </is>
      </c>
      <c r="X1346" s="0" t="inlineStr">
        <is>
          <t>N/A</t>
        </is>
      </c>
      <c r="Y1346" s="0" t="inlineStr">
        <is>
          <t>N/A</t>
        </is>
      </c>
      <c r="Z1346" s="0" t="inlineStr">
        <is>
          <t>N/A</t>
        </is>
      </c>
      <c r="AA1346" s="0" t="inlineStr">
        <is>
          <t>N/A</t>
        </is>
      </c>
    </row>
    <row r="1347" ht="15.75" customHeight="1" s="51">
      <c r="A1347" s="47" t="inlineStr">
        <is>
          <t>ERO-134-05</t>
        </is>
      </c>
      <c r="B1347" s="47" t="inlineStr">
        <is>
          <t>Eros</t>
        </is>
      </c>
      <c r="C1347" s="47" t="inlineStr">
        <is>
          <t>Computer Hardware</t>
        </is>
      </c>
      <c r="D1347" s="47" t="inlineStr">
        <is>
          <t>Storage</t>
        </is>
      </c>
      <c r="E1347" s="48" t="inlineStr">
        <is>
          <t>Eros Zen Plus 4TB External Hard Drive</t>
        </is>
      </c>
      <c r="F1347" s="49" t="n">
        <v>150.99</v>
      </c>
      <c r="G1347" s="47" t="inlineStr">
        <is>
          <t>the Zen Plus; Eros Zen Plus; Erros Zen Plus; Zen Plus storage</t>
        </is>
      </c>
      <c r="H1347" s="47" t="inlineStr">
        <is>
          <t>2 year limited</t>
        </is>
      </c>
      <c r="I1347" s="47" t="inlineStr">
        <is>
          <t>FCC, CE, RoHS, USB-IF Certified</t>
        </is>
      </c>
      <c r="J1347" s="47" t="inlineStr">
        <is>
          <t>N/A</t>
        </is>
      </c>
      <c r="K1347" s="47" t="inlineStr">
        <is>
          <t>N/A</t>
        </is>
      </c>
      <c r="L1347" s="47" t="inlineStr">
        <is>
          <t>N/A</t>
        </is>
      </c>
      <c r="M1347" s="47" t="inlineStr">
        <is>
          <t>N/A</t>
        </is>
      </c>
      <c r="N1347" s="47" t="inlineStr">
        <is>
          <t>USB-C (USB 3.2 Gen 1)</t>
        </is>
      </c>
      <c r="O1347" s="47" t="inlineStr">
        <is>
          <t>N/A</t>
        </is>
      </c>
      <c r="P1347" s="47" t="inlineStr">
        <is>
          <t>N/A</t>
        </is>
      </c>
      <c r="Q1347" s="50" t="n">
        <v>223</v>
      </c>
      <c r="R1347" s="47" t="inlineStr">
        <is>
          <t>Lighter than Apollo Nimbus Plus 4TB External Hard Drive [APO-109-03] (223 g vs 229 g); Lower price than Eris Vibe X 4TB External Hard Drive [ERI-148-05] ($150.99 vs $161.99)</t>
        </is>
      </c>
      <c r="S1347" s="47" t="inlineStr">
        <is>
          <t>backup, media storage</t>
        </is>
      </c>
      <c r="T1347" s="0" t="inlineStr">
        <is>
          <t>out_of_stock</t>
        </is>
      </c>
      <c r="U1347" s="0" t="n">
        <v>30</v>
      </c>
      <c r="V1347" s="52" t="n">
        <v>156.99</v>
      </c>
      <c r="W1347" s="0" t="inlineStr">
        <is>
          <t>2026-09-07</t>
        </is>
      </c>
      <c r="X1347" s="0" t="inlineStr">
        <is>
          <t>N/A</t>
        </is>
      </c>
      <c r="Y1347" s="0" t="inlineStr">
        <is>
          <t>N/A</t>
        </is>
      </c>
      <c r="Z1347" s="0" t="inlineStr">
        <is>
          <t>N/A</t>
        </is>
      </c>
      <c r="AA1347" s="0" t="inlineStr">
        <is>
          <t>N/A</t>
        </is>
      </c>
    </row>
    <row r="1348" ht="15.75" customHeight="1" s="51">
      <c r="A1348" s="47" t="inlineStr">
        <is>
          <t>ERO-134-06</t>
        </is>
      </c>
      <c r="B1348" s="47" t="inlineStr">
        <is>
          <t>Eros</t>
        </is>
      </c>
      <c r="C1348" s="47" t="inlineStr">
        <is>
          <t>Computer Hardware</t>
        </is>
      </c>
      <c r="D1348" s="47" t="inlineStr">
        <is>
          <t>Docking Station</t>
        </is>
      </c>
      <c r="E1348" s="48" t="inlineStr">
        <is>
          <t>Eros Blaze X USB-C Docking Station</t>
        </is>
      </c>
      <c r="F1348" s="49" t="n">
        <v>179.99</v>
      </c>
      <c r="G1348" s="47" t="inlineStr">
        <is>
          <t>the Blaze X; Eros Blaze X; Eross Blaze X; Blaze X docking station</t>
        </is>
      </c>
      <c r="H1348" s="47" t="inlineStr">
        <is>
          <t>2 year limited</t>
        </is>
      </c>
      <c r="I1348" s="47" t="inlineStr">
        <is>
          <t>FCC, CE, RoHS, USB-IF Certified, UL Listed</t>
        </is>
      </c>
      <c r="J1348" s="47" t="inlineStr">
        <is>
          <t>N/A</t>
        </is>
      </c>
      <c r="K1348" s="47" t="inlineStr">
        <is>
          <t>N/A</t>
        </is>
      </c>
      <c r="L1348" s="47" t="inlineStr">
        <is>
          <t>N/A</t>
        </is>
      </c>
      <c r="M1348" s="47" t="inlineStr">
        <is>
          <t>N/A</t>
        </is>
      </c>
      <c r="N1348" s="47" t="inlineStr">
        <is>
          <t>2x HDMI 2.0, 1x DisplayPort 1.4, 3x USB-A 3.2, 2x USB-C, 2.5GbE, SD card, 100W PD</t>
        </is>
      </c>
      <c r="O1348" s="47" t="inlineStr">
        <is>
          <t>N/A</t>
        </is>
      </c>
      <c r="P1348" s="47" t="inlineStr">
        <is>
          <t>N/A</t>
        </is>
      </c>
      <c r="Q1348" s="50" t="n">
        <v>466</v>
      </c>
      <c r="R1348" s="47" t="inlineStr">
        <is>
          <t>Lower price than Phoebe Halo USB-C Docking Station [PHO-143-07] ($179.99 vs $224.99); Lighter than Hestia Lumen Lite USB-C Docking Station [HES-116-04] (466 g vs 476 g)</t>
        </is>
      </c>
      <c r="S1348" s="47" t="inlineStr">
        <is>
          <t>office, remote work, multi-monitor</t>
        </is>
      </c>
      <c r="T1348" s="0" t="inlineStr">
        <is>
          <t>in_stock</t>
        </is>
      </c>
      <c r="U1348" s="0" t="n">
        <v>30</v>
      </c>
      <c r="V1348" s="52" t="n">
        <v>204.99</v>
      </c>
      <c r="W1348" s="0" t="inlineStr">
        <is>
          <t>2026-08-12</t>
        </is>
      </c>
      <c r="X1348" s="0" t="inlineStr">
        <is>
          <t>N/A</t>
        </is>
      </c>
      <c r="Y1348" s="0" t="inlineStr">
        <is>
          <t>N/A</t>
        </is>
      </c>
      <c r="Z1348" s="0" t="inlineStr">
        <is>
          <t>N/A</t>
        </is>
      </c>
      <c r="AA1348" s="0" t="inlineStr">
        <is>
          <t>N/A</t>
        </is>
      </c>
    </row>
    <row r="1349" ht="15.75" customHeight="1" s="51">
      <c r="A1349" s="47" t="inlineStr">
        <is>
          <t>ERO-134-07</t>
        </is>
      </c>
      <c r="B1349" s="47" t="inlineStr">
        <is>
          <t>Eros</t>
        </is>
      </c>
      <c r="C1349" s="47" t="inlineStr">
        <is>
          <t>Computer Hardware</t>
        </is>
      </c>
      <c r="D1349" s="47" t="inlineStr">
        <is>
          <t>Power Supply</t>
        </is>
      </c>
      <c r="E1349" s="48" t="inlineStr">
        <is>
          <t>Eros Sable Plus 850W Power Supply</t>
        </is>
      </c>
      <c r="F1349" s="49" t="n">
        <v>181.99</v>
      </c>
      <c r="G1349" s="47" t="inlineStr">
        <is>
          <t>the Sable Plus; Eros Sable Plus; Erros Sable Plus; Sable Plus power supply</t>
        </is>
      </c>
      <c r="H1349" s="47" t="inlineStr">
        <is>
          <t>7 year limited</t>
        </is>
      </c>
      <c r="I1349" s="47" t="inlineStr">
        <is>
          <t>FCC, CE, RoHS, 80 PLUS Platinum, UL Listed</t>
        </is>
      </c>
      <c r="J1349" s="47" t="inlineStr">
        <is>
          <t>N/A</t>
        </is>
      </c>
      <c r="K1349" s="47" t="inlineStr">
        <is>
          <t>N/A</t>
        </is>
      </c>
      <c r="L1349" s="47" t="inlineStr">
        <is>
          <t>N/A</t>
        </is>
      </c>
      <c r="M1349" s="47" t="inlineStr">
        <is>
          <t>N/A</t>
        </is>
      </c>
      <c r="N1349" s="47" t="inlineStr">
        <is>
          <t>ATX 3.1, native 12V-2x6 (600W) connector, fully modular</t>
        </is>
      </c>
      <c r="O1349" s="47" t="inlineStr">
        <is>
          <t>N/A</t>
        </is>
      </c>
      <c r="P1349" s="47" t="inlineStr">
        <is>
          <t>N/A</t>
        </is>
      </c>
      <c r="Q1349" s="50" t="n">
        <v>1860</v>
      </c>
      <c r="R1349" s="47" t="inlineStr">
        <is>
          <t>Lighter than Zelus Lumen 850W Power Supply [ZEL-137-06] (1,860 g vs 2,237 g); Lower price than Thalassa Apex Air 850W Power Supply [THA-126-07] ($181.99 vs $194.99)</t>
        </is>
      </c>
      <c r="S1349" s="47" t="inlineStr">
        <is>
          <t>PC building, high-end gaming</t>
        </is>
      </c>
      <c r="T1349" s="0" t="inlineStr">
        <is>
          <t>low_stock</t>
        </is>
      </c>
      <c r="U1349" s="0" t="n">
        <v>30</v>
      </c>
      <c r="V1349" s="52" t="n">
        <v>201.99</v>
      </c>
      <c r="W1349" s="0" t="inlineStr">
        <is>
          <t>2026-09-23</t>
        </is>
      </c>
      <c r="X1349" s="0" t="inlineStr">
        <is>
          <t>N/A</t>
        </is>
      </c>
      <c r="Y1349" s="0" t="inlineStr">
        <is>
          <t>N/A</t>
        </is>
      </c>
      <c r="Z1349" s="0" t="inlineStr">
        <is>
          <t>N/A</t>
        </is>
      </c>
      <c r="AA1349" s="0" t="inlineStr">
        <is>
          <t>N/A</t>
        </is>
      </c>
    </row>
    <row r="1350" ht="15.75" customHeight="1" s="51">
      <c r="A1350" s="47" t="inlineStr">
        <is>
          <t>ERO-134-08</t>
        </is>
      </c>
      <c r="B1350" s="47" t="inlineStr">
        <is>
          <t>Eros</t>
        </is>
      </c>
      <c r="C1350" s="47" t="inlineStr">
        <is>
          <t>Computer Hardware</t>
        </is>
      </c>
      <c r="D1350" s="47" t="inlineStr">
        <is>
          <t>Processor</t>
        </is>
      </c>
      <c r="E1350" s="48" t="inlineStr">
        <is>
          <t>Eros Core Desktop CPU</t>
        </is>
      </c>
      <c r="F1350" s="49" t="n">
        <v>196.99</v>
      </c>
      <c r="G1350" s="47" t="inlineStr">
        <is>
          <t>the Core; Eros Core; Eroos Core; Core processor</t>
        </is>
      </c>
      <c r="H1350" s="47" t="inlineStr">
        <is>
          <t>3 year limited</t>
        </is>
      </c>
      <c r="I1350" s="47" t="inlineStr">
        <is>
          <t>FCC, CE, RoHS</t>
        </is>
      </c>
      <c r="J1350" s="47" t="inlineStr">
        <is>
          <t>Eros Core 6-core / 12-thread, up to 4.7 GHz</t>
        </is>
      </c>
      <c r="K1350" s="47" t="inlineStr">
        <is>
          <t>None (discrete GPU required)</t>
        </is>
      </c>
      <c r="L1350" s="47" t="inlineStr">
        <is>
          <t>N/A</t>
        </is>
      </c>
      <c r="M1350" s="47" t="inlineStr">
        <is>
          <t>N/A</t>
        </is>
      </c>
      <c r="N1350" s="47" t="inlineStr">
        <is>
          <t>N/A</t>
        </is>
      </c>
      <c r="O1350" s="47" t="inlineStr">
        <is>
          <t>N/A</t>
        </is>
      </c>
      <c r="P1350" s="47" t="inlineStr">
        <is>
          <t>N/A</t>
        </is>
      </c>
      <c r="Q1350" s="50" t="n">
        <v>46</v>
      </c>
      <c r="R1350" s="47" t="inlineStr">
        <is>
          <t>Lighter than Kratos Core SE Desktop CPU [KRA-147-10] (46 g vs 55 g); Lower price than Zelus Lumen Lite Desktop CPU [ZEL-137-09] ($196.99 vs $685.99)</t>
        </is>
      </c>
      <c r="S1350" s="47" t="inlineStr">
        <is>
          <t>gaming, content creation, workstation builds</t>
        </is>
      </c>
      <c r="T1350" s="0" t="inlineStr">
        <is>
          <t>in_stock</t>
        </is>
      </c>
      <c r="U1350" s="0" t="n">
        <v>30</v>
      </c>
      <c r="V1350" s="52" t="n">
        <v>203.99</v>
      </c>
      <c r="W1350" s="0" t="inlineStr">
        <is>
          <t>2026-08-06</t>
        </is>
      </c>
      <c r="X1350" s="0" t="inlineStr">
        <is>
          <t>N/A</t>
        </is>
      </c>
      <c r="Y1350" s="0" t="inlineStr">
        <is>
          <t>N/A</t>
        </is>
      </c>
      <c r="Z1350" s="0" t="inlineStr">
        <is>
          <t>N/A</t>
        </is>
      </c>
      <c r="AA1350" s="0" t="inlineStr">
        <is>
          <t>N/A</t>
        </is>
      </c>
    </row>
    <row r="1351" ht="15.75" customHeight="1" s="51">
      <c r="A1351" s="47" t="inlineStr">
        <is>
          <t>ERO-134-09</t>
        </is>
      </c>
      <c r="B1351" s="47" t="inlineStr">
        <is>
          <t>Eros</t>
        </is>
      </c>
      <c r="C1351" s="47" t="inlineStr">
        <is>
          <t>Computer Hardware</t>
        </is>
      </c>
      <c r="D1351" s="47" t="inlineStr">
        <is>
          <t>Monitor</t>
        </is>
      </c>
      <c r="E1351" s="48" t="inlineStr">
        <is>
          <t>Eros Quanta Pro 27" 1440p Monitor</t>
        </is>
      </c>
      <c r="F1351" s="49" t="n">
        <v>233.99</v>
      </c>
      <c r="G1351" s="47" t="inlineStr">
        <is>
          <t>the Quanta Pro; Eros Quanta Pro; Eroos Quanta Pro; Quanta Pro monitor</t>
        </is>
      </c>
      <c r="H1351" s="47" t="inlineStr">
        <is>
          <t>3 year limited</t>
        </is>
      </c>
      <c r="I1351" s="47" t="inlineStr">
        <is>
          <t>FCC, CE, RoHS, Energy Star, TUV Rheinland Low Blue Light, VESA DisplayHDR 400</t>
        </is>
      </c>
      <c r="J1351" s="47" t="inlineStr">
        <is>
          <t>N/A</t>
        </is>
      </c>
      <c r="K1351" s="47" t="inlineStr">
        <is>
          <t>N/A</t>
        </is>
      </c>
      <c r="L1351" s="47" t="inlineStr">
        <is>
          <t>VA, 144Hz</t>
        </is>
      </c>
      <c r="M1351" s="47" t="inlineStr">
        <is>
          <t>2560x1440</t>
        </is>
      </c>
      <c r="N1351" s="47" t="inlineStr">
        <is>
          <t>2x HDMI 2.1, 1x DisplayPort 1.4</t>
        </is>
      </c>
      <c r="O1351" s="47" t="inlineStr">
        <is>
          <t>N/A</t>
        </is>
      </c>
      <c r="P1351" s="47" t="inlineStr">
        <is>
          <t>N/A</t>
        </is>
      </c>
      <c r="Q1351" s="50" t="n">
        <v>6391</v>
      </c>
      <c r="R1351" s="47" t="inlineStr">
        <is>
          <t>Lighter than Kairos Titan Ultra 27" 1440p Monitor [KAI-142-10] (6,391 g vs 7,013 g); Lower price than Eucleia Core X 27" 1440p Monitor [EUC-124-09] ($233.99 vs $252.99)</t>
        </is>
      </c>
      <c r="S1351" s="47" t="inlineStr">
        <is>
          <t>gaming, office, content creation</t>
        </is>
      </c>
      <c r="T1351" s="0" t="inlineStr">
        <is>
          <t>in_stock</t>
        </is>
      </c>
      <c r="U1351" s="0" t="n">
        <v>30</v>
      </c>
      <c r="V1351" s="52" t="n">
        <v>247.99</v>
      </c>
      <c r="W1351" s="0" t="inlineStr">
        <is>
          <t>2026-09-05</t>
        </is>
      </c>
      <c r="X1351" s="0" t="inlineStr">
        <is>
          <t>N/A</t>
        </is>
      </c>
      <c r="Y1351" s="0" t="inlineStr">
        <is>
          <t>N/A</t>
        </is>
      </c>
      <c r="Z1351" s="0" t="inlineStr">
        <is>
          <t>N/A</t>
        </is>
      </c>
      <c r="AA1351" s="0" t="inlineStr">
        <is>
          <t>N/A</t>
        </is>
      </c>
    </row>
    <row r="1352" ht="15.75" customHeight="1" s="51">
      <c r="A1352" s="47" t="inlineStr">
        <is>
          <t>ERO-134-10</t>
        </is>
      </c>
      <c r="B1352" s="47" t="inlineStr">
        <is>
          <t>Eros</t>
        </is>
      </c>
      <c r="C1352" s="47" t="inlineStr">
        <is>
          <t>Computer Hardware</t>
        </is>
      </c>
      <c r="D1352" s="47" t="inlineStr">
        <is>
          <t>Storage</t>
        </is>
      </c>
      <c r="E1352" s="48" t="inlineStr">
        <is>
          <t>Eros Lumen Lite 2TB NVMe SSD</t>
        </is>
      </c>
      <c r="F1352" s="49" t="n">
        <v>275.99</v>
      </c>
      <c r="G1352" s="47" t="inlineStr">
        <is>
          <t>the Lumen Lite; Eros Lumen Lite; Erros Lumen Lite; Lumen Lite storage</t>
        </is>
      </c>
      <c r="H1352" s="47" t="inlineStr">
        <is>
          <t>5 year limited</t>
        </is>
      </c>
      <c r="I1352" s="47" t="inlineStr">
        <is>
          <t>FCC, CE, RoHS</t>
        </is>
      </c>
      <c r="J1352" s="47" t="inlineStr">
        <is>
          <t>Controller: Phison E26</t>
        </is>
      </c>
      <c r="K1352" s="47" t="inlineStr">
        <is>
          <t>N/A</t>
        </is>
      </c>
      <c r="L1352" s="47" t="inlineStr">
        <is>
          <t>N/A</t>
        </is>
      </c>
      <c r="M1352" s="47" t="inlineStr">
        <is>
          <t>N/A</t>
        </is>
      </c>
      <c r="N1352" s="47" t="inlineStr">
        <is>
          <t>M.2 2280, PCIe 5.0 x4 NVMe</t>
        </is>
      </c>
      <c r="O1352" s="47" t="inlineStr">
        <is>
          <t>N/A</t>
        </is>
      </c>
      <c r="P1352" s="47" t="inlineStr">
        <is>
          <t>N/A</t>
        </is>
      </c>
      <c r="Q1352" s="50" t="n">
        <v>24</v>
      </c>
      <c r="R1352" s="47" t="inlineStr">
        <is>
          <t>Lighter than Kairos Apex SE 2TB NVMe SSD [KAI-142-07] (24 g vs 25 g); Lower price than Pheme Flux Air 2TB NVMe SSD [PHE-102-08] ($275.99 vs $296.99)</t>
        </is>
      </c>
      <c r="S1352" s="47" t="inlineStr">
        <is>
          <t>gaming, fast boot, content creation</t>
        </is>
      </c>
      <c r="T1352" s="0" t="inlineStr">
        <is>
          <t>in_stock</t>
        </is>
      </c>
      <c r="U1352" s="0" t="n">
        <v>30</v>
      </c>
      <c r="V1352" s="52" t="n">
        <v>313.99</v>
      </c>
      <c r="W1352" s="0" t="inlineStr">
        <is>
          <t>2026-09-22</t>
        </is>
      </c>
      <c r="X1352" s="0" t="inlineStr">
        <is>
          <t>N/A</t>
        </is>
      </c>
      <c r="Y1352" s="0" t="inlineStr">
        <is>
          <t>N/A</t>
        </is>
      </c>
      <c r="Z1352" s="0" t="inlineStr">
        <is>
          <t>N/A</t>
        </is>
      </c>
      <c r="AA1352" s="0" t="inlineStr">
        <is>
          <t>N/A</t>
        </is>
      </c>
    </row>
    <row r="1353" ht="15.75" customHeight="1" s="51">
      <c r="A1353" s="47" t="inlineStr">
        <is>
          <t>AID-135-01</t>
        </is>
      </c>
      <c r="B1353" s="47" t="inlineStr">
        <is>
          <t>Aidos</t>
        </is>
      </c>
      <c r="C1353" s="47" t="inlineStr">
        <is>
          <t>Computer Hardware</t>
        </is>
      </c>
      <c r="D1353" s="47" t="inlineStr">
        <is>
          <t>Networking</t>
        </is>
      </c>
      <c r="E1353" s="48" t="inlineStr">
        <is>
          <t>Aidos Quanta Air Wi-Fi 7 PCIe Card</t>
        </is>
      </c>
      <c r="F1353" s="49" t="n">
        <v>55.99</v>
      </c>
      <c r="G1353" s="47" t="inlineStr">
        <is>
          <t>the Quanta Air; Aidos Quanta Air; Aiidos Quanta Air; Quanta Air networking</t>
        </is>
      </c>
      <c r="H1353" s="47" t="inlineStr">
        <is>
          <t>2 year limited</t>
        </is>
      </c>
      <c r="I1353" s="47" t="inlineStr">
        <is>
          <t>FCC, CE, RoHS, Wi-Fi CERTIFIED 7, Bluetooth SIG Qualified</t>
        </is>
      </c>
      <c r="J1353" s="47" t="inlineStr">
        <is>
          <t>Chipset: Qualcomm FastConnect 7800</t>
        </is>
      </c>
      <c r="K1353" s="47" t="inlineStr">
        <is>
          <t>N/A</t>
        </is>
      </c>
      <c r="L1353" s="47" t="inlineStr">
        <is>
          <t>N/A</t>
        </is>
      </c>
      <c r="M1353" s="47" t="inlineStr">
        <is>
          <t>N/A</t>
        </is>
      </c>
      <c r="N1353" s="47" t="inlineStr">
        <is>
          <t>PCIe x1, internal USB 2.0 header (Bluetooth 5.4), 2x external antennas</t>
        </is>
      </c>
      <c r="O1353" s="47" t="inlineStr">
        <is>
          <t>N/A</t>
        </is>
      </c>
      <c r="P1353" s="47" t="inlineStr">
        <is>
          <t>N/A</t>
        </is>
      </c>
      <c r="Q1353" s="50" t="n">
        <v>102</v>
      </c>
      <c r="R1353" s="47" t="inlineStr">
        <is>
          <t>Lower price than Atlas Nova Ultra Wi-Fi 7 PCIe Card [ATL-122-01] ($55.99 vs $59.99); Lighter than Crius Crest Ultra Wi-Fi 7 PCIe Card [CRI-139-03] (102 g vs 104 g)</t>
        </is>
      </c>
      <c r="S1353" s="47" t="inlineStr">
        <is>
          <t>gaming, streaming, PC building</t>
        </is>
      </c>
      <c r="T1353" s="0" t="inlineStr">
        <is>
          <t>out_of_stock</t>
        </is>
      </c>
      <c r="U1353" s="0" t="n">
        <v>30</v>
      </c>
      <c r="V1353" s="52" t="n">
        <v>62.99</v>
      </c>
      <c r="W1353" s="0" t="inlineStr">
        <is>
          <t>2026-08-30</t>
        </is>
      </c>
      <c r="X1353" s="0" t="inlineStr">
        <is>
          <t>N/A</t>
        </is>
      </c>
      <c r="Y1353" s="0" t="inlineStr">
        <is>
          <t>N/A</t>
        </is>
      </c>
      <c r="Z1353" s="0" t="inlineStr">
        <is>
          <t>N/A</t>
        </is>
      </c>
      <c r="AA1353" s="0" t="inlineStr">
        <is>
          <t>N/A</t>
        </is>
      </c>
    </row>
    <row r="1354" ht="15.75" customHeight="1" s="51">
      <c r="A1354" s="47" t="inlineStr">
        <is>
          <t>AID-135-02</t>
        </is>
      </c>
      <c r="B1354" s="47" t="inlineStr">
        <is>
          <t>Aidos</t>
        </is>
      </c>
      <c r="C1354" s="47" t="inlineStr">
        <is>
          <t>Computer Hardware</t>
        </is>
      </c>
      <c r="D1354" s="47" t="inlineStr">
        <is>
          <t>Memory</t>
        </is>
      </c>
      <c r="E1354" s="48" t="inlineStr">
        <is>
          <t>Aidos Aria Max 32GB DDR5 RAM Kit</t>
        </is>
      </c>
      <c r="F1354" s="49" t="n">
        <v>98.98999999999999</v>
      </c>
      <c r="G1354" s="47" t="inlineStr">
        <is>
          <t>the Aria Max; Aidos Aria Max; Aiddos Aria Max; Aria Max memory</t>
        </is>
      </c>
      <c r="H1354" s="47" t="inlineStr">
        <is>
          <t>Limited lifetime</t>
        </is>
      </c>
      <c r="I1354" s="47" t="inlineStr">
        <is>
          <t>FCC, CE, RoHS</t>
        </is>
      </c>
      <c r="J1354" s="47" t="inlineStr">
        <is>
          <t>N/A</t>
        </is>
      </c>
      <c r="K1354" s="47" t="inlineStr">
        <is>
          <t>N/A</t>
        </is>
      </c>
      <c r="L1354" s="47" t="inlineStr">
        <is>
          <t>N/A</t>
        </is>
      </c>
      <c r="M1354" s="47" t="inlineStr">
        <is>
          <t>N/A</t>
        </is>
      </c>
      <c r="N1354" s="47" t="inlineStr">
        <is>
          <t>2x 16GB DDR5 288-pin DIMM, 5200 MT/s</t>
        </is>
      </c>
      <c r="O1354" s="47" t="inlineStr">
        <is>
          <t>N/A</t>
        </is>
      </c>
      <c r="P1354" s="47" t="inlineStr">
        <is>
          <t>N/A</t>
        </is>
      </c>
      <c r="Q1354" s="50" t="n">
        <v>83</v>
      </c>
      <c r="R1354" s="47" t="inlineStr">
        <is>
          <t>Lower price than Eris Aria 32GB DDR5 RAM Kit [ERI-148-04] ($98.99 vs $136.99); Lighter than Eucleia Volt 32GB DDR5 RAM Kit [EUC-124-08] (83 g vs 90 g)</t>
        </is>
      </c>
      <c r="S1354" s="47" t="inlineStr">
        <is>
          <t>gaming, multitasking, PC building</t>
        </is>
      </c>
      <c r="T1354" s="0" t="inlineStr">
        <is>
          <t>in_stock</t>
        </is>
      </c>
      <c r="U1354" s="0" t="n">
        <v>30</v>
      </c>
      <c r="V1354" s="52" t="n">
        <v>103.99</v>
      </c>
      <c r="W1354" s="0" t="inlineStr">
        <is>
          <t>2026-08-03</t>
        </is>
      </c>
      <c r="X1354" s="0" t="inlineStr">
        <is>
          <t>N/A</t>
        </is>
      </c>
      <c r="Y1354" s="0" t="inlineStr">
        <is>
          <t>N/A</t>
        </is>
      </c>
      <c r="Z1354" s="0" t="inlineStr">
        <is>
          <t>N/A</t>
        </is>
      </c>
      <c r="AA1354" s="0" t="inlineStr">
        <is>
          <t>N/A</t>
        </is>
      </c>
    </row>
    <row r="1355" ht="15.75" customHeight="1" s="51">
      <c r="A1355" s="47" t="inlineStr">
        <is>
          <t>AID-135-03</t>
        </is>
      </c>
      <c r="B1355" s="47" t="inlineStr">
        <is>
          <t>Aidos</t>
        </is>
      </c>
      <c r="C1355" s="47" t="inlineStr">
        <is>
          <t>Computer Hardware</t>
        </is>
      </c>
      <c r="D1355" s="47" t="inlineStr">
        <is>
          <t>PC Case</t>
        </is>
      </c>
      <c r="E1355" s="48" t="inlineStr">
        <is>
          <t>Aidos Core Mid-Tower PC Case</t>
        </is>
      </c>
      <c r="F1355" s="49" t="n">
        <v>108.99</v>
      </c>
      <c r="G1355" s="47" t="inlineStr">
        <is>
          <t>the Core; Aidos Core; Aido Core; Core pc case</t>
        </is>
      </c>
      <c r="H1355" s="47" t="inlineStr">
        <is>
          <t>2 year limited</t>
        </is>
      </c>
      <c r="I1355" s="47" t="inlineStr">
        <is>
          <t>FCC, CE, RoHS, UL 94 V-0 (materials)</t>
        </is>
      </c>
      <c r="J1355" s="47" t="inlineStr">
        <is>
          <t>N/A</t>
        </is>
      </c>
      <c r="K1355" s="47" t="inlineStr">
        <is>
          <t>N/A</t>
        </is>
      </c>
      <c r="L1355" s="47" t="inlineStr">
        <is>
          <t>N/A</t>
        </is>
      </c>
      <c r="M1355" s="47" t="inlineStr">
        <is>
          <t>N/A</t>
        </is>
      </c>
      <c r="N1355" s="47" t="inlineStr">
        <is>
          <t>Front I/O: 1x USB-C 10Gbps, 2x USB-A 3.0, 3.5mm combo audio</t>
        </is>
      </c>
      <c r="O1355" s="47" t="inlineStr">
        <is>
          <t>N/A</t>
        </is>
      </c>
      <c r="P1355" s="47" t="inlineStr">
        <is>
          <t>N/A</t>
        </is>
      </c>
      <c r="Q1355" s="50" t="n">
        <v>6697</v>
      </c>
      <c r="R1355" s="47" t="inlineStr">
        <is>
          <t>Lower price than Eirene Crest Max Mid-Tower PC Case [EIR-112-02] ($108.99 vs $122.99); Lighter than Kairos Vertex Air Mid-Tower PC Case [KAI-142-04] (6,697 g vs 9,278 g)</t>
        </is>
      </c>
      <c r="S1355" s="47" t="inlineStr">
        <is>
          <t>PC building, gaming</t>
        </is>
      </c>
      <c r="T1355" s="0" t="inlineStr">
        <is>
          <t>in_stock</t>
        </is>
      </c>
      <c r="U1355" s="0" t="n">
        <v>30</v>
      </c>
      <c r="V1355" s="52" t="n">
        <v>118.99</v>
      </c>
      <c r="W1355" s="0" t="inlineStr">
        <is>
          <t>2026-08-16</t>
        </is>
      </c>
      <c r="X1355" s="0" t="inlineStr">
        <is>
          <t>N/A</t>
        </is>
      </c>
      <c r="Y1355" s="0" t="inlineStr">
        <is>
          <t>N/A</t>
        </is>
      </c>
      <c r="Z1355" s="0" t="inlineStr">
        <is>
          <t>N/A</t>
        </is>
      </c>
      <c r="AA1355" s="0" t="inlineStr">
        <is>
          <t>N/A</t>
        </is>
      </c>
    </row>
    <row r="1356" ht="15.75" customHeight="1" s="51">
      <c r="A1356" s="47" t="inlineStr">
        <is>
          <t>AID-135-04</t>
        </is>
      </c>
      <c r="B1356" s="47" t="inlineStr">
        <is>
          <t>Aidos</t>
        </is>
      </c>
      <c r="C1356" s="47" t="inlineStr">
        <is>
          <t>Computer Hardware</t>
        </is>
      </c>
      <c r="D1356" s="47" t="inlineStr">
        <is>
          <t>Power Supply</t>
        </is>
      </c>
      <c r="E1356" s="48" t="inlineStr">
        <is>
          <t>Aidos Wave X 850W Power Supply</t>
        </is>
      </c>
      <c r="F1356" s="49" t="n">
        <v>115.99</v>
      </c>
      <c r="G1356" s="47" t="inlineStr">
        <is>
          <t>the Wave X; Aidos Wave X; Aiidos Wave X; Wave X power supply</t>
        </is>
      </c>
      <c r="H1356" s="47" t="inlineStr">
        <is>
          <t>10 year limited</t>
        </is>
      </c>
      <c r="I1356" s="47" t="inlineStr">
        <is>
          <t>FCC, CE, RoHS, 80 PLUS Gold, UL Listed</t>
        </is>
      </c>
      <c r="J1356" s="47" t="inlineStr">
        <is>
          <t>N/A</t>
        </is>
      </c>
      <c r="K1356" s="47" t="inlineStr">
        <is>
          <t>N/A</t>
        </is>
      </c>
      <c r="L1356" s="47" t="inlineStr">
        <is>
          <t>N/A</t>
        </is>
      </c>
      <c r="M1356" s="47" t="inlineStr">
        <is>
          <t>N/A</t>
        </is>
      </c>
      <c r="N1356" s="47" t="inlineStr">
        <is>
          <t>ATX 3.1, native 12V-2x6 (600W) connector, semi-modular</t>
        </is>
      </c>
      <c r="O1356" s="47" t="inlineStr">
        <is>
          <t>N/A</t>
        </is>
      </c>
      <c r="P1356" s="47" t="inlineStr">
        <is>
          <t>N/A</t>
        </is>
      </c>
      <c r="Q1356" s="50" t="n">
        <v>2205</v>
      </c>
      <c r="R1356" s="47" t="inlineStr">
        <is>
          <t>Lower price than Hemera Quanta Ultra 850W Power Supply [HEM-117-05] ($115.99 vs $175.99); Lighter than Zelus Lumen 850W Power Supply [ZEL-137-06] (2,205 g vs 2,237 g)</t>
        </is>
      </c>
      <c r="S1356" s="47" t="inlineStr">
        <is>
          <t>PC building, high-end gaming</t>
        </is>
      </c>
      <c r="T1356" s="0" t="inlineStr">
        <is>
          <t>in_stock</t>
        </is>
      </c>
      <c r="U1356" s="0" t="n">
        <v>30</v>
      </c>
      <c r="V1356" s="52" t="n">
        <v>121.99</v>
      </c>
      <c r="W1356" s="0" t="inlineStr">
        <is>
          <t>2026-09-08</t>
        </is>
      </c>
      <c r="X1356" s="0" t="inlineStr">
        <is>
          <t>N/A</t>
        </is>
      </c>
      <c r="Y1356" s="0" t="inlineStr">
        <is>
          <t>N/A</t>
        </is>
      </c>
      <c r="Z1356" s="0" t="inlineStr">
        <is>
          <t>N/A</t>
        </is>
      </c>
      <c r="AA1356" s="0" t="inlineStr">
        <is>
          <t>N/A</t>
        </is>
      </c>
    </row>
    <row r="1357" ht="15.75" customHeight="1" s="51">
      <c r="A1357" s="47" t="inlineStr">
        <is>
          <t>AID-135-05</t>
        </is>
      </c>
      <c r="B1357" s="47" t="inlineStr">
        <is>
          <t>Aidos</t>
        </is>
      </c>
      <c r="C1357" s="47" t="inlineStr">
        <is>
          <t>Computer Hardware</t>
        </is>
      </c>
      <c r="D1357" s="47" t="inlineStr">
        <is>
          <t>Storage</t>
        </is>
      </c>
      <c r="E1357" s="48" t="inlineStr">
        <is>
          <t>Aidos Orbit 4TB External Hard Drive</t>
        </is>
      </c>
      <c r="F1357" s="49" t="n">
        <v>196.99</v>
      </c>
      <c r="G1357" s="47" t="inlineStr">
        <is>
          <t>the Orbit; Aidos Orbit; Aiddos Orbit; Orbit storage</t>
        </is>
      </c>
      <c r="H1357" s="47" t="inlineStr">
        <is>
          <t>2 year limited</t>
        </is>
      </c>
      <c r="I1357" s="47" t="inlineStr">
        <is>
          <t>FCC, CE, RoHS, USB-IF Certified</t>
        </is>
      </c>
      <c r="J1357" s="47" t="inlineStr">
        <is>
          <t>N/A</t>
        </is>
      </c>
      <c r="K1357" s="47" t="inlineStr">
        <is>
          <t>N/A</t>
        </is>
      </c>
      <c r="L1357" s="47" t="inlineStr">
        <is>
          <t>N/A</t>
        </is>
      </c>
      <c r="M1357" s="47" t="inlineStr">
        <is>
          <t>N/A</t>
        </is>
      </c>
      <c r="N1357" s="47" t="inlineStr">
        <is>
          <t>USB-C (USB 3.2 Gen 1)</t>
        </is>
      </c>
      <c r="O1357" s="47" t="inlineStr">
        <is>
          <t>N/A</t>
        </is>
      </c>
      <c r="P1357" s="47" t="inlineStr">
        <is>
          <t>N/A</t>
        </is>
      </c>
      <c r="Q1357" s="50" t="n">
        <v>250</v>
      </c>
      <c r="R1357" s="47" t="inlineStr">
        <is>
          <t>Lighter than Thalassa Drift Lite 4TB External Hard Drive [THA-126-06] (250 g vs 257 g); Lower price than Palaemon Arc Air 4TB External Hard Drive [PAL-127-06] ($196.99 vs $198.99)</t>
        </is>
      </c>
      <c r="S1357" s="47" t="inlineStr">
        <is>
          <t>backup, media storage</t>
        </is>
      </c>
      <c r="T1357" s="0" t="inlineStr">
        <is>
          <t>in_stock</t>
        </is>
      </c>
      <c r="U1357" s="0" t="n">
        <v>30</v>
      </c>
      <c r="V1357" s="52" t="n">
        <v>221.99</v>
      </c>
      <c r="W1357" s="0" t="inlineStr">
        <is>
          <t>2026-08-31</t>
        </is>
      </c>
      <c r="X1357" s="0" t="inlineStr">
        <is>
          <t>N/A</t>
        </is>
      </c>
      <c r="Y1357" s="0" t="inlineStr">
        <is>
          <t>N/A</t>
        </is>
      </c>
      <c r="Z1357" s="0" t="inlineStr">
        <is>
          <t>N/A</t>
        </is>
      </c>
      <c r="AA1357" s="0" t="inlineStr">
        <is>
          <t>N/A</t>
        </is>
      </c>
    </row>
    <row r="1358" ht="15.75" customHeight="1" s="51">
      <c r="A1358" s="47" t="inlineStr">
        <is>
          <t>AID-135-06</t>
        </is>
      </c>
      <c r="B1358" s="47" t="inlineStr">
        <is>
          <t>Aidos</t>
        </is>
      </c>
      <c r="C1358" s="47" t="inlineStr">
        <is>
          <t>Computer Hardware</t>
        </is>
      </c>
      <c r="D1358" s="47" t="inlineStr">
        <is>
          <t>Docking Station</t>
        </is>
      </c>
      <c r="E1358" s="48" t="inlineStr">
        <is>
          <t>Aidos Quanta Ultra USB-C Docking Station</t>
        </is>
      </c>
      <c r="F1358" s="49" t="n">
        <v>247.99</v>
      </c>
      <c r="G1358" s="47" t="inlineStr">
        <is>
          <t>the Quanta Ultra; Aidos Quanta Ultra; Aidoos Quanta Ultra; Quanta Ultra docking station</t>
        </is>
      </c>
      <c r="H1358" s="47" t="inlineStr">
        <is>
          <t>2 year limited</t>
        </is>
      </c>
      <c r="I1358" s="47" t="inlineStr">
        <is>
          <t>FCC, CE, RoHS, USB-IF Certified, UL Listed</t>
        </is>
      </c>
      <c r="J1358" s="47" t="inlineStr">
        <is>
          <t>N/A</t>
        </is>
      </c>
      <c r="K1358" s="47" t="inlineStr">
        <is>
          <t>N/A</t>
        </is>
      </c>
      <c r="L1358" s="47" t="inlineStr">
        <is>
          <t>N/A</t>
        </is>
      </c>
      <c r="M1358" s="47" t="inlineStr">
        <is>
          <t>N/A</t>
        </is>
      </c>
      <c r="N1358" s="47" t="inlineStr">
        <is>
          <t>2x HDMI 2.0, 1x DisplayPort 1.4, 3x USB-A 3.2, 2x USB-C, 2.5GbE, SD card, 100W PD</t>
        </is>
      </c>
      <c r="O1358" s="47" t="inlineStr">
        <is>
          <t>N/A</t>
        </is>
      </c>
      <c r="P1358" s="47" t="inlineStr">
        <is>
          <t>N/A</t>
        </is>
      </c>
      <c r="Q1358" s="50" t="n">
        <v>281</v>
      </c>
      <c r="R1358" s="47" t="inlineStr">
        <is>
          <t>Lighter than Hemera Halo USB-C Docking Station [HEM-117-03] (281 g vs 322 g); Lower price than Aphrodite Volt X USB-C Docking Station [APH-141-09] ($247.99 vs $273.99)</t>
        </is>
      </c>
      <c r="S1358" s="47" t="inlineStr">
        <is>
          <t>office, remote work, multi-monitor</t>
        </is>
      </c>
      <c r="T1358" s="0" t="inlineStr">
        <is>
          <t>in_stock</t>
        </is>
      </c>
      <c r="U1358" s="0" t="n">
        <v>30</v>
      </c>
      <c r="V1358" s="52" t="n">
        <v>270.99</v>
      </c>
      <c r="W1358" s="0" t="inlineStr">
        <is>
          <t>2026-08-23</t>
        </is>
      </c>
      <c r="X1358" s="0" t="inlineStr">
        <is>
          <t>N/A</t>
        </is>
      </c>
      <c r="Y1358" s="0" t="inlineStr">
        <is>
          <t>N/A</t>
        </is>
      </c>
      <c r="Z1358" s="0" t="inlineStr">
        <is>
          <t>N/A</t>
        </is>
      </c>
      <c r="AA1358" s="0" t="inlineStr">
        <is>
          <t>N/A</t>
        </is>
      </c>
    </row>
    <row r="1359" ht="15.75" customHeight="1" s="51">
      <c r="A1359" s="47" t="inlineStr">
        <is>
          <t>AID-135-07</t>
        </is>
      </c>
      <c r="B1359" s="47" t="inlineStr">
        <is>
          <t>Aidos</t>
        </is>
      </c>
      <c r="C1359" s="47" t="inlineStr">
        <is>
          <t>Computer Hardware</t>
        </is>
      </c>
      <c r="D1359" s="47" t="inlineStr">
        <is>
          <t>Storage</t>
        </is>
      </c>
      <c r="E1359" s="48" t="inlineStr">
        <is>
          <t>Aidos Nova 2TB NVMe SSD</t>
        </is>
      </c>
      <c r="F1359" s="49" t="n">
        <v>284.99</v>
      </c>
      <c r="G1359" s="47" t="inlineStr">
        <is>
          <t>the Nova; Aidos Nova; Aidoss Nova; Nova storage</t>
        </is>
      </c>
      <c r="H1359" s="47" t="inlineStr">
        <is>
          <t>5 year limited</t>
        </is>
      </c>
      <c r="I1359" s="47" t="inlineStr">
        <is>
          <t>FCC, CE, RoHS</t>
        </is>
      </c>
      <c r="J1359" s="47" t="inlineStr">
        <is>
          <t>Controller: Phison E26</t>
        </is>
      </c>
      <c r="K1359" s="47" t="inlineStr">
        <is>
          <t>N/A</t>
        </is>
      </c>
      <c r="L1359" s="47" t="inlineStr">
        <is>
          <t>N/A</t>
        </is>
      </c>
      <c r="M1359" s="47" t="inlineStr">
        <is>
          <t>N/A</t>
        </is>
      </c>
      <c r="N1359" s="47" t="inlineStr">
        <is>
          <t>M.2 2280, PCIe 5.0 x4 NVMe</t>
        </is>
      </c>
      <c r="O1359" s="47" t="inlineStr">
        <is>
          <t>N/A</t>
        </is>
      </c>
      <c r="P1359" s="47" t="inlineStr">
        <is>
          <t>N/A</t>
        </is>
      </c>
      <c r="Q1359" s="50" t="n">
        <v>9</v>
      </c>
      <c r="R1359" s="47" t="inlineStr">
        <is>
          <t>Lighter than Iris Quanta Plus 2TB NVMe SSD [IRI-130-08] (9 g vs 11 g); Lower price than Perses Lumen Pro 2TB NVMe SSD [PER-101-08] ($284.99 vs $294.99)</t>
        </is>
      </c>
      <c r="S1359" s="47" t="inlineStr">
        <is>
          <t>gaming, fast boot, content creation</t>
        </is>
      </c>
      <c r="T1359" s="0" t="inlineStr">
        <is>
          <t>in_stock</t>
        </is>
      </c>
      <c r="U1359" s="0" t="n">
        <v>30</v>
      </c>
      <c r="V1359" s="52" t="n">
        <v>299.99</v>
      </c>
      <c r="W1359" s="0" t="inlineStr">
        <is>
          <t>2026-08-01</t>
        </is>
      </c>
      <c r="X1359" s="0" t="inlineStr">
        <is>
          <t>N/A</t>
        </is>
      </c>
      <c r="Y1359" s="0" t="inlineStr">
        <is>
          <t>N/A</t>
        </is>
      </c>
      <c r="Z1359" s="0" t="inlineStr">
        <is>
          <t>N/A</t>
        </is>
      </c>
      <c r="AA1359" s="0" t="inlineStr">
        <is>
          <t>N/A</t>
        </is>
      </c>
    </row>
    <row r="1360" ht="15.75" customHeight="1" s="51">
      <c r="A1360" s="47" t="inlineStr">
        <is>
          <t>AID-135-08</t>
        </is>
      </c>
      <c r="B1360" s="47" t="inlineStr">
        <is>
          <t>Aidos</t>
        </is>
      </c>
      <c r="C1360" s="47" t="inlineStr">
        <is>
          <t>Computer Hardware</t>
        </is>
      </c>
      <c r="D1360" s="47" t="inlineStr">
        <is>
          <t>Motherboard</t>
        </is>
      </c>
      <c r="E1360" s="48" t="inlineStr">
        <is>
          <t>Aidos Aeon Plus ATX Motherboard</t>
        </is>
      </c>
      <c r="F1360" s="49" t="n">
        <v>384.99</v>
      </c>
      <c r="G1360" s="47" t="inlineStr">
        <is>
          <t>the Aeon Plus; Aidos Aeon Plus; Aidoss Aeon Plus; Aeon Plus motherboard</t>
        </is>
      </c>
      <c r="H1360" s="47" t="inlineStr">
        <is>
          <t>3 year limited</t>
        </is>
      </c>
      <c r="I1360" s="47" t="inlineStr">
        <is>
          <t>FCC, CE, RoHS</t>
        </is>
      </c>
      <c r="J1360" s="47" t="inlineStr">
        <is>
          <t>Supports Intel Core Ultra 200S (LGA1851)</t>
        </is>
      </c>
      <c r="K1360" s="47" t="inlineStr">
        <is>
          <t>N/A</t>
        </is>
      </c>
      <c r="L1360" s="47" t="inlineStr">
        <is>
          <t>N/A</t>
        </is>
      </c>
      <c r="M1360" s="47" t="inlineStr">
        <is>
          <t>N/A</t>
        </is>
      </c>
      <c r="N1360" s="47" t="inlineStr">
        <is>
          <t>Rear I/O: 1x HDMI, 1x DisplayPort, 8x USB-A, 2x USB-C 20Gbps, 2.5GbE, Wi-Fi 7</t>
        </is>
      </c>
      <c r="O1360" s="47" t="inlineStr">
        <is>
          <t>N/A</t>
        </is>
      </c>
      <c r="P1360" s="47" t="inlineStr">
        <is>
          <t>N/A</t>
        </is>
      </c>
      <c r="Q1360" s="50" t="n">
        <v>1429</v>
      </c>
      <c r="R1360" s="47" t="inlineStr">
        <is>
          <t>Lighter than Notus Titan Plus ATX Motherboard [NOT-108-08] (1,429 g vs 1,458 g); Lower price than Eos Aria Pro ATX Motherboard [EOS-111-08] ($384.99 vs $596.99)</t>
        </is>
      </c>
      <c r="S1360" s="47" t="inlineStr">
        <is>
          <t>PC building, gaming, workstation builds</t>
        </is>
      </c>
      <c r="T1360" s="0" t="inlineStr">
        <is>
          <t>in_stock</t>
        </is>
      </c>
      <c r="U1360" s="0" t="n">
        <v>30</v>
      </c>
      <c r="V1360" s="52" t="n">
        <v>408.99</v>
      </c>
      <c r="W1360" s="0" t="inlineStr">
        <is>
          <t>2026-08-30</t>
        </is>
      </c>
      <c r="X1360" s="0" t="inlineStr">
        <is>
          <t>N/A</t>
        </is>
      </c>
      <c r="Y1360" s="0" t="inlineStr">
        <is>
          <t>N/A</t>
        </is>
      </c>
      <c r="Z1360" s="0" t="inlineStr">
        <is>
          <t>N/A</t>
        </is>
      </c>
      <c r="AA1360" s="0" t="inlineStr">
        <is>
          <t>N/A</t>
        </is>
      </c>
    </row>
    <row r="1361" ht="15.75" customHeight="1" s="51">
      <c r="A1361" s="47" t="inlineStr">
        <is>
          <t>AID-135-09</t>
        </is>
      </c>
      <c r="B1361" s="47" t="inlineStr">
        <is>
          <t>Aidos</t>
        </is>
      </c>
      <c r="C1361" s="47" t="inlineStr">
        <is>
          <t>Computer Hardware</t>
        </is>
      </c>
      <c r="D1361" s="47" t="inlineStr">
        <is>
          <t>Processor</t>
        </is>
      </c>
      <c r="E1361" s="48" t="inlineStr">
        <is>
          <t>Aidos Onyx X Desktop CPU</t>
        </is>
      </c>
      <c r="F1361" s="49" t="n">
        <v>542.99</v>
      </c>
      <c r="G1361" s="47" t="inlineStr">
        <is>
          <t>the Onyx X; Aidos Onyx X; Aido Onyx X; Onyx X processor</t>
        </is>
      </c>
      <c r="H1361" s="47" t="inlineStr">
        <is>
          <t>3 year limited</t>
        </is>
      </c>
      <c r="I1361" s="47" t="inlineStr">
        <is>
          <t>FCC, CE, RoHS</t>
        </is>
      </c>
      <c r="J1361" s="47" t="inlineStr">
        <is>
          <t>Aidos Onyx 16-core / 32-thread, up to 5.5 GHz</t>
        </is>
      </c>
      <c r="K1361" s="47" t="inlineStr">
        <is>
          <t>Integrated graphics</t>
        </is>
      </c>
      <c r="L1361" s="47" t="inlineStr">
        <is>
          <t>N/A</t>
        </is>
      </c>
      <c r="M1361" s="47" t="inlineStr">
        <is>
          <t>N/A</t>
        </is>
      </c>
      <c r="N1361" s="47" t="inlineStr">
        <is>
          <t>N/A</t>
        </is>
      </c>
      <c r="O1361" s="47" t="inlineStr">
        <is>
          <t>N/A</t>
        </is>
      </c>
      <c r="P1361" s="47" t="inlineStr">
        <is>
          <t>N/A</t>
        </is>
      </c>
      <c r="Q1361" s="50" t="n">
        <v>55</v>
      </c>
      <c r="R1361" s="47" t="inlineStr">
        <is>
          <t>Lighter than Hades Echo Air Desktop CPU [HAD-119-09] (55 g vs 59 g); Lower price than Zelus Lumen Lite Desktop CPU [ZEL-137-09] ($542.99 vs $685.99)</t>
        </is>
      </c>
      <c r="S1361" s="47" t="inlineStr">
        <is>
          <t>gaming, content creation, workstation builds</t>
        </is>
      </c>
      <c r="T1361" s="0" t="inlineStr">
        <is>
          <t>in_stock</t>
        </is>
      </c>
      <c r="U1361" s="0" t="n">
        <v>30</v>
      </c>
      <c r="V1361" s="52" t="n">
        <v>620.99</v>
      </c>
      <c r="W1361" s="0" t="inlineStr">
        <is>
          <t>2026-09-17</t>
        </is>
      </c>
      <c r="X1361" s="0" t="inlineStr">
        <is>
          <t>N/A</t>
        </is>
      </c>
      <c r="Y1361" s="0" t="inlineStr">
        <is>
          <t>N/A</t>
        </is>
      </c>
      <c r="Z1361" s="0" t="inlineStr">
        <is>
          <t>N/A</t>
        </is>
      </c>
      <c r="AA1361" s="0" t="inlineStr">
        <is>
          <t>N/A</t>
        </is>
      </c>
    </row>
    <row r="1362" ht="15.75" customHeight="1" s="51">
      <c r="A1362" s="47" t="inlineStr">
        <is>
          <t>AID-135-10</t>
        </is>
      </c>
      <c r="B1362" s="47" t="inlineStr">
        <is>
          <t>Aidos</t>
        </is>
      </c>
      <c r="C1362" s="47" t="inlineStr">
        <is>
          <t>Computer Hardware</t>
        </is>
      </c>
      <c r="D1362" s="47" t="inlineStr">
        <is>
          <t>Graphics Card</t>
        </is>
      </c>
      <c r="E1362" s="48" t="inlineStr">
        <is>
          <t>Aidos Prism Ultra Graphics Card</t>
        </is>
      </c>
      <c r="F1362" s="49" t="n">
        <v>1834.99</v>
      </c>
      <c r="G1362" s="47" t="inlineStr">
        <is>
          <t>the Prism Ultra; Aidos Prism Ultra; Aiods Prism Ultra; Prism Ultra graphics card</t>
        </is>
      </c>
      <c r="H1362" s="47" t="inlineStr">
        <is>
          <t>3 year limited</t>
        </is>
      </c>
      <c r="I1362" s="47" t="inlineStr">
        <is>
          <t>FCC, CE, RoHS</t>
        </is>
      </c>
      <c r="J1362" s="47" t="inlineStr">
        <is>
          <t>N/A</t>
        </is>
      </c>
      <c r="K1362" s="47" t="inlineStr">
        <is>
          <t>AMD Radeon RX 7900 XTX 24GB (Aidos Prism edition)</t>
        </is>
      </c>
      <c r="L1362" s="47" t="inlineStr">
        <is>
          <t>N/A</t>
        </is>
      </c>
      <c r="M1362" s="47" t="inlineStr">
        <is>
          <t>N/A</t>
        </is>
      </c>
      <c r="N1362" s="47" t="inlineStr">
        <is>
          <t>2x DisplayPort 2.1, 1x HDMI 2.1, 1x USB-C</t>
        </is>
      </c>
      <c r="O1362" s="47" t="inlineStr">
        <is>
          <t>N/A</t>
        </is>
      </c>
      <c r="P1362" s="47" t="inlineStr">
        <is>
          <t>N/A</t>
        </is>
      </c>
      <c r="Q1362" s="50" t="n">
        <v>2108</v>
      </c>
      <c r="R1362" s="47" t="inlineStr">
        <is>
          <t>Lighter than Phoebe Orbit Max Graphics Card [PHO-143-10] (2,108 g vs 2,131 g); Lower price than Eucleia Nimbus Pro Graphics Card [EUC-124-10] ($1,834.99 vs $1,993.99)</t>
        </is>
      </c>
      <c r="S1362" s="47" t="inlineStr">
        <is>
          <t>gaming, 3D rendering, AI workloads</t>
        </is>
      </c>
      <c r="T1362" s="0" t="inlineStr">
        <is>
          <t>in_stock</t>
        </is>
      </c>
      <c r="U1362" s="0" t="n">
        <v>30</v>
      </c>
      <c r="V1362" s="52" t="n">
        <v>2069.99</v>
      </c>
      <c r="W1362" s="0" t="inlineStr">
        <is>
          <t>2026-08-16</t>
        </is>
      </c>
      <c r="X1362" s="0" t="inlineStr">
        <is>
          <t>N/A</t>
        </is>
      </c>
      <c r="Y1362" s="0" t="inlineStr">
        <is>
          <t>N/A</t>
        </is>
      </c>
      <c r="Z1362" s="0" t="inlineStr">
        <is>
          <t>N/A</t>
        </is>
      </c>
      <c r="AA1362" s="0" t="inlineStr">
        <is>
          <t>N/A</t>
        </is>
      </c>
    </row>
    <row r="1363" ht="15.75" customHeight="1" s="51">
      <c r="A1363" s="47" t="inlineStr">
        <is>
          <t>URA-136-01</t>
        </is>
      </c>
      <c r="B1363" s="47" t="inlineStr">
        <is>
          <t>Urania</t>
        </is>
      </c>
      <c r="C1363" s="47" t="inlineStr">
        <is>
          <t>Computer Hardware</t>
        </is>
      </c>
      <c r="D1363" s="47" t="inlineStr">
        <is>
          <t>Mouse</t>
        </is>
      </c>
      <c r="E1363" s="48" t="inlineStr">
        <is>
          <t>Urania Blaze Ultra Gaming Mouse</t>
        </is>
      </c>
      <c r="F1363" s="49" t="n">
        <v>55.99</v>
      </c>
      <c r="G1363" s="47" t="inlineStr">
        <is>
          <t>the Blaze Ultra; Urania Blaze Ultra; Uraania Blaze Ultra; Blaze Ultra mouse</t>
        </is>
      </c>
      <c r="H1363" s="47" t="inlineStr">
        <is>
          <t>2 year limited</t>
        </is>
      </c>
      <c r="I1363" s="47" t="inlineStr">
        <is>
          <t>FCC, CE, RoHS</t>
        </is>
      </c>
      <c r="J1363" s="47" t="inlineStr">
        <is>
          <t>Sensor: 26K DPI optical</t>
        </is>
      </c>
      <c r="K1363" s="47" t="inlineStr">
        <is>
          <t>N/A</t>
        </is>
      </c>
      <c r="L1363" s="47" t="inlineStr">
        <is>
          <t>N/A</t>
        </is>
      </c>
      <c r="M1363" s="47" t="inlineStr">
        <is>
          <t>N/A</t>
        </is>
      </c>
      <c r="N1363" s="47" t="inlineStr">
        <is>
          <t>USB-C wired</t>
        </is>
      </c>
      <c r="O1363" s="47" t="inlineStr">
        <is>
          <t>N/A</t>
        </is>
      </c>
      <c r="P1363" s="47" t="inlineStr">
        <is>
          <t>N/A</t>
        </is>
      </c>
      <c r="Q1363" s="50" t="n">
        <v>60</v>
      </c>
      <c r="R1363" s="47" t="inlineStr">
        <is>
          <t>Lighter than Notus Nimbus Air Gaming Mouse [NOT-108-01] (60 g vs 80 g); Lower price than Hestia Halo Gaming Mouse [HES-116-03] ($55.99 vs $153.99)</t>
        </is>
      </c>
      <c r="S1363" s="47" t="inlineStr">
        <is>
          <t>gaming, esports</t>
        </is>
      </c>
      <c r="T1363" s="0" t="inlineStr">
        <is>
          <t>in_stock</t>
        </is>
      </c>
      <c r="U1363" s="0" t="n">
        <v>30</v>
      </c>
      <c r="V1363" s="52" t="n">
        <v>63.99</v>
      </c>
      <c r="W1363" s="0" t="inlineStr">
        <is>
          <t>2026-09-16</t>
        </is>
      </c>
      <c r="X1363" s="0" t="inlineStr">
        <is>
          <t>N/A</t>
        </is>
      </c>
      <c r="Y1363" s="0" t="inlineStr">
        <is>
          <t>N/A</t>
        </is>
      </c>
      <c r="Z1363" s="0" t="inlineStr">
        <is>
          <t>N/A</t>
        </is>
      </c>
      <c r="AA1363" s="0" t="inlineStr">
        <is>
          <t>N/A</t>
        </is>
      </c>
    </row>
    <row r="1364" ht="15.75" customHeight="1" s="51">
      <c r="A1364" s="47" t="inlineStr">
        <is>
          <t>URA-136-02</t>
        </is>
      </c>
      <c r="B1364" s="47" t="inlineStr">
        <is>
          <t>Urania</t>
        </is>
      </c>
      <c r="C1364" s="47" t="inlineStr">
        <is>
          <t>Computer Hardware</t>
        </is>
      </c>
      <c r="D1364" s="47" t="inlineStr">
        <is>
          <t>Storage</t>
        </is>
      </c>
      <c r="E1364" s="48" t="inlineStr">
        <is>
          <t>Urania Apex Pro 2TB NVMe SSD</t>
        </is>
      </c>
      <c r="F1364" s="49" t="n">
        <v>100.99</v>
      </c>
      <c r="G1364" s="47" t="inlineStr">
        <is>
          <t>the Apex Pro; Urania Apex Pro; Uraania Apex Pro; Apex Pro storage</t>
        </is>
      </c>
      <c r="H1364" s="47" t="inlineStr">
        <is>
          <t>5 year limited</t>
        </is>
      </c>
      <c r="I1364" s="47" t="inlineStr">
        <is>
          <t>FCC, CE, RoHS</t>
        </is>
      </c>
      <c r="J1364" s="47" t="inlineStr">
        <is>
          <t>Controller: Phison E21T</t>
        </is>
      </c>
      <c r="K1364" s="47" t="inlineStr">
        <is>
          <t>N/A</t>
        </is>
      </c>
      <c r="L1364" s="47" t="inlineStr">
        <is>
          <t>N/A</t>
        </is>
      </c>
      <c r="M1364" s="47" t="inlineStr">
        <is>
          <t>N/A</t>
        </is>
      </c>
      <c r="N1364" s="47" t="inlineStr">
        <is>
          <t>M.2 2280, PCIe 4.0 x4 NVMe</t>
        </is>
      </c>
      <c r="O1364" s="47" t="inlineStr">
        <is>
          <t>N/A</t>
        </is>
      </c>
      <c r="P1364" s="47" t="inlineStr">
        <is>
          <t>N/A</t>
        </is>
      </c>
      <c r="Q1364" s="50" t="n">
        <v>11</v>
      </c>
      <c r="R1364" s="47" t="inlineStr">
        <is>
          <t>Lighter than Hades Vertex Max 2TB NVMe SSD [HAD-119-08] (11 g vs 28 g); Lower price than Euterpe Flux 2TB NVMe SSD [EUT-120-07] ($100.99 vs $287.99)</t>
        </is>
      </c>
      <c r="S1364" s="47" t="inlineStr">
        <is>
          <t>gaming, fast boot, content creation</t>
        </is>
      </c>
      <c r="T1364" s="0" t="inlineStr">
        <is>
          <t>in_stock</t>
        </is>
      </c>
      <c r="U1364" s="0" t="n">
        <v>30</v>
      </c>
      <c r="V1364" s="52" t="n">
        <v>104.99</v>
      </c>
      <c r="W1364" s="0" t="inlineStr">
        <is>
          <t>2026-08-29</t>
        </is>
      </c>
      <c r="X1364" s="0" t="inlineStr">
        <is>
          <t>N/A</t>
        </is>
      </c>
      <c r="Y1364" s="0" t="inlineStr">
        <is>
          <t>N/A</t>
        </is>
      </c>
      <c r="Z1364" s="0" t="inlineStr">
        <is>
          <t>N/A</t>
        </is>
      </c>
      <c r="AA1364" s="0" t="inlineStr">
        <is>
          <t>N/A</t>
        </is>
      </c>
    </row>
    <row r="1365" ht="15.75" customHeight="1" s="51">
      <c r="A1365" s="47" t="inlineStr">
        <is>
          <t>URA-136-03</t>
        </is>
      </c>
      <c r="B1365" s="47" t="inlineStr">
        <is>
          <t>Urania</t>
        </is>
      </c>
      <c r="C1365" s="47" t="inlineStr">
        <is>
          <t>Computer Hardware</t>
        </is>
      </c>
      <c r="D1365" s="47" t="inlineStr">
        <is>
          <t>Webcam</t>
        </is>
      </c>
      <c r="E1365" s="48" t="inlineStr">
        <is>
          <t>Urania Vibe Ultra 4K Webcam</t>
        </is>
      </c>
      <c r="F1365" s="49" t="n">
        <v>122.99</v>
      </c>
      <c r="G1365" s="47" t="inlineStr">
        <is>
          <t>the Vibe Ultra; Urania Vibe Ultra; Uraniia Vibe Ultra; Vibe Ultra webcam</t>
        </is>
      </c>
      <c r="H1365" s="47" t="inlineStr">
        <is>
          <t>2 year limited</t>
        </is>
      </c>
      <c r="I1365" s="47" t="inlineStr">
        <is>
          <t>FCC, CE, RoHS, USB-IF Certified</t>
        </is>
      </c>
      <c r="J1365" s="47" t="inlineStr">
        <is>
          <t>N/A</t>
        </is>
      </c>
      <c r="K1365" s="47" t="inlineStr">
        <is>
          <t>N/A</t>
        </is>
      </c>
      <c r="L1365" s="47" t="inlineStr">
        <is>
          <t>N/A</t>
        </is>
      </c>
      <c r="M1365" s="47" t="inlineStr">
        <is>
          <t>3840x2160 @ 30fps, 1080p @ 60fps</t>
        </is>
      </c>
      <c r="N1365" s="47" t="inlineStr">
        <is>
          <t>USB-C (USB 3.0)</t>
        </is>
      </c>
      <c r="O1365" s="47" t="inlineStr">
        <is>
          <t>N/A</t>
        </is>
      </c>
      <c r="P1365" s="47" t="inlineStr">
        <is>
          <t>N/A</t>
        </is>
      </c>
      <c r="Q1365" s="50" t="n">
        <v>112</v>
      </c>
      <c r="R1365" s="47" t="inlineStr">
        <is>
          <t>Lower price than Eirene Wave X 4K Webcam [EIR-112-06] ($122.99 vs $213.99); Lighter than Eileithyia Nimbus 4K Webcam [EIL-149-01] (112 g vs 163 g)</t>
        </is>
      </c>
      <c r="S1365" s="47" t="inlineStr">
        <is>
          <t>video calls, streaming, remote work</t>
        </is>
      </c>
      <c r="T1365" s="0" t="inlineStr">
        <is>
          <t>in_stock</t>
        </is>
      </c>
      <c r="U1365" s="0" t="n">
        <v>30</v>
      </c>
      <c r="V1365" s="52" t="n">
        <v>133.99</v>
      </c>
      <c r="W1365" s="0" t="inlineStr">
        <is>
          <t>2026-08-03</t>
        </is>
      </c>
      <c r="X1365" s="0" t="inlineStr">
        <is>
          <t>N/A</t>
        </is>
      </c>
      <c r="Y1365" s="0" t="inlineStr">
        <is>
          <t>N/A</t>
        </is>
      </c>
      <c r="Z1365" s="0" t="inlineStr">
        <is>
          <t>N/A</t>
        </is>
      </c>
      <c r="AA1365" s="0" t="inlineStr">
        <is>
          <t>N/A</t>
        </is>
      </c>
    </row>
    <row r="1366" ht="15.75" customHeight="1" s="51">
      <c r="A1366" s="47" t="inlineStr">
        <is>
          <t>URA-136-04</t>
        </is>
      </c>
      <c r="B1366" s="47" t="inlineStr">
        <is>
          <t>Urania</t>
        </is>
      </c>
      <c r="C1366" s="47" t="inlineStr">
        <is>
          <t>Computer Hardware</t>
        </is>
      </c>
      <c r="D1366" s="47" t="inlineStr">
        <is>
          <t>Cooling</t>
        </is>
      </c>
      <c r="E1366" s="48" t="inlineStr">
        <is>
          <t>Urania Aeon Lite 360mm AIO CPU Cooler</t>
        </is>
      </c>
      <c r="F1366" s="49" t="n">
        <v>123.99</v>
      </c>
      <c r="G1366" s="47" t="inlineStr">
        <is>
          <t>the Aeon Lite; Urania Aeon Lite; Uarnia Aeon Lite; Aeon Lite cooling</t>
        </is>
      </c>
      <c r="H1366" s="47" t="inlineStr">
        <is>
          <t>6 year limited</t>
        </is>
      </c>
      <c r="I1366" s="47" t="inlineStr">
        <is>
          <t>FCC, CE, RoHS</t>
        </is>
      </c>
      <c r="J1366" s="47" t="inlineStr">
        <is>
          <t>N/A</t>
        </is>
      </c>
      <c r="K1366" s="47" t="inlineStr">
        <is>
          <t>N/A</t>
        </is>
      </c>
      <c r="L1366" s="47" t="inlineStr">
        <is>
          <t>N/A</t>
        </is>
      </c>
      <c r="M1366" s="47" t="inlineStr">
        <is>
          <t>N/A</t>
        </is>
      </c>
      <c r="N1366" s="47" t="inlineStr">
        <is>
          <t>3x 4-pin PWM fans, 3-pin pump header, ARGB 5V; LGA1700/LGA1851/AM5 mounts</t>
        </is>
      </c>
      <c r="O1366" s="47" t="inlineStr">
        <is>
          <t>N/A</t>
        </is>
      </c>
      <c r="P1366" s="47" t="inlineStr">
        <is>
          <t>N/A</t>
        </is>
      </c>
      <c r="Q1366" s="50" t="n">
        <v>1670</v>
      </c>
      <c r="R1366" s="47" t="inlineStr">
        <is>
          <t>Lower price than Atlas Arc Ultra 360mm AIO CPU Cooler [ATL-122-08] ($123.99 vs $274.99); Lighter than Aphrodite Halo Plus 360mm AIO CPU Cooler [APH-141-08] (1,670 g vs 1,868 g)</t>
        </is>
      </c>
      <c r="S1366" s="47" t="inlineStr">
        <is>
          <t>overclocking, gaming, quiet builds</t>
        </is>
      </c>
      <c r="T1366" s="0" t="inlineStr">
        <is>
          <t>in_stock</t>
        </is>
      </c>
      <c r="U1366" s="0" t="n">
        <v>30</v>
      </c>
      <c r="V1366" s="52" t="n">
        <v>137.99</v>
      </c>
      <c r="W1366" s="0" t="inlineStr">
        <is>
          <t>2026-09-04</t>
        </is>
      </c>
      <c r="X1366" s="0" t="inlineStr">
        <is>
          <t>N/A</t>
        </is>
      </c>
      <c r="Y1366" s="0" t="inlineStr">
        <is>
          <t>N/A</t>
        </is>
      </c>
      <c r="Z1366" s="0" t="inlineStr">
        <is>
          <t>N/A</t>
        </is>
      </c>
      <c r="AA1366" s="0" t="inlineStr">
        <is>
          <t>N/A</t>
        </is>
      </c>
    </row>
    <row r="1367" ht="15.75" customHeight="1" s="51">
      <c r="A1367" s="47" t="inlineStr">
        <is>
          <t>URA-136-05</t>
        </is>
      </c>
      <c r="B1367" s="47" t="inlineStr">
        <is>
          <t>Urania</t>
        </is>
      </c>
      <c r="C1367" s="47" t="inlineStr">
        <is>
          <t>Computer Hardware</t>
        </is>
      </c>
      <c r="D1367" s="47" t="inlineStr">
        <is>
          <t>Keyboard</t>
        </is>
      </c>
      <c r="E1367" s="48" t="inlineStr">
        <is>
          <t>Urania Volt Air Mechanical Keyboard</t>
        </is>
      </c>
      <c r="F1367" s="49" t="n">
        <v>149.99</v>
      </c>
      <c r="G1367" s="47" t="inlineStr">
        <is>
          <t>the Volt Air; Urania Volt Air; Uraina Volt Air; Volt Air keyboard</t>
        </is>
      </c>
      <c r="H1367" s="47" t="inlineStr">
        <is>
          <t>2 year limited</t>
        </is>
      </c>
      <c r="I1367" s="47" t="inlineStr">
        <is>
          <t>FCC, CE, RoHS, Bluetooth SIG Qualified</t>
        </is>
      </c>
      <c r="J1367" s="47" t="inlineStr">
        <is>
          <t>N/A</t>
        </is>
      </c>
      <c r="K1367" s="47" t="inlineStr">
        <is>
          <t>N/A</t>
        </is>
      </c>
      <c r="L1367" s="47" t="inlineStr">
        <is>
          <t>N/A</t>
        </is>
      </c>
      <c r="M1367" s="47" t="inlineStr">
        <is>
          <t>N/A</t>
        </is>
      </c>
      <c r="N1367" s="47" t="inlineStr">
        <is>
          <t>USB-C, 2.4GHz dongle, Bluetooth 5.1</t>
        </is>
      </c>
      <c r="O1367" s="47" t="inlineStr">
        <is>
          <t>N/A</t>
        </is>
      </c>
      <c r="P1367" s="47" t="n">
        <v>391</v>
      </c>
      <c r="Q1367" s="50" t="n">
        <v>832</v>
      </c>
      <c r="R1367" s="47" t="inlineStr">
        <is>
          <t>Lighter than Dione Aeon Lite Mechanical Keyboard [DIO-128-03] (832 g vs 1,037 g); Lower price than Themis Onyx Pro Mechanical Keyboard [THE-145-05] ($149.99 vs $171.99)</t>
        </is>
      </c>
      <c r="S1367" s="47" t="inlineStr">
        <is>
          <t>gaming, typing, office</t>
        </is>
      </c>
      <c r="T1367" s="0" t="inlineStr">
        <is>
          <t>in_stock</t>
        </is>
      </c>
      <c r="U1367" s="0" t="n">
        <v>30</v>
      </c>
      <c r="V1367" s="52" t="n">
        <v>166.99</v>
      </c>
      <c r="W1367" s="0" t="inlineStr">
        <is>
          <t>2026-08-12</t>
        </is>
      </c>
      <c r="X1367" s="0" t="inlineStr">
        <is>
          <t>N/A</t>
        </is>
      </c>
      <c r="Y1367" s="0" t="inlineStr">
        <is>
          <t>N/A</t>
        </is>
      </c>
      <c r="Z1367" s="0" t="inlineStr">
        <is>
          <t>N/A</t>
        </is>
      </c>
      <c r="AA1367" s="0" t="inlineStr">
        <is>
          <t>N/A</t>
        </is>
      </c>
    </row>
    <row r="1368" ht="15.75" customHeight="1" s="51">
      <c r="A1368" s="47" t="inlineStr">
        <is>
          <t>URA-136-06</t>
        </is>
      </c>
      <c r="B1368" s="47" t="inlineStr">
        <is>
          <t>Urania</t>
        </is>
      </c>
      <c r="C1368" s="47" t="inlineStr">
        <is>
          <t>Computer Hardware</t>
        </is>
      </c>
      <c r="D1368" s="47" t="inlineStr">
        <is>
          <t>PC Case</t>
        </is>
      </c>
      <c r="E1368" s="48" t="inlineStr">
        <is>
          <t>Urania Arc X Mid-Tower PC Case</t>
        </is>
      </c>
      <c r="F1368" s="49" t="n">
        <v>158.99</v>
      </c>
      <c r="G1368" s="47" t="inlineStr">
        <is>
          <t>the Arc X; Urania Arc X; Urani Arc X; Arc X pc case</t>
        </is>
      </c>
      <c r="H1368" s="47" t="inlineStr">
        <is>
          <t>2 year limited</t>
        </is>
      </c>
      <c r="I1368" s="47" t="inlineStr">
        <is>
          <t>FCC, CE, RoHS, UL 94 V-0 (materials)</t>
        </is>
      </c>
      <c r="J1368" s="47" t="inlineStr">
        <is>
          <t>N/A</t>
        </is>
      </c>
      <c r="K1368" s="47" t="inlineStr">
        <is>
          <t>N/A</t>
        </is>
      </c>
      <c r="L1368" s="47" t="inlineStr">
        <is>
          <t>N/A</t>
        </is>
      </c>
      <c r="M1368" s="47" t="inlineStr">
        <is>
          <t>N/A</t>
        </is>
      </c>
      <c r="N1368" s="47" t="inlineStr">
        <is>
          <t>Front I/O: 1x USB-C 10Gbps, 2x USB-A 3.0, 3.5mm combo audio</t>
        </is>
      </c>
      <c r="O1368" s="47" t="inlineStr">
        <is>
          <t>N/A</t>
        </is>
      </c>
      <c r="P1368" s="47" t="inlineStr">
        <is>
          <t>N/A</t>
        </is>
      </c>
      <c r="Q1368" s="50" t="n">
        <v>7946</v>
      </c>
      <c r="R1368" s="47" t="inlineStr">
        <is>
          <t>Lighter than Nyx Strata Lite Mid-Tower PC Case [NYX-115-02] (7,946 g vs 8,441 g); Lower price than Apollo Crest SE Mid-Tower PC Case [APO-109-08] ($158.99 vs $216.99)</t>
        </is>
      </c>
      <c r="S1368" s="47" t="inlineStr">
        <is>
          <t>PC building, gaming</t>
        </is>
      </c>
      <c r="T1368" s="0" t="inlineStr">
        <is>
          <t>in_stock</t>
        </is>
      </c>
      <c r="U1368" s="0" t="n">
        <v>30</v>
      </c>
      <c r="V1368" s="52" t="n">
        <v>168.99</v>
      </c>
      <c r="W1368" s="0" t="inlineStr">
        <is>
          <t>2026-09-21</t>
        </is>
      </c>
      <c r="X1368" s="0" t="inlineStr">
        <is>
          <t>N/A</t>
        </is>
      </c>
      <c r="Y1368" s="0" t="inlineStr">
        <is>
          <t>N/A</t>
        </is>
      </c>
      <c r="Z1368" s="0" t="inlineStr">
        <is>
          <t>N/A</t>
        </is>
      </c>
      <c r="AA1368" s="0" t="inlineStr">
        <is>
          <t>N/A</t>
        </is>
      </c>
    </row>
    <row r="1369" ht="15.75" customHeight="1" s="51">
      <c r="A1369" s="47" t="inlineStr">
        <is>
          <t>URA-136-07</t>
        </is>
      </c>
      <c r="B1369" s="47" t="inlineStr">
        <is>
          <t>Urania</t>
        </is>
      </c>
      <c r="C1369" s="47" t="inlineStr">
        <is>
          <t>Computer Hardware</t>
        </is>
      </c>
      <c r="D1369" s="47" t="inlineStr">
        <is>
          <t>Storage</t>
        </is>
      </c>
      <c r="E1369" s="48" t="inlineStr">
        <is>
          <t>Urania Sable X 4TB External Hard Drive</t>
        </is>
      </c>
      <c r="F1369" s="49" t="n">
        <v>196.99</v>
      </c>
      <c r="G1369" s="47" t="inlineStr">
        <is>
          <t>the Sable X; Urania Sable X; Urannia Sable X; Sable X storage</t>
        </is>
      </c>
      <c r="H1369" s="47" t="inlineStr">
        <is>
          <t>2 year limited</t>
        </is>
      </c>
      <c r="I1369" s="47" t="inlineStr">
        <is>
          <t>FCC, CE, RoHS, USB-IF Certified</t>
        </is>
      </c>
      <c r="J1369" s="47" t="inlineStr">
        <is>
          <t>N/A</t>
        </is>
      </c>
      <c r="K1369" s="47" t="inlineStr">
        <is>
          <t>N/A</t>
        </is>
      </c>
      <c r="L1369" s="47" t="inlineStr">
        <is>
          <t>N/A</t>
        </is>
      </c>
      <c r="M1369" s="47" t="inlineStr">
        <is>
          <t>N/A</t>
        </is>
      </c>
      <c r="N1369" s="47" t="inlineStr">
        <is>
          <t>USB-C (USB 3.2 Gen 1)</t>
        </is>
      </c>
      <c r="O1369" s="47" t="inlineStr">
        <is>
          <t>N/A</t>
        </is>
      </c>
      <c r="P1369" s="47" t="inlineStr">
        <is>
          <t>N/A</t>
        </is>
      </c>
      <c r="Q1369" s="50" t="n">
        <v>224</v>
      </c>
      <c r="R1369" s="47" t="inlineStr">
        <is>
          <t>Lighter than Nike Rift Air 4TB External Hard Drive [NIK-132-07] (224 g vs 241 g); Lower price than Palaemon Arc Air 4TB External Hard Drive [PAL-127-06] ($196.99 vs $198.99)</t>
        </is>
      </c>
      <c r="S1369" s="47" t="inlineStr">
        <is>
          <t>backup, media storage</t>
        </is>
      </c>
      <c r="T1369" s="0" t="inlineStr">
        <is>
          <t>in_stock</t>
        </is>
      </c>
      <c r="U1369" s="0" t="n">
        <v>30</v>
      </c>
      <c r="V1369" s="52" t="n">
        <v>205.99</v>
      </c>
      <c r="W1369" s="0" t="inlineStr">
        <is>
          <t>2026-09-07</t>
        </is>
      </c>
      <c r="X1369" s="0" t="inlineStr">
        <is>
          <t>N/A</t>
        </is>
      </c>
      <c r="Y1369" s="0" t="inlineStr">
        <is>
          <t>N/A</t>
        </is>
      </c>
      <c r="Z1369" s="0" t="inlineStr">
        <is>
          <t>N/A</t>
        </is>
      </c>
      <c r="AA1369" s="0" t="inlineStr">
        <is>
          <t>N/A</t>
        </is>
      </c>
    </row>
    <row r="1370" ht="15.75" customHeight="1" s="51">
      <c r="A1370" s="47" t="inlineStr">
        <is>
          <t>URA-136-08</t>
        </is>
      </c>
      <c r="B1370" s="47" t="inlineStr">
        <is>
          <t>Urania</t>
        </is>
      </c>
      <c r="C1370" s="47" t="inlineStr">
        <is>
          <t>Computer Hardware</t>
        </is>
      </c>
      <c r="D1370" s="47" t="inlineStr">
        <is>
          <t>Motherboard</t>
        </is>
      </c>
      <c r="E1370" s="48" t="inlineStr">
        <is>
          <t>Urania Lumen X ATX Motherboard</t>
        </is>
      </c>
      <c r="F1370" s="49" t="n">
        <v>239.99</v>
      </c>
      <c r="G1370" s="47" t="inlineStr">
        <is>
          <t>the Lumen X; Urania Lumen X; Uraniaa Lumen X; Lumen X motherboard</t>
        </is>
      </c>
      <c r="H1370" s="47" t="inlineStr">
        <is>
          <t>3 year limited</t>
        </is>
      </c>
      <c r="I1370" s="47" t="inlineStr">
        <is>
          <t>FCC, CE, RoHS</t>
        </is>
      </c>
      <c r="J1370" s="47" t="inlineStr">
        <is>
          <t>Supports Intel Core 12th-14th Gen (LGA1700)</t>
        </is>
      </c>
      <c r="K1370" s="47" t="inlineStr">
        <is>
          <t>N/A</t>
        </is>
      </c>
      <c r="L1370" s="47" t="inlineStr">
        <is>
          <t>N/A</t>
        </is>
      </c>
      <c r="M1370" s="47" t="inlineStr">
        <is>
          <t>N/A</t>
        </is>
      </c>
      <c r="N1370" s="47" t="inlineStr">
        <is>
          <t>Rear I/O: 1x HDMI, 6x USB-A, 1x USB-C 10Gbps, 2.5GbE, Wi-Fi 6E</t>
        </is>
      </c>
      <c r="O1370" s="47" t="inlineStr">
        <is>
          <t>N/A</t>
        </is>
      </c>
      <c r="P1370" s="47" t="inlineStr">
        <is>
          <t>N/A</t>
        </is>
      </c>
      <c r="Q1370" s="50" t="n">
        <v>1469</v>
      </c>
      <c r="R1370" s="47" t="inlineStr">
        <is>
          <t>Lower price than Euterpe Aria Plus ATX Motherboard [EUT-120-08] ($239.99 vs $338.99); Lighter than Hermes Rift X ATX Motherboard [HER-103-08] (1,469 g vs 1,654 g)</t>
        </is>
      </c>
      <c r="S1370" s="47" t="inlineStr">
        <is>
          <t>PC building, gaming, workstation builds</t>
        </is>
      </c>
      <c r="T1370" s="0" t="inlineStr">
        <is>
          <t>in_stock</t>
        </is>
      </c>
      <c r="U1370" s="0" t="n">
        <v>30</v>
      </c>
      <c r="V1370" s="52" t="n">
        <v>271.99</v>
      </c>
      <c r="W1370" s="0" t="inlineStr">
        <is>
          <t>2026-09-12</t>
        </is>
      </c>
      <c r="X1370" s="0" t="inlineStr">
        <is>
          <t>N/A</t>
        </is>
      </c>
      <c r="Y1370" s="0" t="inlineStr">
        <is>
          <t>N/A</t>
        </is>
      </c>
      <c r="Z1370" s="0" t="inlineStr">
        <is>
          <t>N/A</t>
        </is>
      </c>
      <c r="AA1370" s="0" t="inlineStr">
        <is>
          <t>N/A</t>
        </is>
      </c>
    </row>
    <row r="1371" ht="15.75" customHeight="1" s="51">
      <c r="A1371" s="47" t="inlineStr">
        <is>
          <t>URA-136-09</t>
        </is>
      </c>
      <c r="B1371" s="47" t="inlineStr">
        <is>
          <t>Urania</t>
        </is>
      </c>
      <c r="C1371" s="47" t="inlineStr">
        <is>
          <t>Computer Hardware</t>
        </is>
      </c>
      <c r="D1371" s="47" t="inlineStr">
        <is>
          <t>Monitor</t>
        </is>
      </c>
      <c r="E1371" s="48" t="inlineStr">
        <is>
          <t>Urania Wave Air 27" 1440p Monitor</t>
        </is>
      </c>
      <c r="F1371" s="49" t="n">
        <v>548.99</v>
      </c>
      <c r="G1371" s="47" t="inlineStr">
        <is>
          <t>the Wave Air; Urania Wave Air; Urrania Wave Air; Wave Air monitor</t>
        </is>
      </c>
      <c r="H1371" s="47" t="inlineStr">
        <is>
          <t>3 year limited</t>
        </is>
      </c>
      <c r="I1371" s="47" t="inlineStr">
        <is>
          <t>FCC, CE, RoHS, Energy Star, TUV Rheinland Low Blue Light, VESA DisplayHDR True Black 400</t>
        </is>
      </c>
      <c r="J1371" s="47" t="inlineStr">
        <is>
          <t>N/A</t>
        </is>
      </c>
      <c r="K1371" s="47" t="inlineStr">
        <is>
          <t>N/A</t>
        </is>
      </c>
      <c r="L1371" s="47" t="inlineStr">
        <is>
          <t>Fast IPS, 240Hz</t>
        </is>
      </c>
      <c r="M1371" s="47" t="inlineStr">
        <is>
          <t>2560x1440</t>
        </is>
      </c>
      <c r="N1371" s="47" t="inlineStr">
        <is>
          <t>2x HDMI 2.1, 1x DisplayPort 1.4, USB-C 90W, USB hub</t>
        </is>
      </c>
      <c r="O1371" s="47" t="inlineStr">
        <is>
          <t>N/A</t>
        </is>
      </c>
      <c r="P1371" s="47" t="inlineStr">
        <is>
          <t>N/A</t>
        </is>
      </c>
      <c r="Q1371" s="50" t="n">
        <v>5863</v>
      </c>
      <c r="R1371" s="47" t="inlineStr">
        <is>
          <t>Lower price than Hyperion Arc Ultra 27" 1440p Monitor [HYP-123-10] ($548.99 vs $616.99); Lighter than Crius Vertex X 27" 1440p Monitor [CRI-139-10] (5,863 g vs 6,833 g)</t>
        </is>
      </c>
      <c r="S1371" s="47" t="inlineStr">
        <is>
          <t>gaming, office, content creation</t>
        </is>
      </c>
      <c r="T1371" s="0" t="inlineStr">
        <is>
          <t>in_stock</t>
        </is>
      </c>
      <c r="U1371" s="0" t="n">
        <v>30</v>
      </c>
      <c r="V1371" s="52" t="n">
        <v>568.99</v>
      </c>
      <c r="W1371" s="0" t="inlineStr">
        <is>
          <t>2026-09-07</t>
        </is>
      </c>
      <c r="X1371" s="0" t="inlineStr">
        <is>
          <t>N/A</t>
        </is>
      </c>
      <c r="Y1371" s="0" t="inlineStr">
        <is>
          <t>N/A</t>
        </is>
      </c>
      <c r="Z1371" s="0" t="inlineStr">
        <is>
          <t>N/A</t>
        </is>
      </c>
      <c r="AA1371" s="0" t="inlineStr">
        <is>
          <t>N/A</t>
        </is>
      </c>
    </row>
    <row r="1372" ht="15.75" customHeight="1" s="51">
      <c r="A1372" s="47" t="inlineStr">
        <is>
          <t>URA-136-10</t>
        </is>
      </c>
      <c r="B1372" s="47" t="inlineStr">
        <is>
          <t>Urania</t>
        </is>
      </c>
      <c r="C1372" s="47" t="inlineStr">
        <is>
          <t>Computer Hardware</t>
        </is>
      </c>
      <c r="D1372" s="47" t="inlineStr">
        <is>
          <t>Graphics Card</t>
        </is>
      </c>
      <c r="E1372" s="48" t="inlineStr">
        <is>
          <t>Urania Orbit Graphics Card</t>
        </is>
      </c>
      <c r="F1372" s="49" t="n">
        <v>1274.99</v>
      </c>
      <c r="G1372" s="47" t="inlineStr">
        <is>
          <t>the Orbit; Urania Orbit; Uarnia Orbit; Orbit graphics card</t>
        </is>
      </c>
      <c r="H1372" s="47" t="inlineStr">
        <is>
          <t>3 year limited</t>
        </is>
      </c>
      <c r="I1372" s="47" t="inlineStr">
        <is>
          <t>FCC, CE, RoHS</t>
        </is>
      </c>
      <c r="J1372" s="47" t="inlineStr">
        <is>
          <t>N/A</t>
        </is>
      </c>
      <c r="K1372" s="47" t="inlineStr">
        <is>
          <t>NVIDIA GeForce RTX 4090 24GB (Urania Orbit edition)</t>
        </is>
      </c>
      <c r="L1372" s="47" t="inlineStr">
        <is>
          <t>N/A</t>
        </is>
      </c>
      <c r="M1372" s="47" t="inlineStr">
        <is>
          <t>N/A</t>
        </is>
      </c>
      <c r="N1372" s="47" t="inlineStr">
        <is>
          <t>3x DisplayPort 1.4a, 1x HDMI 2.1a</t>
        </is>
      </c>
      <c r="O1372" s="47" t="inlineStr">
        <is>
          <t>N/A</t>
        </is>
      </c>
      <c r="P1372" s="47" t="inlineStr">
        <is>
          <t>N/A</t>
        </is>
      </c>
      <c r="Q1372" s="50" t="n">
        <v>908</v>
      </c>
      <c r="R1372" s="47" t="inlineStr">
        <is>
          <t>Lighter than Geras Flux Lite Graphics Card [GER-133-10] (908 g vs 1,196 g); Lower price than Apate Apex Graphics Card [APA-110-10] ($1,274.99 vs $1,673.99)</t>
        </is>
      </c>
      <c r="S1372" s="47" t="inlineStr">
        <is>
          <t>gaming, 3D rendering, AI workloads</t>
        </is>
      </c>
      <c r="T1372" s="0" t="inlineStr">
        <is>
          <t>in_stock</t>
        </is>
      </c>
      <c r="U1372" s="0" t="n">
        <v>30</v>
      </c>
      <c r="V1372" s="52" t="n">
        <v>1399.99</v>
      </c>
      <c r="W1372" s="0" t="inlineStr">
        <is>
          <t>2026-09-20</t>
        </is>
      </c>
      <c r="X1372" s="0" t="inlineStr">
        <is>
          <t>N/A</t>
        </is>
      </c>
      <c r="Y1372" s="0" t="inlineStr">
        <is>
          <t>N/A</t>
        </is>
      </c>
      <c r="Z1372" s="0" t="inlineStr">
        <is>
          <t>N/A</t>
        </is>
      </c>
      <c r="AA1372" s="0" t="inlineStr">
        <is>
          <t>N/A</t>
        </is>
      </c>
    </row>
    <row r="1373" ht="15.75" customHeight="1" s="51">
      <c r="A1373" s="47" t="inlineStr">
        <is>
          <t>ZEL-137-01</t>
        </is>
      </c>
      <c r="B1373" s="47" t="inlineStr">
        <is>
          <t>Zelus</t>
        </is>
      </c>
      <c r="C1373" s="47" t="inlineStr">
        <is>
          <t>Computer Hardware</t>
        </is>
      </c>
      <c r="D1373" s="47" t="inlineStr">
        <is>
          <t>Networking</t>
        </is>
      </c>
      <c r="E1373" s="48" t="inlineStr">
        <is>
          <t>Zelus Apex Pro Wi-Fi 7 PCIe Card</t>
        </is>
      </c>
      <c r="F1373" s="49" t="n">
        <v>43.99</v>
      </c>
      <c r="G1373" s="47" t="inlineStr">
        <is>
          <t>the Apex Pro; Zelus Apex Pro; Zeuls Apex Pro; Apex Pro networking</t>
        </is>
      </c>
      <c r="H1373" s="47" t="inlineStr">
        <is>
          <t>2 year limited</t>
        </is>
      </c>
      <c r="I1373" s="47" t="inlineStr">
        <is>
          <t>FCC, CE, RoHS, Wi-Fi CERTIFIED 7, Bluetooth SIG Qualified</t>
        </is>
      </c>
      <c r="J1373" s="47" t="inlineStr">
        <is>
          <t>Chipset: MediaTek MT7927</t>
        </is>
      </c>
      <c r="K1373" s="47" t="inlineStr">
        <is>
          <t>N/A</t>
        </is>
      </c>
      <c r="L1373" s="47" t="inlineStr">
        <is>
          <t>N/A</t>
        </is>
      </c>
      <c r="M1373" s="47" t="inlineStr">
        <is>
          <t>N/A</t>
        </is>
      </c>
      <c r="N1373" s="47" t="inlineStr">
        <is>
          <t>PCIe x1, internal USB 2.0 header (Bluetooth 5.4), 2x external antennas</t>
        </is>
      </c>
      <c r="O1373" s="47" t="inlineStr">
        <is>
          <t>N/A</t>
        </is>
      </c>
      <c r="P1373" s="47" t="inlineStr">
        <is>
          <t>N/A</t>
        </is>
      </c>
      <c r="Q1373" s="50" t="n">
        <v>69</v>
      </c>
      <c r="R1373" s="47" t="inlineStr">
        <is>
          <t>Lighter than Aidos Quanta Air Wi-Fi 7 PCIe Card [AID-135-01] (69 g vs 102 g); Lower price than Apollo Core SE Wi-Fi 7 PCIe Card [APO-109-02] ($43.99 vs $90.99)</t>
        </is>
      </c>
      <c r="S1373" s="47" t="inlineStr">
        <is>
          <t>gaming, streaming, PC building</t>
        </is>
      </c>
      <c r="T1373" s="0" t="inlineStr">
        <is>
          <t>in_stock</t>
        </is>
      </c>
      <c r="U1373" s="0" t="n">
        <v>30</v>
      </c>
      <c r="V1373" s="52" t="n">
        <v>47.99</v>
      </c>
      <c r="W1373" s="0" t="inlineStr">
        <is>
          <t>2026-09-21</t>
        </is>
      </c>
      <c r="X1373" s="0" t="inlineStr">
        <is>
          <t>N/A</t>
        </is>
      </c>
      <c r="Y1373" s="0" t="inlineStr">
        <is>
          <t>N/A</t>
        </is>
      </c>
      <c r="Z1373" s="0" t="inlineStr">
        <is>
          <t>N/A</t>
        </is>
      </c>
      <c r="AA1373" s="0" t="inlineStr">
        <is>
          <t>N/A</t>
        </is>
      </c>
    </row>
    <row r="1374" ht="15.75" customHeight="1" s="51">
      <c r="A1374" s="47" t="inlineStr">
        <is>
          <t>ZEL-137-02</t>
        </is>
      </c>
      <c r="B1374" s="47" t="inlineStr">
        <is>
          <t>Zelus</t>
        </is>
      </c>
      <c r="C1374" s="47" t="inlineStr">
        <is>
          <t>Computer Hardware</t>
        </is>
      </c>
      <c r="D1374" s="47" t="inlineStr">
        <is>
          <t>Storage</t>
        </is>
      </c>
      <c r="E1374" s="48" t="inlineStr">
        <is>
          <t>Zelus Echo Plus 4TB External Hard Drive</t>
        </is>
      </c>
      <c r="F1374" s="49" t="n">
        <v>93.98999999999999</v>
      </c>
      <c r="G1374" s="47" t="inlineStr">
        <is>
          <t>the Echo Plus; Zelus Echo Plus; Zleus Echo Plus; Echo Plus storage</t>
        </is>
      </c>
      <c r="H1374" s="47" t="inlineStr">
        <is>
          <t>2 year limited</t>
        </is>
      </c>
      <c r="I1374" s="47" t="inlineStr">
        <is>
          <t>FCC, CE, RoHS, USB-IF Certified</t>
        </is>
      </c>
      <c r="J1374" s="47" t="inlineStr">
        <is>
          <t>N/A</t>
        </is>
      </c>
      <c r="K1374" s="47" t="inlineStr">
        <is>
          <t>N/A</t>
        </is>
      </c>
      <c r="L1374" s="47" t="inlineStr">
        <is>
          <t>N/A</t>
        </is>
      </c>
      <c r="M1374" s="47" t="inlineStr">
        <is>
          <t>N/A</t>
        </is>
      </c>
      <c r="N1374" s="47" t="inlineStr">
        <is>
          <t>USB-C (USB 3.2 Gen 1)</t>
        </is>
      </c>
      <c r="O1374" s="47" t="inlineStr">
        <is>
          <t>N/A</t>
        </is>
      </c>
      <c r="P1374" s="47" t="inlineStr">
        <is>
          <t>N/A</t>
        </is>
      </c>
      <c r="Q1374" s="50" t="n">
        <v>238</v>
      </c>
      <c r="R1374" s="47" t="inlineStr">
        <is>
          <t>Lower price than Aidos Orbit 4TB External Hard Drive [AID-135-05] ($93.99 vs $196.99); Lighter than Geras Strata Air 4TB External Hard Drive [GER-133-07] (238 g vs 249 g)</t>
        </is>
      </c>
      <c r="S1374" s="47" t="inlineStr">
        <is>
          <t>backup, media storage</t>
        </is>
      </c>
      <c r="T1374" s="0" t="inlineStr">
        <is>
          <t>in_stock</t>
        </is>
      </c>
      <c r="U1374" s="0" t="n">
        <v>30</v>
      </c>
      <c r="V1374" s="52" t="n">
        <v>99.98999999999999</v>
      </c>
      <c r="W1374" s="0" t="inlineStr">
        <is>
          <t>2026-09-12</t>
        </is>
      </c>
      <c r="X1374" s="0" t="inlineStr">
        <is>
          <t>N/A</t>
        </is>
      </c>
      <c r="Y1374" s="0" t="inlineStr">
        <is>
          <t>N/A</t>
        </is>
      </c>
      <c r="Z1374" s="0" t="inlineStr">
        <is>
          <t>N/A</t>
        </is>
      </c>
      <c r="AA1374" s="0" t="inlineStr">
        <is>
          <t>N/A</t>
        </is>
      </c>
    </row>
    <row r="1375" ht="15.75" customHeight="1" s="51">
      <c r="A1375" s="47" t="inlineStr">
        <is>
          <t>ZEL-137-03</t>
        </is>
      </c>
      <c r="B1375" s="47" t="inlineStr">
        <is>
          <t>Zelus</t>
        </is>
      </c>
      <c r="C1375" s="47" t="inlineStr">
        <is>
          <t>Computer Hardware</t>
        </is>
      </c>
      <c r="D1375" s="47" t="inlineStr">
        <is>
          <t>Cooling</t>
        </is>
      </c>
      <c r="E1375" s="48" t="inlineStr">
        <is>
          <t>Zelus Axis Air 360mm AIO CPU Cooler</t>
        </is>
      </c>
      <c r="F1375" s="49" t="n">
        <v>114.99</v>
      </c>
      <c r="G1375" s="47" t="inlineStr">
        <is>
          <t>the Axis Air; Zelus Axis Air; Zelos Axis Air; Axis Air cooling</t>
        </is>
      </c>
      <c r="H1375" s="47" t="inlineStr">
        <is>
          <t>5 year limited</t>
        </is>
      </c>
      <c r="I1375" s="47" t="inlineStr">
        <is>
          <t>FCC, CE, RoHS</t>
        </is>
      </c>
      <c r="J1375" s="47" t="inlineStr">
        <is>
          <t>N/A</t>
        </is>
      </c>
      <c r="K1375" s="47" t="inlineStr">
        <is>
          <t>N/A</t>
        </is>
      </c>
      <c r="L1375" s="47" t="inlineStr">
        <is>
          <t>N/A</t>
        </is>
      </c>
      <c r="M1375" s="47" t="inlineStr">
        <is>
          <t>N/A</t>
        </is>
      </c>
      <c r="N1375" s="47" t="inlineStr">
        <is>
          <t>3x 4-pin PWM fans, 3-pin pump header, ARGB 5V; LGA1700/LGA1851/AM5 mounts</t>
        </is>
      </c>
      <c r="O1375" s="47" t="inlineStr">
        <is>
          <t>N/A</t>
        </is>
      </c>
      <c r="P1375" s="47" t="inlineStr">
        <is>
          <t>N/A</t>
        </is>
      </c>
      <c r="Q1375" s="50" t="n">
        <v>1510</v>
      </c>
      <c r="R1375" s="47" t="inlineStr">
        <is>
          <t>Lower price than Apate Aria Ultra 360mm AIO CPU Cooler [APA-110-05] ($114.99 vs $159.99); Lighter than Kratos Echo Air 360mm AIO CPU Cooler [KRA-147-04] (1,510 g vs 1,565 g)</t>
        </is>
      </c>
      <c r="S1375" s="47" t="inlineStr">
        <is>
          <t>overclocking, gaming, quiet builds</t>
        </is>
      </c>
      <c r="T1375" s="0" t="inlineStr">
        <is>
          <t>in_stock</t>
        </is>
      </c>
      <c r="U1375" s="0" t="n">
        <v>30</v>
      </c>
      <c r="V1375" s="52" t="n">
        <v>119.99</v>
      </c>
      <c r="W1375" s="0" t="inlineStr">
        <is>
          <t>2026-08-12</t>
        </is>
      </c>
      <c r="X1375" s="0" t="inlineStr">
        <is>
          <t>N/A</t>
        </is>
      </c>
      <c r="Y1375" s="0" t="inlineStr">
        <is>
          <t>N/A</t>
        </is>
      </c>
      <c r="Z1375" s="0" t="inlineStr">
        <is>
          <t>N/A</t>
        </is>
      </c>
      <c r="AA1375" s="0" t="inlineStr">
        <is>
          <t>N/A</t>
        </is>
      </c>
    </row>
    <row r="1376" ht="15.75" customHeight="1" s="51">
      <c r="A1376" s="47" t="inlineStr">
        <is>
          <t>ZEL-137-04</t>
        </is>
      </c>
      <c r="B1376" s="47" t="inlineStr">
        <is>
          <t>Zelus</t>
        </is>
      </c>
      <c r="C1376" s="47" t="inlineStr">
        <is>
          <t>Computer Hardware</t>
        </is>
      </c>
      <c r="D1376" s="47" t="inlineStr">
        <is>
          <t>Mouse</t>
        </is>
      </c>
      <c r="E1376" s="48" t="inlineStr">
        <is>
          <t>Zelus Core SE Gaming Mouse</t>
        </is>
      </c>
      <c r="F1376" s="49" t="n">
        <v>150.99</v>
      </c>
      <c r="G1376" s="47" t="inlineStr">
        <is>
          <t>the Core SE; Zelus Core SE; Zeelus Core SE; Core SE mouse</t>
        </is>
      </c>
      <c r="H1376" s="47" t="inlineStr">
        <is>
          <t>2 year limited</t>
        </is>
      </c>
      <c r="I1376" s="47" t="inlineStr">
        <is>
          <t>FCC, CE, RoHS, Bluetooth SIG Qualified</t>
        </is>
      </c>
      <c r="J1376" s="47" t="inlineStr">
        <is>
          <t>Sensor: 36K DPI optical</t>
        </is>
      </c>
      <c r="K1376" s="47" t="inlineStr">
        <is>
          <t>N/A</t>
        </is>
      </c>
      <c r="L1376" s="47" t="inlineStr">
        <is>
          <t>N/A</t>
        </is>
      </c>
      <c r="M1376" s="47" t="inlineStr">
        <is>
          <t>N/A</t>
        </is>
      </c>
      <c r="N1376" s="47" t="inlineStr">
        <is>
          <t>USB-C, 2.4GHz dongle, Bluetooth 5.1</t>
        </is>
      </c>
      <c r="O1376" s="47" t="inlineStr">
        <is>
          <t>N/A</t>
        </is>
      </c>
      <c r="P1376" s="47" t="n">
        <v>113</v>
      </c>
      <c r="Q1376" s="50" t="n">
        <v>71</v>
      </c>
      <c r="R1376" s="47" t="inlineStr">
        <is>
          <t>Lighter than Gaia Axis X Gaming Mouse [GAI-125-01] (71 g vs 84 g); Longer battery than Eurybia Pulse Max Gaming Mouse [EUR-104-03] (113 vs 94 hrs)</t>
        </is>
      </c>
      <c r="S1376" s="47" t="inlineStr">
        <is>
          <t>gaming, esports</t>
        </is>
      </c>
      <c r="T1376" s="0" t="inlineStr">
        <is>
          <t>in_stock</t>
        </is>
      </c>
      <c r="U1376" s="0" t="n">
        <v>30</v>
      </c>
      <c r="V1376" s="52" t="n">
        <v>165.99</v>
      </c>
      <c r="W1376" s="0" t="inlineStr">
        <is>
          <t>2026-08-15</t>
        </is>
      </c>
      <c r="X1376" s="0" t="inlineStr">
        <is>
          <t>N/A</t>
        </is>
      </c>
      <c r="Y1376" s="0" t="inlineStr">
        <is>
          <t>N/A</t>
        </is>
      </c>
      <c r="Z1376" s="0" t="inlineStr">
        <is>
          <t>N/A</t>
        </is>
      </c>
      <c r="AA1376" s="0" t="inlineStr">
        <is>
          <t>N/A</t>
        </is>
      </c>
    </row>
    <row r="1377" ht="15.75" customHeight="1" s="51">
      <c r="A1377" s="47" t="inlineStr">
        <is>
          <t>ZEL-137-05</t>
        </is>
      </c>
      <c r="B1377" s="47" t="inlineStr">
        <is>
          <t>Zelus</t>
        </is>
      </c>
      <c r="C1377" s="47" t="inlineStr">
        <is>
          <t>Computer Hardware</t>
        </is>
      </c>
      <c r="D1377" s="47" t="inlineStr">
        <is>
          <t>Memory</t>
        </is>
      </c>
      <c r="E1377" s="48" t="inlineStr">
        <is>
          <t>Zelus Spark Ultra 32GB DDR5 RAM Kit</t>
        </is>
      </c>
      <c r="F1377" s="49" t="n">
        <v>177.99</v>
      </c>
      <c r="G1377" s="47" t="inlineStr">
        <is>
          <t>the Spark Ultra; Zelus Spark Ultra; Zeluus Spark Ultra; Spark Ultra memory</t>
        </is>
      </c>
      <c r="H1377" s="47" t="inlineStr">
        <is>
          <t>Limited lifetime</t>
        </is>
      </c>
      <c r="I1377" s="47" t="inlineStr">
        <is>
          <t>FCC, CE, RoHS</t>
        </is>
      </c>
      <c r="J1377" s="47" t="inlineStr">
        <is>
          <t>N/A</t>
        </is>
      </c>
      <c r="K1377" s="47" t="inlineStr">
        <is>
          <t>N/A</t>
        </is>
      </c>
      <c r="L1377" s="47" t="inlineStr">
        <is>
          <t>N/A</t>
        </is>
      </c>
      <c r="M1377" s="47" t="inlineStr">
        <is>
          <t>N/A</t>
        </is>
      </c>
      <c r="N1377" s="47" t="inlineStr">
        <is>
          <t>2x 16GB DDR5 288-pin DIMM, 6000 MT/s</t>
        </is>
      </c>
      <c r="O1377" s="47" t="inlineStr">
        <is>
          <t>N/A</t>
        </is>
      </c>
      <c r="P1377" s="47" t="inlineStr">
        <is>
          <t>N/A</t>
        </is>
      </c>
      <c r="Q1377" s="50" t="n">
        <v>81</v>
      </c>
      <c r="R1377" s="47" t="inlineStr">
        <is>
          <t>Lower price than Nyx Crest 32GB DDR5 RAM Kit [NYX-115-06] ($177.99 vs $226.99); Lighter than Eucleia Volt 32GB DDR5 RAM Kit [EUC-124-08] (81 g vs 90 g)</t>
        </is>
      </c>
      <c r="S1377" s="47" t="inlineStr">
        <is>
          <t>gaming, multitasking, PC building</t>
        </is>
      </c>
      <c r="T1377" s="0" t="inlineStr">
        <is>
          <t>low_stock</t>
        </is>
      </c>
      <c r="U1377" s="0" t="n">
        <v>30</v>
      </c>
      <c r="V1377" s="52" t="n">
        <v>183.99</v>
      </c>
      <c r="W1377" s="0" t="inlineStr">
        <is>
          <t>2026-09-22</t>
        </is>
      </c>
      <c r="X1377" s="0" t="inlineStr">
        <is>
          <t>N/A</t>
        </is>
      </c>
      <c r="Y1377" s="0" t="inlineStr">
        <is>
          <t>N/A</t>
        </is>
      </c>
      <c r="Z1377" s="0" t="inlineStr">
        <is>
          <t>N/A</t>
        </is>
      </c>
      <c r="AA1377" s="0" t="inlineStr">
        <is>
          <t>N/A</t>
        </is>
      </c>
    </row>
    <row r="1378" ht="15.75" customHeight="1" s="51">
      <c r="A1378" s="47" t="inlineStr">
        <is>
          <t>ZEL-137-06</t>
        </is>
      </c>
      <c r="B1378" s="47" t="inlineStr">
        <is>
          <t>Zelus</t>
        </is>
      </c>
      <c r="C1378" s="47" t="inlineStr">
        <is>
          <t>Computer Hardware</t>
        </is>
      </c>
      <c r="D1378" s="47" t="inlineStr">
        <is>
          <t>Power Supply</t>
        </is>
      </c>
      <c r="E1378" s="48" t="inlineStr">
        <is>
          <t>Zelus Lumen 850W Power Supply</t>
        </is>
      </c>
      <c r="F1378" s="49" t="n">
        <v>181.99</v>
      </c>
      <c r="G1378" s="47" t="inlineStr">
        <is>
          <t>the Lumen; Zelus Lumen; Zellus Lumen; Lumen power supply</t>
        </is>
      </c>
      <c r="H1378" s="47" t="inlineStr">
        <is>
          <t>7 year limited</t>
        </is>
      </c>
      <c r="I1378" s="47" t="inlineStr">
        <is>
          <t>FCC, CE, RoHS, 80 PLUS Platinum, UL Listed</t>
        </is>
      </c>
      <c r="J1378" s="47" t="inlineStr">
        <is>
          <t>N/A</t>
        </is>
      </c>
      <c r="K1378" s="47" t="inlineStr">
        <is>
          <t>N/A</t>
        </is>
      </c>
      <c r="L1378" s="47" t="inlineStr">
        <is>
          <t>N/A</t>
        </is>
      </c>
      <c r="M1378" s="47" t="inlineStr">
        <is>
          <t>N/A</t>
        </is>
      </c>
      <c r="N1378" s="47" t="inlineStr">
        <is>
          <t>ATX 3.1, native 12V-2x6 (600W) connector, fully modular</t>
        </is>
      </c>
      <c r="O1378" s="47" t="inlineStr">
        <is>
          <t>N/A</t>
        </is>
      </c>
      <c r="P1378" s="47" t="inlineStr">
        <is>
          <t>N/A</t>
        </is>
      </c>
      <c r="Q1378" s="50" t="n">
        <v>2237</v>
      </c>
      <c r="R1378" s="47" t="inlineStr">
        <is>
          <t>Lower price than Nyx Quanta Pro 850W Power Supply [NYX-115-05] ($181.99 vs $208.99)</t>
        </is>
      </c>
      <c r="S1378" s="47" t="inlineStr">
        <is>
          <t>PC building, high-end gaming</t>
        </is>
      </c>
      <c r="T1378" s="0" t="inlineStr">
        <is>
          <t>in_stock</t>
        </is>
      </c>
      <c r="U1378" s="0" t="n">
        <v>30</v>
      </c>
      <c r="V1378" s="52" t="n">
        <v>204.99</v>
      </c>
      <c r="W1378" s="0" t="inlineStr">
        <is>
          <t>2026-08-07</t>
        </is>
      </c>
      <c r="X1378" s="0" t="inlineStr">
        <is>
          <t>N/A</t>
        </is>
      </c>
      <c r="Y1378" s="0" t="inlineStr">
        <is>
          <t>N/A</t>
        </is>
      </c>
      <c r="Z1378" s="0" t="inlineStr">
        <is>
          <t>N/A</t>
        </is>
      </c>
      <c r="AA1378" s="0" t="inlineStr">
        <is>
          <t>N/A</t>
        </is>
      </c>
    </row>
    <row r="1379" ht="15.75" customHeight="1" s="51">
      <c r="A1379" s="47" t="inlineStr">
        <is>
          <t>ZEL-137-07</t>
        </is>
      </c>
      <c r="B1379" s="47" t="inlineStr">
        <is>
          <t>Zelus</t>
        </is>
      </c>
      <c r="C1379" s="47" t="inlineStr">
        <is>
          <t>Computer Hardware</t>
        </is>
      </c>
      <c r="D1379" s="47" t="inlineStr">
        <is>
          <t>Storage</t>
        </is>
      </c>
      <c r="E1379" s="48" t="inlineStr">
        <is>
          <t>Zelus Drift SE 2TB NVMe SSD</t>
        </is>
      </c>
      <c r="F1379" s="49" t="n">
        <v>194.99</v>
      </c>
      <c r="G1379" s="47" t="inlineStr">
        <is>
          <t>the Drift SE; Zelus Drift SE; Zellus Drift SE; Drift SE storage</t>
        </is>
      </c>
      <c r="H1379" s="47" t="inlineStr">
        <is>
          <t>5 year limited</t>
        </is>
      </c>
      <c r="I1379" s="47" t="inlineStr">
        <is>
          <t>FCC, CE, RoHS</t>
        </is>
      </c>
      <c r="J1379" s="47" t="inlineStr">
        <is>
          <t>Controller: Phison E27T</t>
        </is>
      </c>
      <c r="K1379" s="47" t="inlineStr">
        <is>
          <t>N/A</t>
        </is>
      </c>
      <c r="L1379" s="47" t="inlineStr">
        <is>
          <t>N/A</t>
        </is>
      </c>
      <c r="M1379" s="47" t="inlineStr">
        <is>
          <t>N/A</t>
        </is>
      </c>
      <c r="N1379" s="47" t="inlineStr">
        <is>
          <t>M.2 2280, PCIe 4.0 x4 NVMe</t>
        </is>
      </c>
      <c r="O1379" s="47" t="inlineStr">
        <is>
          <t>N/A</t>
        </is>
      </c>
      <c r="P1379" s="47" t="inlineStr">
        <is>
          <t>N/A</t>
        </is>
      </c>
      <c r="Q1379" s="50" t="n">
        <v>9</v>
      </c>
      <c r="R1379" s="47" t="inlineStr">
        <is>
          <t>Lighter than Enyo Prism 2TB NVMe SSD [ENY-114-03] (9 g vs 29 g); Lower price than Pheme Flux Air 2TB NVMe SSD [PHE-102-08] ($194.99 vs $296.99)</t>
        </is>
      </c>
      <c r="S1379" s="47" t="inlineStr">
        <is>
          <t>gaming, fast boot, content creation</t>
        </is>
      </c>
      <c r="T1379" s="0" t="inlineStr">
        <is>
          <t>low_stock</t>
        </is>
      </c>
      <c r="U1379" s="0" t="n">
        <v>30</v>
      </c>
      <c r="V1379" s="52" t="n">
        <v>203.99</v>
      </c>
      <c r="W1379" s="0" t="inlineStr">
        <is>
          <t>2026-08-05</t>
        </is>
      </c>
      <c r="X1379" s="0" t="inlineStr">
        <is>
          <t>N/A</t>
        </is>
      </c>
      <c r="Y1379" s="0" t="inlineStr">
        <is>
          <t>N/A</t>
        </is>
      </c>
      <c r="Z1379" s="0" t="inlineStr">
        <is>
          <t>N/A</t>
        </is>
      </c>
      <c r="AA1379" s="0" t="inlineStr">
        <is>
          <t>N/A</t>
        </is>
      </c>
    </row>
    <row r="1380" ht="15.75" customHeight="1" s="51">
      <c r="A1380" s="47" t="inlineStr">
        <is>
          <t>ZEL-137-08</t>
        </is>
      </c>
      <c r="B1380" s="47" t="inlineStr">
        <is>
          <t>Zelus</t>
        </is>
      </c>
      <c r="C1380" s="47" t="inlineStr">
        <is>
          <t>Computer Hardware</t>
        </is>
      </c>
      <c r="D1380" s="47" t="inlineStr">
        <is>
          <t>Docking Station</t>
        </is>
      </c>
      <c r="E1380" s="48" t="inlineStr">
        <is>
          <t>Zelus Aria Max USB-C Docking Station</t>
        </is>
      </c>
      <c r="F1380" s="49" t="n">
        <v>218.99</v>
      </c>
      <c r="G1380" s="47" t="inlineStr">
        <is>
          <t>the Aria Max; Zelus Aria Max; Zelos Aria Max; Aria Max docking station</t>
        </is>
      </c>
      <c r="H1380" s="47" t="inlineStr">
        <is>
          <t>2 year limited</t>
        </is>
      </c>
      <c r="I1380" s="47" t="inlineStr">
        <is>
          <t>FCC, CE, RoHS, USB-IF Certified, UL Listed</t>
        </is>
      </c>
      <c r="J1380" s="47" t="inlineStr">
        <is>
          <t>N/A</t>
        </is>
      </c>
      <c r="K1380" s="47" t="inlineStr">
        <is>
          <t>N/A</t>
        </is>
      </c>
      <c r="L1380" s="47" t="inlineStr">
        <is>
          <t>N/A</t>
        </is>
      </c>
      <c r="M1380" s="47" t="inlineStr">
        <is>
          <t>N/A</t>
        </is>
      </c>
      <c r="N1380" s="47" t="inlineStr">
        <is>
          <t>2x HDMI 2.0, 1x DisplayPort 1.4, 3x USB-A 3.2, 2x USB-C, 2.5GbE, SD card, 100W PD</t>
        </is>
      </c>
      <c r="O1380" s="47" t="inlineStr">
        <is>
          <t>N/A</t>
        </is>
      </c>
      <c r="P1380" s="47" t="inlineStr">
        <is>
          <t>N/A</t>
        </is>
      </c>
      <c r="Q1380" s="50" t="n">
        <v>308</v>
      </c>
      <c r="R1380" s="47" t="inlineStr">
        <is>
          <t>Lower price than Aphrodite Volt X USB-C Docking Station [APH-141-09] ($218.99 vs $273.99); Lighter than Hymenaeus Sable X USB-C Docking Station [HYM-121-06] (308 g vs 348 g)</t>
        </is>
      </c>
      <c r="S1380" s="47" t="inlineStr">
        <is>
          <t>office, remote work, multi-monitor</t>
        </is>
      </c>
      <c r="T1380" s="0" t="inlineStr">
        <is>
          <t>in_stock</t>
        </is>
      </c>
      <c r="U1380" s="0" t="n">
        <v>30</v>
      </c>
      <c r="V1380" s="52" t="n">
        <v>235.99</v>
      </c>
      <c r="W1380" s="0" t="inlineStr">
        <is>
          <t>2026-09-02</t>
        </is>
      </c>
      <c r="X1380" s="0" t="inlineStr">
        <is>
          <t>N/A</t>
        </is>
      </c>
      <c r="Y1380" s="0" t="inlineStr">
        <is>
          <t>N/A</t>
        </is>
      </c>
      <c r="Z1380" s="0" t="inlineStr">
        <is>
          <t>N/A</t>
        </is>
      </c>
      <c r="AA1380" s="0" t="inlineStr">
        <is>
          <t>N/A</t>
        </is>
      </c>
    </row>
    <row r="1381" ht="15.75" customHeight="1" s="51">
      <c r="A1381" s="47" t="inlineStr">
        <is>
          <t>ZEL-137-09</t>
        </is>
      </c>
      <c r="B1381" s="47" t="inlineStr">
        <is>
          <t>Zelus</t>
        </is>
      </c>
      <c r="C1381" s="47" t="inlineStr">
        <is>
          <t>Computer Hardware</t>
        </is>
      </c>
      <c r="D1381" s="47" t="inlineStr">
        <is>
          <t>Processor</t>
        </is>
      </c>
      <c r="E1381" s="48" t="inlineStr">
        <is>
          <t>Zelus Lumen Lite Desktop CPU</t>
        </is>
      </c>
      <c r="F1381" s="49" t="n">
        <v>685.99</v>
      </c>
      <c r="G1381" s="47" t="inlineStr">
        <is>
          <t>the Lumen Lite; Zelus Lumen Lite; Zelu Lumen Lite; Lumen Lite processor</t>
        </is>
      </c>
      <c r="H1381" s="47" t="inlineStr">
        <is>
          <t>3 year limited</t>
        </is>
      </c>
      <c r="I1381" s="47" t="inlineStr">
        <is>
          <t>FCC, CE, RoHS</t>
        </is>
      </c>
      <c r="J1381" s="47" t="inlineStr">
        <is>
          <t>Zelus Lumen 24-core / 48-thread, up to 5.8 GHz</t>
        </is>
      </c>
      <c r="K1381" s="47" t="inlineStr">
        <is>
          <t>Integrated graphics</t>
        </is>
      </c>
      <c r="L1381" s="47" t="inlineStr">
        <is>
          <t>N/A</t>
        </is>
      </c>
      <c r="M1381" s="47" t="inlineStr">
        <is>
          <t>N/A</t>
        </is>
      </c>
      <c r="N1381" s="47" t="inlineStr">
        <is>
          <t>N/A</t>
        </is>
      </c>
      <c r="O1381" s="47" t="inlineStr">
        <is>
          <t>N/A</t>
        </is>
      </c>
      <c r="P1381" s="47" t="inlineStr">
        <is>
          <t>N/A</t>
        </is>
      </c>
      <c r="Q1381" s="50" t="n">
        <v>41</v>
      </c>
      <c r="R1381" s="47" t="inlineStr">
        <is>
          <t>Lighter than Ceto Pulse Ultra Desktop CPU [CET-131-09] (41 g vs 59 g); Lower price than Eos Volt Plus Desktop CPU [EOS-111-09] ($685.99 vs $692.99)</t>
        </is>
      </c>
      <c r="S1381" s="47" t="inlineStr">
        <is>
          <t>gaming, content creation, workstation builds</t>
        </is>
      </c>
      <c r="T1381" s="0" t="inlineStr">
        <is>
          <t>low_stock</t>
        </is>
      </c>
      <c r="U1381" s="0" t="n">
        <v>30</v>
      </c>
      <c r="V1381" s="52" t="n">
        <v>712.99</v>
      </c>
      <c r="W1381" s="0" t="inlineStr">
        <is>
          <t>2026-08-30</t>
        </is>
      </c>
      <c r="X1381" s="0" t="inlineStr">
        <is>
          <t>N/A</t>
        </is>
      </c>
      <c r="Y1381" s="0" t="inlineStr">
        <is>
          <t>N/A</t>
        </is>
      </c>
      <c r="Z1381" s="0" t="inlineStr">
        <is>
          <t>N/A</t>
        </is>
      </c>
      <c r="AA1381" s="0" t="inlineStr">
        <is>
          <t>N/A</t>
        </is>
      </c>
    </row>
    <row r="1382" ht="15.75" customHeight="1" s="51">
      <c r="A1382" s="47" t="inlineStr">
        <is>
          <t>ZEL-137-10</t>
        </is>
      </c>
      <c r="B1382" s="47" t="inlineStr">
        <is>
          <t>Zelus</t>
        </is>
      </c>
      <c r="C1382" s="47" t="inlineStr">
        <is>
          <t>Computer Hardware</t>
        </is>
      </c>
      <c r="D1382" s="47" t="inlineStr">
        <is>
          <t>Graphics Card</t>
        </is>
      </c>
      <c r="E1382" s="48" t="inlineStr">
        <is>
          <t>Zelus Rift Plus Graphics Card</t>
        </is>
      </c>
      <c r="F1382" s="49" t="n">
        <v>1308.99</v>
      </c>
      <c r="G1382" s="47" t="inlineStr">
        <is>
          <t>the Rift Plus; Zelus Rift Plus; Zleus Rift Plus; Rift Plus graphics card</t>
        </is>
      </c>
      <c r="H1382" s="47" t="inlineStr">
        <is>
          <t>3 year limited</t>
        </is>
      </c>
      <c r="I1382" s="47" t="inlineStr">
        <is>
          <t>FCC, CE, RoHS</t>
        </is>
      </c>
      <c r="J1382" s="47" t="inlineStr">
        <is>
          <t>N/A</t>
        </is>
      </c>
      <c r="K1382" s="47" t="inlineStr">
        <is>
          <t>NVIDIA GeForce RTX 4090 24GB (Zelus Rift edition)</t>
        </is>
      </c>
      <c r="L1382" s="47" t="inlineStr">
        <is>
          <t>N/A</t>
        </is>
      </c>
      <c r="M1382" s="47" t="inlineStr">
        <is>
          <t>N/A</t>
        </is>
      </c>
      <c r="N1382" s="47" t="inlineStr">
        <is>
          <t>3x DisplayPort 1.4a, 1x HDMI 2.1a</t>
        </is>
      </c>
      <c r="O1382" s="47" t="inlineStr">
        <is>
          <t>N/A</t>
        </is>
      </c>
      <c r="P1382" s="47" t="inlineStr">
        <is>
          <t>N/A</t>
        </is>
      </c>
      <c r="Q1382" s="50" t="n">
        <v>1360</v>
      </c>
      <c r="R1382" s="47" t="inlineStr">
        <is>
          <t>Lighter than Palaemon Sable Lite Graphics Card [PAL-127-10] (1,360 g vs 1,945 g); Lower price than Perses Arc Max Graphics Card [PER-101-10] ($1,308.99 vs $1,593.99)</t>
        </is>
      </c>
      <c r="S1382" s="47" t="inlineStr">
        <is>
          <t>gaming, 3D rendering, AI workloads</t>
        </is>
      </c>
      <c r="T1382" s="0" t="inlineStr">
        <is>
          <t>in_stock</t>
        </is>
      </c>
      <c r="U1382" s="0" t="n">
        <v>30</v>
      </c>
      <c r="V1382" s="52" t="n">
        <v>1374.99</v>
      </c>
      <c r="W1382" s="0" t="inlineStr">
        <is>
          <t>2026-09-08</t>
        </is>
      </c>
      <c r="X1382" s="0" t="inlineStr">
        <is>
          <t>N/A</t>
        </is>
      </c>
      <c r="Y1382" s="0" t="inlineStr">
        <is>
          <t>N/A</t>
        </is>
      </c>
      <c r="Z1382" s="0" t="inlineStr">
        <is>
          <t>N/A</t>
        </is>
      </c>
      <c r="AA1382" s="0" t="inlineStr">
        <is>
          <t>N/A</t>
        </is>
      </c>
    </row>
    <row r="1383" ht="15.75" customHeight="1" s="51">
      <c r="A1383" s="47" t="inlineStr">
        <is>
          <t>PHA-138-01</t>
        </is>
      </c>
      <c r="B1383" s="47" t="inlineStr">
        <is>
          <t>Phanes</t>
        </is>
      </c>
      <c r="C1383" s="47" t="inlineStr">
        <is>
          <t>Computer Hardware</t>
        </is>
      </c>
      <c r="D1383" s="47" t="inlineStr">
        <is>
          <t>Case Fans</t>
        </is>
      </c>
      <c r="E1383" s="48" t="inlineStr">
        <is>
          <t>Phanes Sable Plus RGB Case Fan 3-Pack</t>
        </is>
      </c>
      <c r="F1383" s="49" t="n">
        <v>81.98999999999999</v>
      </c>
      <c r="G1383" s="47" t="inlineStr">
        <is>
          <t>the Sable Plus; Phanes Sable Plus; Phanees Sable Plus; Sable Plus case fans</t>
        </is>
      </c>
      <c r="H1383" s="47" t="inlineStr">
        <is>
          <t>2 year limited</t>
        </is>
      </c>
      <c r="I1383" s="47" t="inlineStr">
        <is>
          <t>FCC, CE, RoHS</t>
        </is>
      </c>
      <c r="J1383" s="47" t="inlineStr">
        <is>
          <t>N/A</t>
        </is>
      </c>
      <c r="K1383" s="47" t="inlineStr">
        <is>
          <t>N/A</t>
        </is>
      </c>
      <c r="L1383" s="47" t="inlineStr">
        <is>
          <t>N/A</t>
        </is>
      </c>
      <c r="M1383" s="47" t="inlineStr">
        <is>
          <t>N/A</t>
        </is>
      </c>
      <c r="N1383" s="47" t="inlineStr">
        <is>
          <t>4-pin PWM, 3-pin 5V ARGB, daisy-chain connectors</t>
        </is>
      </c>
      <c r="O1383" s="47" t="inlineStr">
        <is>
          <t>N/A</t>
        </is>
      </c>
      <c r="P1383" s="47" t="inlineStr">
        <is>
          <t>N/A</t>
        </is>
      </c>
      <c r="Q1383" s="50" t="n">
        <v>389</v>
      </c>
      <c r="R1383" s="47" t="inlineStr">
        <is>
          <t>Lighter than Iris Spark RGB Case Fan 3-Pack [IRI-130-01] (389 g vs 425 g); Lower price than Eos Nimbus RGB Case Fan 3-Pack [EOS-111-01] ($81.99 vs $92.99)</t>
        </is>
      </c>
      <c r="S1383" s="47" t="inlineStr">
        <is>
          <t>PC building, cooling, RGB builds</t>
        </is>
      </c>
      <c r="T1383" s="0" t="inlineStr">
        <is>
          <t>in_stock</t>
        </is>
      </c>
      <c r="U1383" s="0" t="n">
        <v>14</v>
      </c>
      <c r="V1383" s="52" t="n">
        <v>88.98999999999999</v>
      </c>
      <c r="W1383" s="0" t="inlineStr">
        <is>
          <t>2026-08-03</t>
        </is>
      </c>
      <c r="X1383" s="0" t="inlineStr">
        <is>
          <t>N/A</t>
        </is>
      </c>
      <c r="Y1383" s="0" t="inlineStr">
        <is>
          <t>N/A</t>
        </is>
      </c>
      <c r="Z1383" s="0" t="inlineStr">
        <is>
          <t>N/A</t>
        </is>
      </c>
      <c r="AA1383" s="0" t="inlineStr">
        <is>
          <t>N/A</t>
        </is>
      </c>
    </row>
    <row r="1384" ht="15.75" customHeight="1" s="51">
      <c r="A1384" s="47" t="inlineStr">
        <is>
          <t>PHA-138-02</t>
        </is>
      </c>
      <c r="B1384" s="47" t="inlineStr">
        <is>
          <t>Phanes</t>
        </is>
      </c>
      <c r="C1384" s="47" t="inlineStr">
        <is>
          <t>Computer Hardware</t>
        </is>
      </c>
      <c r="D1384" s="47" t="inlineStr">
        <is>
          <t>PC Case</t>
        </is>
      </c>
      <c r="E1384" s="48" t="inlineStr">
        <is>
          <t>Phanes Vibe Lite Mid-Tower PC Case</t>
        </is>
      </c>
      <c r="F1384" s="49" t="n">
        <v>112.99</v>
      </c>
      <c r="G1384" s="47" t="inlineStr">
        <is>
          <t>the Vibe Lite; Phanes Vibe Lite; Fanes Vibe Lite; Vibe Lite pc case</t>
        </is>
      </c>
      <c r="H1384" s="47" t="inlineStr">
        <is>
          <t>2 year limited</t>
        </is>
      </c>
      <c r="I1384" s="47" t="inlineStr">
        <is>
          <t>FCC, CE, RoHS, UL 94 V-0 (materials)</t>
        </is>
      </c>
      <c r="J1384" s="47" t="inlineStr">
        <is>
          <t>N/A</t>
        </is>
      </c>
      <c r="K1384" s="47" t="inlineStr">
        <is>
          <t>N/A</t>
        </is>
      </c>
      <c r="L1384" s="47" t="inlineStr">
        <is>
          <t>N/A</t>
        </is>
      </c>
      <c r="M1384" s="47" t="inlineStr">
        <is>
          <t>N/A</t>
        </is>
      </c>
      <c r="N1384" s="47" t="inlineStr">
        <is>
          <t>Front I/O: 1x USB-C 10Gbps, 2x USB-A 3.0, 3.5mm combo audio</t>
        </is>
      </c>
      <c r="O1384" s="47" t="inlineStr">
        <is>
          <t>N/A</t>
        </is>
      </c>
      <c r="P1384" s="47" t="inlineStr">
        <is>
          <t>N/A</t>
        </is>
      </c>
      <c r="Q1384" s="50" t="n">
        <v>7046</v>
      </c>
      <c r="R1384" s="47" t="inlineStr">
        <is>
          <t>Lighter than Nike Axis Mid-Tower PC Case [NIK-132-02] (7,046 g vs 8,041 g); Lower price than Aphrodite Orbit Mid-Tower PC Case [APH-141-06] ($112.99 vs $205.99)</t>
        </is>
      </c>
      <c r="S1384" s="47" t="inlineStr">
        <is>
          <t>PC building, gaming</t>
        </is>
      </c>
      <c r="T1384" s="0" t="inlineStr">
        <is>
          <t>in_stock</t>
        </is>
      </c>
      <c r="U1384" s="0" t="n">
        <v>14</v>
      </c>
      <c r="V1384" s="52" t="n">
        <v>123.99</v>
      </c>
      <c r="W1384" s="0" t="inlineStr">
        <is>
          <t>2026-08-25</t>
        </is>
      </c>
      <c r="X1384" s="0" t="inlineStr">
        <is>
          <t>N/A</t>
        </is>
      </c>
      <c r="Y1384" s="0" t="inlineStr">
        <is>
          <t>N/A</t>
        </is>
      </c>
      <c r="Z1384" s="0" t="inlineStr">
        <is>
          <t>N/A</t>
        </is>
      </c>
      <c r="AA1384" s="0" t="inlineStr">
        <is>
          <t>N/A</t>
        </is>
      </c>
    </row>
    <row r="1385" ht="15.75" customHeight="1" s="51">
      <c r="A1385" s="47" t="inlineStr">
        <is>
          <t>PHA-138-03</t>
        </is>
      </c>
      <c r="B1385" s="47" t="inlineStr">
        <is>
          <t>Phanes</t>
        </is>
      </c>
      <c r="C1385" s="47" t="inlineStr">
        <is>
          <t>Computer Hardware</t>
        </is>
      </c>
      <c r="D1385" s="47" t="inlineStr">
        <is>
          <t>Power Supply</t>
        </is>
      </c>
      <c r="E1385" s="48" t="inlineStr">
        <is>
          <t>Phanes Volt X 850W Power Supply</t>
        </is>
      </c>
      <c r="F1385" s="49" t="n">
        <v>128.99</v>
      </c>
      <c r="G1385" s="47" t="inlineStr">
        <is>
          <t>the Volt X; Phanes Volt X; Phaness Volt X; Volt X power supply</t>
        </is>
      </c>
      <c r="H1385" s="47" t="inlineStr">
        <is>
          <t>10 year limited</t>
        </is>
      </c>
      <c r="I1385" s="47" t="inlineStr">
        <is>
          <t>FCC, CE, RoHS, 80 PLUS Gold, UL Listed</t>
        </is>
      </c>
      <c r="J1385" s="47" t="inlineStr">
        <is>
          <t>N/A</t>
        </is>
      </c>
      <c r="K1385" s="47" t="inlineStr">
        <is>
          <t>N/A</t>
        </is>
      </c>
      <c r="L1385" s="47" t="inlineStr">
        <is>
          <t>N/A</t>
        </is>
      </c>
      <c r="M1385" s="47" t="inlineStr">
        <is>
          <t>N/A</t>
        </is>
      </c>
      <c r="N1385" s="47" t="inlineStr">
        <is>
          <t>ATX 3.1, native 12V-2x6 (600W) connector, semi-modular</t>
        </is>
      </c>
      <c r="O1385" s="47" t="inlineStr">
        <is>
          <t>N/A</t>
        </is>
      </c>
      <c r="P1385" s="47" t="inlineStr">
        <is>
          <t>N/A</t>
        </is>
      </c>
      <c r="Q1385" s="50" t="n">
        <v>1849</v>
      </c>
      <c r="R1385" s="47" t="inlineStr">
        <is>
          <t>Lower price than Kratos Spark Air 850W Power Supply [KRA-147-08] ($128.99 vs $196.99); Lighter than Artemis Spark Ultra 850W Power Supply [ART-150-07] (1,849 g vs 2,209 g)</t>
        </is>
      </c>
      <c r="S1385" s="47" t="inlineStr">
        <is>
          <t>PC building, high-end gaming</t>
        </is>
      </c>
      <c r="T1385" s="0" t="inlineStr">
        <is>
          <t>in_stock</t>
        </is>
      </c>
      <c r="U1385" s="0" t="n">
        <v>14</v>
      </c>
      <c r="V1385" s="52" t="n">
        <v>147.99</v>
      </c>
      <c r="W1385" s="0" t="inlineStr">
        <is>
          <t>2026-08-08</t>
        </is>
      </c>
      <c r="X1385" s="0" t="inlineStr">
        <is>
          <t>N/A</t>
        </is>
      </c>
      <c r="Y1385" s="0" t="inlineStr">
        <is>
          <t>N/A</t>
        </is>
      </c>
      <c r="Z1385" s="0" t="inlineStr">
        <is>
          <t>N/A</t>
        </is>
      </c>
      <c r="AA1385" s="0" t="inlineStr">
        <is>
          <t>N/A</t>
        </is>
      </c>
    </row>
    <row r="1386" ht="15.75" customHeight="1" s="51">
      <c r="A1386" s="47" t="inlineStr">
        <is>
          <t>PHA-138-04</t>
        </is>
      </c>
      <c r="B1386" s="47" t="inlineStr">
        <is>
          <t>Phanes</t>
        </is>
      </c>
      <c r="C1386" s="47" t="inlineStr">
        <is>
          <t>Computer Hardware</t>
        </is>
      </c>
      <c r="D1386" s="47" t="inlineStr">
        <is>
          <t>Cooling</t>
        </is>
      </c>
      <c r="E1386" s="48" t="inlineStr">
        <is>
          <t>Phanes Arc 360mm AIO CPU Cooler</t>
        </is>
      </c>
      <c r="F1386" s="49" t="n">
        <v>130.99</v>
      </c>
      <c r="G1386" s="47" t="inlineStr">
        <is>
          <t>the Arc; Phanes Arc; Phaness Arc; Arc cooling</t>
        </is>
      </c>
      <c r="H1386" s="47" t="inlineStr">
        <is>
          <t>6 year limited</t>
        </is>
      </c>
      <c r="I1386" s="47" t="inlineStr">
        <is>
          <t>FCC, CE, RoHS</t>
        </is>
      </c>
      <c r="J1386" s="47" t="inlineStr">
        <is>
          <t>N/A</t>
        </is>
      </c>
      <c r="K1386" s="47" t="inlineStr">
        <is>
          <t>N/A</t>
        </is>
      </c>
      <c r="L1386" s="47" t="inlineStr">
        <is>
          <t>N/A</t>
        </is>
      </c>
      <c r="M1386" s="47" t="inlineStr">
        <is>
          <t>N/A</t>
        </is>
      </c>
      <c r="N1386" s="47" t="inlineStr">
        <is>
          <t>3x 4-pin PWM fans, 3-pin pump header, ARGB 5V; LGA1700/LGA1851/AM5 mounts</t>
        </is>
      </c>
      <c r="O1386" s="47" t="inlineStr">
        <is>
          <t>N/A</t>
        </is>
      </c>
      <c r="P1386" s="47" t="inlineStr">
        <is>
          <t>N/A</t>
        </is>
      </c>
      <c r="Q1386" s="50" t="n">
        <v>1900</v>
      </c>
      <c r="R1386" s="47" t="inlineStr">
        <is>
          <t>Lower price than Psyche Onyx SE 360mm AIO CPU Cooler [PSY-144-06] ($130.99 vs $158.99); Lighter than Eucleia Onyx Ultra 360mm AIO CPU Cooler [EUC-124-04] (1,900 g vs 1,938 g)</t>
        </is>
      </c>
      <c r="S1386" s="47" t="inlineStr">
        <is>
          <t>overclocking, gaming, quiet builds</t>
        </is>
      </c>
      <c r="T1386" s="0" t="inlineStr">
        <is>
          <t>in_stock</t>
        </is>
      </c>
      <c r="U1386" s="0" t="n">
        <v>14</v>
      </c>
      <c r="V1386" s="52" t="n">
        <v>143.99</v>
      </c>
      <c r="W1386" s="0" t="inlineStr">
        <is>
          <t>2026-08-12</t>
        </is>
      </c>
      <c r="X1386" s="0" t="inlineStr">
        <is>
          <t>N/A</t>
        </is>
      </c>
      <c r="Y1386" s="0" t="inlineStr">
        <is>
          <t>N/A</t>
        </is>
      </c>
      <c r="Z1386" s="0" t="inlineStr">
        <is>
          <t>N/A</t>
        </is>
      </c>
      <c r="AA1386" s="0" t="inlineStr">
        <is>
          <t>N/A</t>
        </is>
      </c>
    </row>
    <row r="1387" ht="15.75" customHeight="1" s="51">
      <c r="A1387" s="47" t="inlineStr">
        <is>
          <t>PHA-138-05</t>
        </is>
      </c>
      <c r="B1387" s="47" t="inlineStr">
        <is>
          <t>Phanes</t>
        </is>
      </c>
      <c r="C1387" s="47" t="inlineStr">
        <is>
          <t>Computer Hardware</t>
        </is>
      </c>
      <c r="D1387" s="47" t="inlineStr">
        <is>
          <t>Keyboard</t>
        </is>
      </c>
      <c r="E1387" s="48" t="inlineStr">
        <is>
          <t>Phanes Drift Max Mechanical Keyboard</t>
        </is>
      </c>
      <c r="F1387" s="49" t="n">
        <v>179.99</v>
      </c>
      <c r="G1387" s="47" t="inlineStr">
        <is>
          <t>the Drift Max; Phanes Drift Max; Phanees Drift Max; Drift Max keyboard</t>
        </is>
      </c>
      <c r="H1387" s="47" t="inlineStr">
        <is>
          <t>2 year limited</t>
        </is>
      </c>
      <c r="I1387" s="47" t="inlineStr">
        <is>
          <t>FCC, CE, RoHS, Bluetooth SIG Qualified</t>
        </is>
      </c>
      <c r="J1387" s="47" t="inlineStr">
        <is>
          <t>N/A</t>
        </is>
      </c>
      <c r="K1387" s="47" t="inlineStr">
        <is>
          <t>N/A</t>
        </is>
      </c>
      <c r="L1387" s="47" t="inlineStr">
        <is>
          <t>N/A</t>
        </is>
      </c>
      <c r="M1387" s="47" t="inlineStr">
        <is>
          <t>N/A</t>
        </is>
      </c>
      <c r="N1387" s="47" t="inlineStr">
        <is>
          <t>USB-C, 2.4GHz dongle, Bluetooth 5.1</t>
        </is>
      </c>
      <c r="O1387" s="47" t="inlineStr">
        <is>
          <t>N/A</t>
        </is>
      </c>
      <c r="P1387" s="47" t="n">
        <v>253</v>
      </c>
      <c r="Q1387" s="50" t="n">
        <v>1036</v>
      </c>
      <c r="R1387" s="47" t="inlineStr">
        <is>
          <t>Lighter than Dione Aeon Lite Mechanical Keyboard [DIO-128-03] (1,036 g vs 1,037 g); Longer battery than Enyo Vibe Max Mechanical Keyboard [ENY-114-04] (253 vs 223 hrs)</t>
        </is>
      </c>
      <c r="S1387" s="47" t="inlineStr">
        <is>
          <t>gaming, typing, office</t>
        </is>
      </c>
      <c r="T1387" s="0" t="inlineStr">
        <is>
          <t>out_of_stock</t>
        </is>
      </c>
      <c r="U1387" s="0" t="n">
        <v>14</v>
      </c>
      <c r="V1387" s="52" t="n">
        <v>197.99</v>
      </c>
      <c r="W1387" s="0" t="inlineStr">
        <is>
          <t>2026-08-13</t>
        </is>
      </c>
      <c r="X1387" s="0" t="inlineStr">
        <is>
          <t>N/A</t>
        </is>
      </c>
      <c r="Y1387" s="0" t="inlineStr">
        <is>
          <t>N/A</t>
        </is>
      </c>
      <c r="Z1387" s="0" t="inlineStr">
        <is>
          <t>N/A</t>
        </is>
      </c>
      <c r="AA1387" s="0" t="inlineStr">
        <is>
          <t>N/A</t>
        </is>
      </c>
    </row>
    <row r="1388" ht="15.75" customHeight="1" s="51">
      <c r="A1388" s="47" t="inlineStr">
        <is>
          <t>PHA-138-06</t>
        </is>
      </c>
      <c r="B1388" s="47" t="inlineStr">
        <is>
          <t>Phanes</t>
        </is>
      </c>
      <c r="C1388" s="47" t="inlineStr">
        <is>
          <t>Computer Hardware</t>
        </is>
      </c>
      <c r="D1388" s="47" t="inlineStr">
        <is>
          <t>Storage</t>
        </is>
      </c>
      <c r="E1388" s="48" t="inlineStr">
        <is>
          <t>Phanes Flux Pro 4TB External Hard Drive</t>
        </is>
      </c>
      <c r="F1388" s="49" t="n">
        <v>192.99</v>
      </c>
      <c r="G1388" s="47" t="inlineStr">
        <is>
          <t>the Flux Pro; Phanes Flux Pro; Phaanes Flux Pro; Flux Pro storage</t>
        </is>
      </c>
      <c r="H1388" s="47" t="inlineStr">
        <is>
          <t>2 year limited</t>
        </is>
      </c>
      <c r="I1388" s="47" t="inlineStr">
        <is>
          <t>FCC, CE, RoHS, USB-IF Certified</t>
        </is>
      </c>
      <c r="J1388" s="47" t="inlineStr">
        <is>
          <t>N/A</t>
        </is>
      </c>
      <c r="K1388" s="47" t="inlineStr">
        <is>
          <t>N/A</t>
        </is>
      </c>
      <c r="L1388" s="47" t="inlineStr">
        <is>
          <t>N/A</t>
        </is>
      </c>
      <c r="M1388" s="47" t="inlineStr">
        <is>
          <t>N/A</t>
        </is>
      </c>
      <c r="N1388" s="47" t="inlineStr">
        <is>
          <t>USB-C (USB 3.2 Gen 1)</t>
        </is>
      </c>
      <c r="O1388" s="47" t="inlineStr">
        <is>
          <t>N/A</t>
        </is>
      </c>
      <c r="P1388" s="47" t="inlineStr">
        <is>
          <t>N/A</t>
        </is>
      </c>
      <c r="Q1388" s="50" t="n">
        <v>229</v>
      </c>
      <c r="R1388" s="47" t="inlineStr">
        <is>
          <t>Lighter than Zelus Echo Plus 4TB External Hard Drive [ZEL-137-02] (229 g vs 238 g); Lower price than Urania Sable X 4TB External Hard Drive [URA-136-07] ($192.99 vs $196.99)</t>
        </is>
      </c>
      <c r="S1388" s="47" t="inlineStr">
        <is>
          <t>backup, media storage</t>
        </is>
      </c>
      <c r="T1388" s="0" t="inlineStr">
        <is>
          <t>in_stock</t>
        </is>
      </c>
      <c r="U1388" s="0" t="n">
        <v>14</v>
      </c>
      <c r="V1388" s="52" t="n">
        <v>201.99</v>
      </c>
      <c r="W1388" s="0" t="inlineStr">
        <is>
          <t>2026-08-05</t>
        </is>
      </c>
      <c r="X1388" s="0" t="inlineStr">
        <is>
          <t>N/A</t>
        </is>
      </c>
      <c r="Y1388" s="0" t="inlineStr">
        <is>
          <t>N/A</t>
        </is>
      </c>
      <c r="Z1388" s="0" t="inlineStr">
        <is>
          <t>N/A</t>
        </is>
      </c>
      <c r="AA1388" s="0" t="inlineStr">
        <is>
          <t>N/A</t>
        </is>
      </c>
    </row>
    <row r="1389" ht="15.75" customHeight="1" s="51">
      <c r="A1389" s="47" t="inlineStr">
        <is>
          <t>PHA-138-07</t>
        </is>
      </c>
      <c r="B1389" s="47" t="inlineStr">
        <is>
          <t>Phanes</t>
        </is>
      </c>
      <c r="C1389" s="47" t="inlineStr">
        <is>
          <t>Computer Hardware</t>
        </is>
      </c>
      <c r="D1389" s="47" t="inlineStr">
        <is>
          <t>Memory</t>
        </is>
      </c>
      <c r="E1389" s="48" t="inlineStr">
        <is>
          <t>Phanes Aria SE 32GB DDR5 RAM Kit</t>
        </is>
      </c>
      <c r="F1389" s="49" t="n">
        <v>243.99</v>
      </c>
      <c r="G1389" s="47" t="inlineStr">
        <is>
          <t>the Aria SE; Phanes Aria SE; Phaness Aria SE; Aria SE memory</t>
        </is>
      </c>
      <c r="H1389" s="47" t="inlineStr">
        <is>
          <t>Limited lifetime</t>
        </is>
      </c>
      <c r="I1389" s="47" t="inlineStr">
        <is>
          <t>FCC, CE, RoHS</t>
        </is>
      </c>
      <c r="J1389" s="47" t="inlineStr">
        <is>
          <t>N/A</t>
        </is>
      </c>
      <c r="K1389" s="47" t="inlineStr">
        <is>
          <t>N/A</t>
        </is>
      </c>
      <c r="L1389" s="47" t="inlineStr">
        <is>
          <t>N/A</t>
        </is>
      </c>
      <c r="M1389" s="47" t="inlineStr">
        <is>
          <t>N/A</t>
        </is>
      </c>
      <c r="N1389" s="47" t="inlineStr">
        <is>
          <t>2x 16GB DDR5 288-pin DIMM, 7200 MT/s</t>
        </is>
      </c>
      <c r="O1389" s="47" t="inlineStr">
        <is>
          <t>N/A</t>
        </is>
      </c>
      <c r="P1389" s="47" t="inlineStr">
        <is>
          <t>N/A</t>
        </is>
      </c>
      <c r="Q1389" s="50" t="n">
        <v>83</v>
      </c>
      <c r="R1389" s="47" t="inlineStr">
        <is>
          <t>Lighter than Astraeus Pulse Air 32GB DDR5 RAM Kit [AST-146-05] (83 g vs 87 g)</t>
        </is>
      </c>
      <c r="S1389" s="47" t="inlineStr">
        <is>
          <t>gaming, multitasking, PC building</t>
        </is>
      </c>
      <c r="T1389" s="0" t="inlineStr">
        <is>
          <t>out_of_stock</t>
        </is>
      </c>
      <c r="U1389" s="0" t="n">
        <v>14</v>
      </c>
      <c r="V1389" s="52" t="n">
        <v>258.99</v>
      </c>
      <c r="W1389" s="0" t="inlineStr">
        <is>
          <t>2026-08-08</t>
        </is>
      </c>
      <c r="X1389" s="0" t="inlineStr">
        <is>
          <t>N/A</t>
        </is>
      </c>
      <c r="Y1389" s="0" t="inlineStr">
        <is>
          <t>N/A</t>
        </is>
      </c>
      <c r="Z1389" s="0" t="inlineStr">
        <is>
          <t>N/A</t>
        </is>
      </c>
      <c r="AA1389" s="0" t="inlineStr">
        <is>
          <t>N/A</t>
        </is>
      </c>
    </row>
    <row r="1390" ht="15.75" customHeight="1" s="51">
      <c r="A1390" s="47" t="inlineStr">
        <is>
          <t>PHA-138-08</t>
        </is>
      </c>
      <c r="B1390" s="47" t="inlineStr">
        <is>
          <t>Phanes</t>
        </is>
      </c>
      <c r="C1390" s="47" t="inlineStr">
        <is>
          <t>Computer Hardware</t>
        </is>
      </c>
      <c r="D1390" s="47" t="inlineStr">
        <is>
          <t>Motherboard</t>
        </is>
      </c>
      <c r="E1390" s="48" t="inlineStr">
        <is>
          <t>Phanes Lumen Lite ATX Motherboard</t>
        </is>
      </c>
      <c r="F1390" s="49" t="n">
        <v>255.99</v>
      </c>
      <c r="G1390" s="47" t="inlineStr">
        <is>
          <t>the Lumen Lite; Phanes Lumen Lite; Phaens Lumen Lite; Lumen Lite motherboard</t>
        </is>
      </c>
      <c r="H1390" s="47" t="inlineStr">
        <is>
          <t>3 year limited</t>
        </is>
      </c>
      <c r="I1390" s="47" t="inlineStr">
        <is>
          <t>FCC, CE, RoHS</t>
        </is>
      </c>
      <c r="J1390" s="47" t="inlineStr">
        <is>
          <t>Supports AMD Ryzen 7000/8000/9000 (Socket AM5)</t>
        </is>
      </c>
      <c r="K1390" s="47" t="inlineStr">
        <is>
          <t>N/A</t>
        </is>
      </c>
      <c r="L1390" s="47" t="inlineStr">
        <is>
          <t>N/A</t>
        </is>
      </c>
      <c r="M1390" s="47" t="inlineStr">
        <is>
          <t>N/A</t>
        </is>
      </c>
      <c r="N1390" s="47" t="inlineStr">
        <is>
          <t>Rear I/O: 1x HDMI, 6x USB-A, 1x USB-C 10Gbps, 2.5GbE, Wi-Fi 6E</t>
        </is>
      </c>
      <c r="O1390" s="47" t="inlineStr">
        <is>
          <t>N/A</t>
        </is>
      </c>
      <c r="P1390" s="47" t="inlineStr">
        <is>
          <t>N/A</t>
        </is>
      </c>
      <c r="Q1390" s="50" t="n">
        <v>1433</v>
      </c>
      <c r="R1390" s="47" t="inlineStr">
        <is>
          <t>Lower price than Bia Nimbus Air ATX Motherboard [BIA-107-10] ($255.99 vs $578.99); Lighter than Psyche Lumen Pro ATX Motherboard [PSY-144-08] (1,433 g vs 1,442 g)</t>
        </is>
      </c>
      <c r="S1390" s="47" t="inlineStr">
        <is>
          <t>PC building, gaming, workstation builds</t>
        </is>
      </c>
      <c r="T1390" s="0" t="inlineStr">
        <is>
          <t>low_stock</t>
        </is>
      </c>
      <c r="U1390" s="0" t="n">
        <v>14</v>
      </c>
      <c r="V1390" s="52" t="n">
        <v>284.99</v>
      </c>
      <c r="W1390" s="0" t="inlineStr">
        <is>
          <t>2026-08-01</t>
        </is>
      </c>
      <c r="X1390" s="0" t="inlineStr">
        <is>
          <t>N/A</t>
        </is>
      </c>
      <c r="Y1390" s="0" t="inlineStr">
        <is>
          <t>N/A</t>
        </is>
      </c>
      <c r="Z1390" s="0" t="inlineStr">
        <is>
          <t>N/A</t>
        </is>
      </c>
      <c r="AA1390" s="0" t="inlineStr">
        <is>
          <t>N/A</t>
        </is>
      </c>
    </row>
    <row r="1391" ht="15.75" customHeight="1" s="51">
      <c r="A1391" s="47" t="inlineStr">
        <is>
          <t>PHA-138-09</t>
        </is>
      </c>
      <c r="B1391" s="47" t="inlineStr">
        <is>
          <t>Phanes</t>
        </is>
      </c>
      <c r="C1391" s="47" t="inlineStr">
        <is>
          <t>Computer Hardware</t>
        </is>
      </c>
      <c r="D1391" s="47" t="inlineStr">
        <is>
          <t>Monitor</t>
        </is>
      </c>
      <c r="E1391" s="48" t="inlineStr">
        <is>
          <t>Phanes Flux Ultra 27" 1440p Monitor</t>
        </is>
      </c>
      <c r="F1391" s="49" t="n">
        <v>566.99</v>
      </c>
      <c r="G1391" s="47" t="inlineStr">
        <is>
          <t>the Flux Ultra; Phanes Flux Ultra; Phanees Flux Ultra; Flux Ultra monitor</t>
        </is>
      </c>
      <c r="H1391" s="47" t="inlineStr">
        <is>
          <t>3 year limited</t>
        </is>
      </c>
      <c r="I1391" s="47" t="inlineStr">
        <is>
          <t>FCC, CE, RoHS, Energy Star, TUV Rheinland Low Blue Light, VESA DisplayHDR True Black 400</t>
        </is>
      </c>
      <c r="J1391" s="47" t="inlineStr">
        <is>
          <t>N/A</t>
        </is>
      </c>
      <c r="K1391" s="47" t="inlineStr">
        <is>
          <t>N/A</t>
        </is>
      </c>
      <c r="L1391" s="47" t="inlineStr">
        <is>
          <t>Fast IPS, 240Hz</t>
        </is>
      </c>
      <c r="M1391" s="47" t="inlineStr">
        <is>
          <t>2560x1440</t>
        </is>
      </c>
      <c r="N1391" s="47" t="inlineStr">
        <is>
          <t>2x HDMI 2.1, 1x DisplayPort 1.4, USB-C 90W, USB hub</t>
        </is>
      </c>
      <c r="O1391" s="47" t="inlineStr">
        <is>
          <t>N/A</t>
        </is>
      </c>
      <c r="P1391" s="47" t="inlineStr">
        <is>
          <t>N/A</t>
        </is>
      </c>
      <c r="Q1391" s="50" t="n">
        <v>6887</v>
      </c>
      <c r="R1391" s="47" t="inlineStr">
        <is>
          <t>Lower price than Astraeus Core Pro 27" 1440p Monitor [AST-146-10] ($566.99 vs $644.99); Lighter than Themis Zen SE 27" 1440p Monitor [THE-145-10] (6,887 g vs 7,033 g)</t>
        </is>
      </c>
      <c r="S1391" s="47" t="inlineStr">
        <is>
          <t>gaming, office, content creation</t>
        </is>
      </c>
      <c r="T1391" s="0" t="inlineStr">
        <is>
          <t>in_stock</t>
        </is>
      </c>
      <c r="U1391" s="0" t="n">
        <v>14</v>
      </c>
      <c r="V1391" s="52" t="n">
        <v>641.99</v>
      </c>
      <c r="W1391" s="0" t="inlineStr">
        <is>
          <t>2026-08-06</t>
        </is>
      </c>
      <c r="X1391" s="0" t="inlineStr">
        <is>
          <t>N/A</t>
        </is>
      </c>
      <c r="Y1391" s="0" t="inlineStr">
        <is>
          <t>N/A</t>
        </is>
      </c>
      <c r="Z1391" s="0" t="inlineStr">
        <is>
          <t>N/A</t>
        </is>
      </c>
      <c r="AA1391" s="0" t="inlineStr">
        <is>
          <t>N/A</t>
        </is>
      </c>
    </row>
    <row r="1392" ht="15.75" customHeight="1" s="51">
      <c r="A1392" s="47" t="inlineStr">
        <is>
          <t>PHA-138-10</t>
        </is>
      </c>
      <c r="B1392" s="47" t="inlineStr">
        <is>
          <t>Phanes</t>
        </is>
      </c>
      <c r="C1392" s="47" t="inlineStr">
        <is>
          <t>Computer Hardware</t>
        </is>
      </c>
      <c r="D1392" s="47" t="inlineStr">
        <is>
          <t>Graphics Card</t>
        </is>
      </c>
      <c r="E1392" s="48" t="inlineStr">
        <is>
          <t>Phanes Spark Ultra Graphics Card</t>
        </is>
      </c>
      <c r="F1392" s="49" t="n">
        <v>1630.99</v>
      </c>
      <c r="G1392" s="47" t="inlineStr">
        <is>
          <t>the Spark Ultra; Phanes Spark Ultra; Pahnes Spark Ultra; Spark Ultra graphics card</t>
        </is>
      </c>
      <c r="H1392" s="47" t="inlineStr">
        <is>
          <t>3 year limited</t>
        </is>
      </c>
      <c r="I1392" s="47" t="inlineStr">
        <is>
          <t>FCC, CE, RoHS</t>
        </is>
      </c>
      <c r="J1392" s="47" t="inlineStr">
        <is>
          <t>N/A</t>
        </is>
      </c>
      <c r="K1392" s="47" t="inlineStr">
        <is>
          <t>NVIDIA GeForce RTX 4090 24GB (Phanes Spark edition)</t>
        </is>
      </c>
      <c r="L1392" s="47" t="inlineStr">
        <is>
          <t>N/A</t>
        </is>
      </c>
      <c r="M1392" s="47" t="inlineStr">
        <is>
          <t>N/A</t>
        </is>
      </c>
      <c r="N1392" s="47" t="inlineStr">
        <is>
          <t>3x DisplayPort 1.4a, 1x HDMI 2.1a</t>
        </is>
      </c>
      <c r="O1392" s="47" t="inlineStr">
        <is>
          <t>N/A</t>
        </is>
      </c>
      <c r="P1392" s="47" t="inlineStr">
        <is>
          <t>N/A</t>
        </is>
      </c>
      <c r="Q1392" s="50" t="n">
        <v>1973</v>
      </c>
      <c r="R1392" s="47" t="inlineStr">
        <is>
          <t>Lower price than Apate Apex Graphics Card [APA-110-10] ($1,630.99 vs $1,673.99); Lighter than Enyo Strata Lite Graphics Card [ENY-114-10] (1,973 g vs 2,102 g)</t>
        </is>
      </c>
      <c r="S1392" s="47" t="inlineStr">
        <is>
          <t>gaming, 3D rendering, AI workloads</t>
        </is>
      </c>
      <c r="T1392" s="0" t="inlineStr">
        <is>
          <t>in_stock</t>
        </is>
      </c>
      <c r="U1392" s="0" t="n">
        <v>14</v>
      </c>
      <c r="V1392" s="52" t="n">
        <v>1704.99</v>
      </c>
      <c r="W1392" s="0" t="inlineStr">
        <is>
          <t>2026-08-25</t>
        </is>
      </c>
      <c r="X1392" s="0" t="inlineStr">
        <is>
          <t>N/A</t>
        </is>
      </c>
      <c r="Y1392" s="0" t="inlineStr">
        <is>
          <t>N/A</t>
        </is>
      </c>
      <c r="Z1392" s="0" t="inlineStr">
        <is>
          <t>N/A</t>
        </is>
      </c>
      <c r="AA1392" s="0" t="inlineStr">
        <is>
          <t>N/A</t>
        </is>
      </c>
    </row>
    <row r="1393" ht="15.75" customHeight="1" s="51">
      <c r="A1393" s="47" t="inlineStr">
        <is>
          <t>CRI-139-01</t>
        </is>
      </c>
      <c r="B1393" s="47" t="inlineStr">
        <is>
          <t>Crius</t>
        </is>
      </c>
      <c r="C1393" s="47" t="inlineStr">
        <is>
          <t>Computer Hardware</t>
        </is>
      </c>
      <c r="D1393" s="47" t="inlineStr">
        <is>
          <t>Mouse</t>
        </is>
      </c>
      <c r="E1393" s="48" t="inlineStr">
        <is>
          <t>Crius Nova Pro Gaming Mouse</t>
        </is>
      </c>
      <c r="F1393" s="49" t="n">
        <v>90.98999999999999</v>
      </c>
      <c r="G1393" s="47" t="inlineStr">
        <is>
          <t>the Nova Pro; Crius Nova Pro; Criius Nova Pro; Nova Pro mouse</t>
        </is>
      </c>
      <c r="H1393" s="47" t="inlineStr">
        <is>
          <t>2 year limited</t>
        </is>
      </c>
      <c r="I1393" s="47" t="inlineStr">
        <is>
          <t>FCC, CE, RoHS, Bluetooth SIG Qualified</t>
        </is>
      </c>
      <c r="J1393" s="47" t="inlineStr">
        <is>
          <t>Sensor: 30K DPI optical</t>
        </is>
      </c>
      <c r="K1393" s="47" t="inlineStr">
        <is>
          <t>N/A</t>
        </is>
      </c>
      <c r="L1393" s="47" t="inlineStr">
        <is>
          <t>N/A</t>
        </is>
      </c>
      <c r="M1393" s="47" t="inlineStr">
        <is>
          <t>N/A</t>
        </is>
      </c>
      <c r="N1393" s="47" t="inlineStr">
        <is>
          <t>USB-C, 2.4GHz dongle, Bluetooth 5.1</t>
        </is>
      </c>
      <c r="O1393" s="47" t="inlineStr">
        <is>
          <t>N/A</t>
        </is>
      </c>
      <c r="P1393" s="47" t="n">
        <v>73</v>
      </c>
      <c r="Q1393" s="50" t="n">
        <v>91</v>
      </c>
      <c r="R1393" s="47" t="inlineStr">
        <is>
          <t>Lighter than Hyperion Quanta Air Gaming Mouse [HYP-123-04] (91 g vs 93 g); Lower price than Aphrodite Volt Gaming Mouse [APH-141-05] ($90.99 vs $122.99)</t>
        </is>
      </c>
      <c r="S1393" s="47" t="inlineStr">
        <is>
          <t>gaming, esports</t>
        </is>
      </c>
      <c r="T1393" s="0" t="inlineStr">
        <is>
          <t>out_of_stock</t>
        </is>
      </c>
      <c r="U1393" s="0" t="n">
        <v>14</v>
      </c>
      <c r="V1393" s="52" t="n">
        <v>101.99</v>
      </c>
      <c r="W1393" s="0" t="inlineStr">
        <is>
          <t>2026-09-22</t>
        </is>
      </c>
      <c r="X1393" s="0" t="inlineStr">
        <is>
          <t>N/A</t>
        </is>
      </c>
      <c r="Y1393" s="0" t="inlineStr">
        <is>
          <t>N/A</t>
        </is>
      </c>
      <c r="Z1393" s="0" t="inlineStr">
        <is>
          <t>N/A</t>
        </is>
      </c>
      <c r="AA1393" s="0" t="inlineStr">
        <is>
          <t>N/A</t>
        </is>
      </c>
    </row>
    <row r="1394" ht="15.75" customHeight="1" s="51">
      <c r="A1394" s="47" t="inlineStr">
        <is>
          <t>CRI-139-02</t>
        </is>
      </c>
      <c r="B1394" s="47" t="inlineStr">
        <is>
          <t>Crius</t>
        </is>
      </c>
      <c r="C1394" s="47" t="inlineStr">
        <is>
          <t>Computer Hardware</t>
        </is>
      </c>
      <c r="D1394" s="47" t="inlineStr">
        <is>
          <t>Case Fans</t>
        </is>
      </c>
      <c r="E1394" s="48" t="inlineStr">
        <is>
          <t>Crius Nimbus X RGB Case Fan 3-Pack</t>
        </is>
      </c>
      <c r="F1394" s="49" t="n">
        <v>94.98999999999999</v>
      </c>
      <c r="G1394" s="47" t="inlineStr">
        <is>
          <t>the Nimbus X; Crius Nimbus X; Krius Nimbus X; Nimbus X case fans</t>
        </is>
      </c>
      <c r="H1394" s="47" t="inlineStr">
        <is>
          <t>2 year limited</t>
        </is>
      </c>
      <c r="I1394" s="47" t="inlineStr">
        <is>
          <t>FCC, CE, RoHS</t>
        </is>
      </c>
      <c r="J1394" s="47" t="inlineStr">
        <is>
          <t>N/A</t>
        </is>
      </c>
      <c r="K1394" s="47" t="inlineStr">
        <is>
          <t>N/A</t>
        </is>
      </c>
      <c r="L1394" s="47" t="inlineStr">
        <is>
          <t>N/A</t>
        </is>
      </c>
      <c r="M1394" s="47" t="inlineStr">
        <is>
          <t>N/A</t>
        </is>
      </c>
      <c r="N1394" s="47" t="inlineStr">
        <is>
          <t>4-pin PWM, 3-pin 5V ARGB, daisy-chain connectors</t>
        </is>
      </c>
      <c r="O1394" s="47" t="inlineStr">
        <is>
          <t>N/A</t>
        </is>
      </c>
      <c r="P1394" s="47" t="inlineStr">
        <is>
          <t>N/A</t>
        </is>
      </c>
      <c r="Q1394" s="50" t="n">
        <v>385</v>
      </c>
      <c r="R1394" s="47" t="inlineStr">
        <is>
          <t>Lighter than Dione Blaze Air RGB Case Fan 3-Pack [DIO-128-01] (385 g vs 437 g)</t>
        </is>
      </c>
      <c r="S1394" s="47" t="inlineStr">
        <is>
          <t>PC building, cooling, RGB builds</t>
        </is>
      </c>
      <c r="T1394" s="0" t="inlineStr">
        <is>
          <t>in_stock</t>
        </is>
      </c>
      <c r="U1394" s="0" t="n">
        <v>14</v>
      </c>
      <c r="V1394" s="52" t="n">
        <v>102.99</v>
      </c>
      <c r="W1394" s="0" t="inlineStr">
        <is>
          <t>2026-09-05</t>
        </is>
      </c>
      <c r="X1394" s="0" t="inlineStr">
        <is>
          <t>N/A</t>
        </is>
      </c>
      <c r="Y1394" s="0" t="inlineStr">
        <is>
          <t>N/A</t>
        </is>
      </c>
      <c r="Z1394" s="0" t="inlineStr">
        <is>
          <t>N/A</t>
        </is>
      </c>
      <c r="AA1394" s="0" t="inlineStr">
        <is>
          <t>N/A</t>
        </is>
      </c>
    </row>
    <row r="1395" ht="15.75" customHeight="1" s="51">
      <c r="A1395" s="47" t="inlineStr">
        <is>
          <t>CRI-139-03</t>
        </is>
      </c>
      <c r="B1395" s="47" t="inlineStr">
        <is>
          <t>Crius</t>
        </is>
      </c>
      <c r="C1395" s="47" t="inlineStr">
        <is>
          <t>Computer Hardware</t>
        </is>
      </c>
      <c r="D1395" s="47" t="inlineStr">
        <is>
          <t>Networking</t>
        </is>
      </c>
      <c r="E1395" s="48" t="inlineStr">
        <is>
          <t>Crius Crest Ultra Wi-Fi 7 PCIe Card</t>
        </is>
      </c>
      <c r="F1395" s="49" t="n">
        <v>95.98999999999999</v>
      </c>
      <c r="G1395" s="47" t="inlineStr">
        <is>
          <t>the Crest Ultra; Crius Crest Ultra; Cruis Crest Ultra; Crest Ultra networking</t>
        </is>
      </c>
      <c r="H1395" s="47" t="inlineStr">
        <is>
          <t>2 year limited</t>
        </is>
      </c>
      <c r="I1395" s="47" t="inlineStr">
        <is>
          <t>FCC, CE, RoHS, Wi-Fi CERTIFIED 7, Bluetooth SIG Qualified</t>
        </is>
      </c>
      <c r="J1395" s="47" t="inlineStr">
        <is>
          <t>Chipset: MediaTek MT7927</t>
        </is>
      </c>
      <c r="K1395" s="47" t="inlineStr">
        <is>
          <t>N/A</t>
        </is>
      </c>
      <c r="L1395" s="47" t="inlineStr">
        <is>
          <t>N/A</t>
        </is>
      </c>
      <c r="M1395" s="47" t="inlineStr">
        <is>
          <t>N/A</t>
        </is>
      </c>
      <c r="N1395" s="47" t="inlineStr">
        <is>
          <t>PCIe x1, internal USB 2.0 header (Bluetooth 5.4), 2x external antennas</t>
        </is>
      </c>
      <c r="O1395" s="47" t="inlineStr">
        <is>
          <t>N/A</t>
        </is>
      </c>
      <c r="P1395" s="47" t="inlineStr">
        <is>
          <t>N/A</t>
        </is>
      </c>
      <c r="Q1395" s="50" t="n">
        <v>104</v>
      </c>
      <c r="R1395" s="47" t="inlineStr">
        <is>
          <t>Lighter than Perses Arc X Wi-Fi 7 PCIe Card [PER-101-01] (104 g vs 108 g); Lower price than Kairos Volt SE Wi-Fi 7 PCIe Card [KAI-142-05] ($95.99 vs $111.99)</t>
        </is>
      </c>
      <c r="S1395" s="47" t="inlineStr">
        <is>
          <t>gaming, streaming, PC building</t>
        </is>
      </c>
      <c r="T1395" s="0" t="inlineStr">
        <is>
          <t>in_stock</t>
        </is>
      </c>
      <c r="U1395" s="0" t="n">
        <v>14</v>
      </c>
      <c r="V1395" s="52" t="n">
        <v>110.99</v>
      </c>
      <c r="W1395" s="0" t="inlineStr">
        <is>
          <t>2026-09-18</t>
        </is>
      </c>
      <c r="X1395" s="0" t="inlineStr">
        <is>
          <t>N/A</t>
        </is>
      </c>
      <c r="Y1395" s="0" t="inlineStr">
        <is>
          <t>N/A</t>
        </is>
      </c>
      <c r="Z1395" s="0" t="inlineStr">
        <is>
          <t>N/A</t>
        </is>
      </c>
      <c r="AA1395" s="0" t="inlineStr">
        <is>
          <t>N/A</t>
        </is>
      </c>
    </row>
    <row r="1396" ht="15.75" customHeight="1" s="51">
      <c r="A1396" s="47" t="inlineStr">
        <is>
          <t>CRI-139-04</t>
        </is>
      </c>
      <c r="B1396" s="47" t="inlineStr">
        <is>
          <t>Crius</t>
        </is>
      </c>
      <c r="C1396" s="47" t="inlineStr">
        <is>
          <t>Computer Hardware</t>
        </is>
      </c>
      <c r="D1396" s="47" t="inlineStr">
        <is>
          <t>Memory</t>
        </is>
      </c>
      <c r="E1396" s="48" t="inlineStr">
        <is>
          <t>Crius Rift Lite 32GB DDR5 RAM Kit</t>
        </is>
      </c>
      <c r="F1396" s="49" t="n">
        <v>144.99</v>
      </c>
      <c r="G1396" s="47" t="inlineStr">
        <is>
          <t>the Rift Lite; Crius Rift Lite; Criuus Rift Lite; Rift Lite memory</t>
        </is>
      </c>
      <c r="H1396" s="47" t="inlineStr">
        <is>
          <t>Limited lifetime</t>
        </is>
      </c>
      <c r="I1396" s="47" t="inlineStr">
        <is>
          <t>FCC, CE, RoHS</t>
        </is>
      </c>
      <c r="J1396" s="47" t="inlineStr">
        <is>
          <t>N/A</t>
        </is>
      </c>
      <c r="K1396" s="47" t="inlineStr">
        <is>
          <t>N/A</t>
        </is>
      </c>
      <c r="L1396" s="47" t="inlineStr">
        <is>
          <t>N/A</t>
        </is>
      </c>
      <c r="M1396" s="47" t="inlineStr">
        <is>
          <t>N/A</t>
        </is>
      </c>
      <c r="N1396" s="47" t="inlineStr">
        <is>
          <t>2x 16GB DDR5 288-pin DIMM, 5600 MT/s</t>
        </is>
      </c>
      <c r="O1396" s="47" t="inlineStr">
        <is>
          <t>N/A</t>
        </is>
      </c>
      <c r="P1396" s="47" t="inlineStr">
        <is>
          <t>N/A</t>
        </is>
      </c>
      <c r="Q1396" s="50" t="n">
        <v>76</v>
      </c>
      <c r="R1396" s="47" t="inlineStr">
        <is>
          <t>Lighter than Eurybia Quanta SE 32GB DDR5 RAM Kit [EUR-104-07] (76 g vs 80 g); Lower price than Eucleia Volt 32GB DDR5 RAM Kit [EUC-124-08] ($144.99 vs $211.99)</t>
        </is>
      </c>
      <c r="S1396" s="47" t="inlineStr">
        <is>
          <t>gaming, multitasking, PC building</t>
        </is>
      </c>
      <c r="T1396" s="0" t="inlineStr">
        <is>
          <t>in_stock</t>
        </is>
      </c>
      <c r="U1396" s="0" t="n">
        <v>14</v>
      </c>
      <c r="V1396" s="52" t="n">
        <v>153.99</v>
      </c>
      <c r="W1396" s="0" t="inlineStr">
        <is>
          <t>2026-09-02</t>
        </is>
      </c>
      <c r="X1396" s="0" t="inlineStr">
        <is>
          <t>N/A</t>
        </is>
      </c>
      <c r="Y1396" s="0" t="inlineStr">
        <is>
          <t>N/A</t>
        </is>
      </c>
      <c r="Z1396" s="0" t="inlineStr">
        <is>
          <t>N/A</t>
        </is>
      </c>
      <c r="AA1396" s="0" t="inlineStr">
        <is>
          <t>N/A</t>
        </is>
      </c>
    </row>
    <row r="1397" ht="15.75" customHeight="1" s="51">
      <c r="A1397" s="47" t="inlineStr">
        <is>
          <t>CRI-139-05</t>
        </is>
      </c>
      <c r="B1397" s="47" t="inlineStr">
        <is>
          <t>Crius</t>
        </is>
      </c>
      <c r="C1397" s="47" t="inlineStr">
        <is>
          <t>Computer Hardware</t>
        </is>
      </c>
      <c r="D1397" s="47" t="inlineStr">
        <is>
          <t>Storage</t>
        </is>
      </c>
      <c r="E1397" s="48" t="inlineStr">
        <is>
          <t>Crius Wave Pro 4TB External Hard Drive</t>
        </is>
      </c>
      <c r="F1397" s="49" t="n">
        <v>149.99</v>
      </c>
      <c r="G1397" s="47" t="inlineStr">
        <is>
          <t>the Wave Pro; Crius Wave Pro; Crios Wave Pro; Wave Pro storage</t>
        </is>
      </c>
      <c r="H1397" s="47" t="inlineStr">
        <is>
          <t>2 year limited</t>
        </is>
      </c>
      <c r="I1397" s="47" t="inlineStr">
        <is>
          <t>FCC, CE, RoHS, USB-IF Certified</t>
        </is>
      </c>
      <c r="J1397" s="47" t="inlineStr">
        <is>
          <t>N/A</t>
        </is>
      </c>
      <c r="K1397" s="47" t="inlineStr">
        <is>
          <t>N/A</t>
        </is>
      </c>
      <c r="L1397" s="47" t="inlineStr">
        <is>
          <t>N/A</t>
        </is>
      </c>
      <c r="M1397" s="47" t="inlineStr">
        <is>
          <t>N/A</t>
        </is>
      </c>
      <c r="N1397" s="47" t="inlineStr">
        <is>
          <t>USB-C (USB 3.2 Gen 1)</t>
        </is>
      </c>
      <c r="O1397" s="47" t="inlineStr">
        <is>
          <t>N/A</t>
        </is>
      </c>
      <c r="P1397" s="47" t="inlineStr">
        <is>
          <t>N/A</t>
        </is>
      </c>
      <c r="Q1397" s="50" t="n">
        <v>231</v>
      </c>
      <c r="R1397" s="47" t="inlineStr">
        <is>
          <t>Lighter than Atlas Aria Pro 4TB External Hard Drive [ATL-122-05] (231 g vs 236 g); Lower price than Eris Vibe X 4TB External Hard Drive [ERI-148-05] ($149.99 vs $161.99)</t>
        </is>
      </c>
      <c r="S1397" s="47" t="inlineStr">
        <is>
          <t>backup, media storage</t>
        </is>
      </c>
      <c r="T1397" s="0" t="inlineStr">
        <is>
          <t>in_stock</t>
        </is>
      </c>
      <c r="U1397" s="0" t="n">
        <v>14</v>
      </c>
      <c r="V1397" s="52" t="n">
        <v>155.99</v>
      </c>
      <c r="W1397" s="0" t="inlineStr">
        <is>
          <t>2026-09-04</t>
        </is>
      </c>
      <c r="X1397" s="0" t="inlineStr">
        <is>
          <t>N/A</t>
        </is>
      </c>
      <c r="Y1397" s="0" t="inlineStr">
        <is>
          <t>N/A</t>
        </is>
      </c>
      <c r="Z1397" s="0" t="inlineStr">
        <is>
          <t>N/A</t>
        </is>
      </c>
      <c r="AA1397" s="0" t="inlineStr">
        <is>
          <t>N/A</t>
        </is>
      </c>
    </row>
    <row r="1398" ht="15.75" customHeight="1" s="51">
      <c r="A1398" s="47" t="inlineStr">
        <is>
          <t>CRI-139-06</t>
        </is>
      </c>
      <c r="B1398" s="47" t="inlineStr">
        <is>
          <t>Crius</t>
        </is>
      </c>
      <c r="C1398" s="47" t="inlineStr">
        <is>
          <t>Computer Hardware</t>
        </is>
      </c>
      <c r="D1398" s="47" t="inlineStr">
        <is>
          <t>Docking Station</t>
        </is>
      </c>
      <c r="E1398" s="48" t="inlineStr">
        <is>
          <t>Crius Sable X USB-C Docking Station</t>
        </is>
      </c>
      <c r="F1398" s="49" t="n">
        <v>151.99</v>
      </c>
      <c r="G1398" s="47" t="inlineStr">
        <is>
          <t>the Sable X; Crius Sable X; Criu Sable X; Sable X docking station</t>
        </is>
      </c>
      <c r="H1398" s="47" t="inlineStr">
        <is>
          <t>2 year limited</t>
        </is>
      </c>
      <c r="I1398" s="47" t="inlineStr">
        <is>
          <t>FCC, CE, RoHS, USB-IF Certified, UL Listed</t>
        </is>
      </c>
      <c r="J1398" s="47" t="inlineStr">
        <is>
          <t>N/A</t>
        </is>
      </c>
      <c r="K1398" s="47" t="inlineStr">
        <is>
          <t>N/A</t>
        </is>
      </c>
      <c r="L1398" s="47" t="inlineStr">
        <is>
          <t>N/A</t>
        </is>
      </c>
      <c r="M1398" s="47" t="inlineStr">
        <is>
          <t>N/A</t>
        </is>
      </c>
      <c r="N1398" s="47" t="inlineStr">
        <is>
          <t>1x HDMI 2.0, 2x USB-A, 1x USB-C, SD card, 100W PD pass-through</t>
        </is>
      </c>
      <c r="O1398" s="47" t="inlineStr">
        <is>
          <t>N/A</t>
        </is>
      </c>
      <c r="P1398" s="47" t="inlineStr">
        <is>
          <t>N/A</t>
        </is>
      </c>
      <c r="Q1398" s="50" t="n">
        <v>291</v>
      </c>
      <c r="R1398" s="47" t="inlineStr">
        <is>
          <t>Lower price than Eileithyia Aria USB-C Docking Station [EIL-149-08] ($151.99 vs $321.99); Lighter than Eirene Strata Pro USB-C Docking Station [EIR-112-05] (291 g vs 339 g)</t>
        </is>
      </c>
      <c r="S1398" s="47" t="inlineStr">
        <is>
          <t>office, remote work, multi-monitor</t>
        </is>
      </c>
      <c r="T1398" s="0" t="inlineStr">
        <is>
          <t>in_stock</t>
        </is>
      </c>
      <c r="U1398" s="0" t="n">
        <v>14</v>
      </c>
      <c r="V1398" s="52" t="n">
        <v>162.99</v>
      </c>
      <c r="W1398" s="0" t="inlineStr">
        <is>
          <t>2026-08-06</t>
        </is>
      </c>
      <c r="X1398" s="0" t="inlineStr">
        <is>
          <t>N/A</t>
        </is>
      </c>
      <c r="Y1398" s="0" t="inlineStr">
        <is>
          <t>N/A</t>
        </is>
      </c>
      <c r="Z1398" s="0" t="inlineStr">
        <is>
          <t>N/A</t>
        </is>
      </c>
      <c r="AA1398" s="0" t="inlineStr">
        <is>
          <t>N/A</t>
        </is>
      </c>
    </row>
    <row r="1399" ht="15.75" customHeight="1" s="51">
      <c r="A1399" s="47" t="inlineStr">
        <is>
          <t>CRI-139-07</t>
        </is>
      </c>
      <c r="B1399" s="47" t="inlineStr">
        <is>
          <t>Crius</t>
        </is>
      </c>
      <c r="C1399" s="47" t="inlineStr">
        <is>
          <t>Computer Hardware</t>
        </is>
      </c>
      <c r="D1399" s="47" t="inlineStr">
        <is>
          <t>Storage</t>
        </is>
      </c>
      <c r="E1399" s="48" t="inlineStr">
        <is>
          <t>Crius Wave X 2TB NVMe SSD</t>
        </is>
      </c>
      <c r="F1399" s="49" t="n">
        <v>294.99</v>
      </c>
      <c r="G1399" s="47" t="inlineStr">
        <is>
          <t>the Wave X; Crius Wave X; Crrius Wave X; Wave X storage</t>
        </is>
      </c>
      <c r="H1399" s="47" t="inlineStr">
        <is>
          <t>5 year limited</t>
        </is>
      </c>
      <c r="I1399" s="47" t="inlineStr">
        <is>
          <t>FCC, CE, RoHS</t>
        </is>
      </c>
      <c r="J1399" s="47" t="inlineStr">
        <is>
          <t>Controller: Phison E26</t>
        </is>
      </c>
      <c r="K1399" s="47" t="inlineStr">
        <is>
          <t>N/A</t>
        </is>
      </c>
      <c r="L1399" s="47" t="inlineStr">
        <is>
          <t>N/A</t>
        </is>
      </c>
      <c r="M1399" s="47" t="inlineStr">
        <is>
          <t>N/A</t>
        </is>
      </c>
      <c r="N1399" s="47" t="inlineStr">
        <is>
          <t>M.2 2280, PCIe 5.0 x4 NVMe</t>
        </is>
      </c>
      <c r="O1399" s="47" t="inlineStr">
        <is>
          <t>N/A</t>
        </is>
      </c>
      <c r="P1399" s="47" t="inlineStr">
        <is>
          <t>N/A</t>
        </is>
      </c>
      <c r="Q1399" s="50" t="n">
        <v>16</v>
      </c>
      <c r="R1399" s="47" t="inlineStr">
        <is>
          <t>Lighter than Notus Echo SE 2TB NVMe SSD [NOT-108-05] (16 g vs 18 g); Lower price than Pheme Flux Air 2TB NVMe SSD [PHE-102-08] ($294.99 vs $296.99)</t>
        </is>
      </c>
      <c r="S1399" s="47" t="inlineStr">
        <is>
          <t>gaming, fast boot, content creation</t>
        </is>
      </c>
      <c r="T1399" s="0" t="inlineStr">
        <is>
          <t>in_stock</t>
        </is>
      </c>
      <c r="U1399" s="0" t="n">
        <v>14</v>
      </c>
      <c r="V1399" s="52" t="n">
        <v>324.99</v>
      </c>
      <c r="W1399" s="0" t="inlineStr">
        <is>
          <t>2026-09-13</t>
        </is>
      </c>
      <c r="X1399" s="0" t="inlineStr">
        <is>
          <t>N/A</t>
        </is>
      </c>
      <c r="Y1399" s="0" t="inlineStr">
        <is>
          <t>N/A</t>
        </is>
      </c>
      <c r="Z1399" s="0" t="inlineStr">
        <is>
          <t>N/A</t>
        </is>
      </c>
      <c r="AA1399" s="0" t="inlineStr">
        <is>
          <t>N/A</t>
        </is>
      </c>
    </row>
    <row r="1400" ht="15.75" customHeight="1" s="51">
      <c r="A1400" s="47" t="inlineStr">
        <is>
          <t>CRI-139-08</t>
        </is>
      </c>
      <c r="B1400" s="47" t="inlineStr">
        <is>
          <t>Crius</t>
        </is>
      </c>
      <c r="C1400" s="47" t="inlineStr">
        <is>
          <t>Computer Hardware</t>
        </is>
      </c>
      <c r="D1400" s="47" t="inlineStr">
        <is>
          <t>Motherboard</t>
        </is>
      </c>
      <c r="E1400" s="48" t="inlineStr">
        <is>
          <t>Crius Drift ATX Motherboard</t>
        </is>
      </c>
      <c r="F1400" s="49" t="n">
        <v>436.99</v>
      </c>
      <c r="G1400" s="47" t="inlineStr">
        <is>
          <t>the Drift; Crius Drift; Crios Drift; Drift motherboard</t>
        </is>
      </c>
      <c r="H1400" s="47" t="inlineStr">
        <is>
          <t>3 year limited</t>
        </is>
      </c>
      <c r="I1400" s="47" t="inlineStr">
        <is>
          <t>FCC, CE, RoHS</t>
        </is>
      </c>
      <c r="J1400" s="47" t="inlineStr">
        <is>
          <t>Supports Intel Core 12th-14th Gen (LGA1700)</t>
        </is>
      </c>
      <c r="K1400" s="47" t="inlineStr">
        <is>
          <t>N/A</t>
        </is>
      </c>
      <c r="L1400" s="47" t="inlineStr">
        <is>
          <t>N/A</t>
        </is>
      </c>
      <c r="M1400" s="47" t="inlineStr">
        <is>
          <t>N/A</t>
        </is>
      </c>
      <c r="N1400" s="47" t="inlineStr">
        <is>
          <t>Rear I/O: 1x HDMI, 1x DisplayPort, 8x USB-A, 2x USB-C 20Gbps, 2.5GbE, Wi-Fi 7</t>
        </is>
      </c>
      <c r="O1400" s="47" t="inlineStr">
        <is>
          <t>N/A</t>
        </is>
      </c>
      <c r="P1400" s="47" t="inlineStr">
        <is>
          <t>N/A</t>
        </is>
      </c>
      <c r="Q1400" s="50" t="n">
        <v>1216</v>
      </c>
      <c r="R1400" s="47" t="inlineStr">
        <is>
          <t>Lighter than Eos Aria Pro ATX Motherboard [EOS-111-08] (1,216 g vs 1,754 g); Lower price than Enyo Volt Air ATX Motherboard [ENY-114-08] ($436.99 vs $491.99)</t>
        </is>
      </c>
      <c r="S1400" s="47" t="inlineStr">
        <is>
          <t>PC building, gaming, workstation builds</t>
        </is>
      </c>
      <c r="T1400" s="0" t="inlineStr">
        <is>
          <t>low_stock</t>
        </is>
      </c>
      <c r="U1400" s="0" t="n">
        <v>14</v>
      </c>
      <c r="V1400" s="52" t="n">
        <v>492.99</v>
      </c>
      <c r="W1400" s="0" t="inlineStr">
        <is>
          <t>2026-08-13</t>
        </is>
      </c>
      <c r="X1400" s="0" t="inlineStr">
        <is>
          <t>N/A</t>
        </is>
      </c>
      <c r="Y1400" s="0" t="inlineStr">
        <is>
          <t>N/A</t>
        </is>
      </c>
      <c r="Z1400" s="0" t="inlineStr">
        <is>
          <t>N/A</t>
        </is>
      </c>
      <c r="AA1400" s="0" t="inlineStr">
        <is>
          <t>N/A</t>
        </is>
      </c>
    </row>
    <row r="1401" ht="15.75" customHeight="1" s="51">
      <c r="A1401" s="47" t="inlineStr">
        <is>
          <t>CRI-139-09</t>
        </is>
      </c>
      <c r="B1401" s="47" t="inlineStr">
        <is>
          <t>Crius</t>
        </is>
      </c>
      <c r="C1401" s="47" t="inlineStr">
        <is>
          <t>Computer Hardware</t>
        </is>
      </c>
      <c r="D1401" s="47" t="inlineStr">
        <is>
          <t>Graphics Card</t>
        </is>
      </c>
      <c r="E1401" s="48" t="inlineStr">
        <is>
          <t>Crius Echo Lite Graphics Card</t>
        </is>
      </c>
      <c r="F1401" s="49" t="n">
        <v>548.99</v>
      </c>
      <c r="G1401" s="47" t="inlineStr">
        <is>
          <t>the Echo Lite; Crius Echo Lite; Cirus Echo Lite; Echo Lite graphics card</t>
        </is>
      </c>
      <c r="H1401" s="47" t="inlineStr">
        <is>
          <t>3 year limited</t>
        </is>
      </c>
      <c r="I1401" s="47" t="inlineStr">
        <is>
          <t>FCC, CE, RoHS</t>
        </is>
      </c>
      <c r="J1401" s="47" t="inlineStr">
        <is>
          <t>N/A</t>
        </is>
      </c>
      <c r="K1401" s="47" t="inlineStr">
        <is>
          <t>AMD Radeon RX 7800 XT 16GB (Crius Echo edition)</t>
        </is>
      </c>
      <c r="L1401" s="47" t="inlineStr">
        <is>
          <t>N/A</t>
        </is>
      </c>
      <c r="M1401" s="47" t="inlineStr">
        <is>
          <t>N/A</t>
        </is>
      </c>
      <c r="N1401" s="47" t="inlineStr">
        <is>
          <t>2x DisplayPort 2.1, 1x HDMI 2.1, 1x USB-C</t>
        </is>
      </c>
      <c r="O1401" s="47" t="inlineStr">
        <is>
          <t>N/A</t>
        </is>
      </c>
      <c r="P1401" s="47" t="inlineStr">
        <is>
          <t>N/A</t>
        </is>
      </c>
      <c r="Q1401" s="50" t="n">
        <v>2094</v>
      </c>
      <c r="R1401" s="47" t="inlineStr">
        <is>
          <t>Lower price than Apollo Quanta Plus Graphics Card [APO-109-10] ($548.99 vs $1,344.99); Lighter than Euterpe Volt Ultra Graphics Card [EUT-120-10] (2,094 g vs 2,192 g)</t>
        </is>
      </c>
      <c r="S1401" s="47" t="inlineStr">
        <is>
          <t>gaming, 3D rendering, AI workloads</t>
        </is>
      </c>
      <c r="T1401" s="0" t="inlineStr">
        <is>
          <t>in_stock</t>
        </is>
      </c>
      <c r="U1401" s="0" t="n">
        <v>14</v>
      </c>
      <c r="V1401" s="52" t="n">
        <v>622.99</v>
      </c>
      <c r="W1401" s="0" t="inlineStr">
        <is>
          <t>2026-09-01</t>
        </is>
      </c>
      <c r="X1401" s="0" t="inlineStr">
        <is>
          <t>N/A</t>
        </is>
      </c>
      <c r="Y1401" s="0" t="inlineStr">
        <is>
          <t>N/A</t>
        </is>
      </c>
      <c r="Z1401" s="0" t="inlineStr">
        <is>
          <t>N/A</t>
        </is>
      </c>
      <c r="AA1401" s="0" t="inlineStr">
        <is>
          <t>N/A</t>
        </is>
      </c>
    </row>
    <row r="1402" ht="15.75" customHeight="1" s="51">
      <c r="A1402" s="47" t="inlineStr">
        <is>
          <t>CRI-139-10</t>
        </is>
      </c>
      <c r="B1402" s="47" t="inlineStr">
        <is>
          <t>Crius</t>
        </is>
      </c>
      <c r="C1402" s="47" t="inlineStr">
        <is>
          <t>Computer Hardware</t>
        </is>
      </c>
      <c r="D1402" s="47" t="inlineStr">
        <is>
          <t>Monitor</t>
        </is>
      </c>
      <c r="E1402" s="48" t="inlineStr">
        <is>
          <t>Crius Vertex X 27" 1440p Monitor</t>
        </is>
      </c>
      <c r="F1402" s="49" t="n">
        <v>623.99</v>
      </c>
      <c r="G1402" s="47" t="inlineStr">
        <is>
          <t>the Vertex X; Crius Vertex X; Criius Vertex X; Vertex X monitor</t>
        </is>
      </c>
      <c r="H1402" s="47" t="inlineStr">
        <is>
          <t>3 year limited</t>
        </is>
      </c>
      <c r="I1402" s="47" t="inlineStr">
        <is>
          <t>FCC, CE, RoHS, Energy Star, TUV Rheinland Low Blue Light, VESA DisplayHDR True Black 400</t>
        </is>
      </c>
      <c r="J1402" s="47" t="inlineStr">
        <is>
          <t>N/A</t>
        </is>
      </c>
      <c r="K1402" s="47" t="inlineStr">
        <is>
          <t>N/A</t>
        </is>
      </c>
      <c r="L1402" s="47" t="inlineStr">
        <is>
          <t>QD-OLED, 360Hz</t>
        </is>
      </c>
      <c r="M1402" s="47" t="inlineStr">
        <is>
          <t>2560x1440</t>
        </is>
      </c>
      <c r="N1402" s="47" t="inlineStr">
        <is>
          <t>2x HDMI 2.1, 1x DisplayPort 1.4, USB-C 90W, USB hub</t>
        </is>
      </c>
      <c r="O1402" s="47" t="inlineStr">
        <is>
          <t>N/A</t>
        </is>
      </c>
      <c r="P1402" s="47" t="inlineStr">
        <is>
          <t>N/A</t>
        </is>
      </c>
      <c r="Q1402" s="50" t="n">
        <v>6833</v>
      </c>
      <c r="R1402" s="47" t="inlineStr">
        <is>
          <t>Lighter than Hyperion Arc Ultra 27" 1440p Monitor [HYP-123-10] (6,833 g vs 6,938 g); Lower price than Eris Crest Plus 27" 1440p Monitor [ERI-148-10] ($623.99 vs $688.99)</t>
        </is>
      </c>
      <c r="S1402" s="47" t="inlineStr">
        <is>
          <t>gaming, office, content creation</t>
        </is>
      </c>
      <c r="T1402" s="0" t="inlineStr">
        <is>
          <t>in_stock</t>
        </is>
      </c>
      <c r="U1402" s="0" t="n">
        <v>14</v>
      </c>
      <c r="V1402" s="52" t="n">
        <v>688.99</v>
      </c>
      <c r="W1402" s="0" t="inlineStr">
        <is>
          <t>2026-09-11</t>
        </is>
      </c>
      <c r="X1402" s="0" t="inlineStr">
        <is>
          <t>N/A</t>
        </is>
      </c>
      <c r="Y1402" s="0" t="inlineStr">
        <is>
          <t>N/A</t>
        </is>
      </c>
      <c r="Z1402" s="0" t="inlineStr">
        <is>
          <t>N/A</t>
        </is>
      </c>
      <c r="AA1402" s="0" t="inlineStr">
        <is>
          <t>N/A</t>
        </is>
      </c>
    </row>
    <row r="1403" ht="15.75" customHeight="1" s="51">
      <c r="A1403" s="47" t="inlineStr">
        <is>
          <t>ARE-140-01</t>
        </is>
      </c>
      <c r="B1403" s="47" t="inlineStr">
        <is>
          <t>Ares</t>
        </is>
      </c>
      <c r="C1403" s="47" t="inlineStr">
        <is>
          <t>Computer Hardware</t>
        </is>
      </c>
      <c r="D1403" s="47" t="inlineStr">
        <is>
          <t>Networking</t>
        </is>
      </c>
      <c r="E1403" s="48" t="inlineStr">
        <is>
          <t>Ares Apex SE Wi-Fi 7 PCIe Card</t>
        </is>
      </c>
      <c r="F1403" s="49" t="n">
        <v>102.99</v>
      </c>
      <c r="G1403" s="47" t="inlineStr">
        <is>
          <t>the Apex SE; Ares Apex SE; Arees Apex SE; Apex SE networking</t>
        </is>
      </c>
      <c r="H1403" s="47" t="inlineStr">
        <is>
          <t>2 year limited</t>
        </is>
      </c>
      <c r="I1403" s="47" t="inlineStr">
        <is>
          <t>FCC, CE, RoHS, Wi-Fi CERTIFIED 7, Bluetooth SIG Qualified</t>
        </is>
      </c>
      <c r="J1403" s="47" t="inlineStr">
        <is>
          <t>Chipset: MediaTek MT7927</t>
        </is>
      </c>
      <c r="K1403" s="47" t="inlineStr">
        <is>
          <t>N/A</t>
        </is>
      </c>
      <c r="L1403" s="47" t="inlineStr">
        <is>
          <t>N/A</t>
        </is>
      </c>
      <c r="M1403" s="47" t="inlineStr">
        <is>
          <t>N/A</t>
        </is>
      </c>
      <c r="N1403" s="47" t="inlineStr">
        <is>
          <t>PCIe x1, internal USB 2.0 header (Bluetooth 5.4), 2x external antennas</t>
        </is>
      </c>
      <c r="O1403" s="47" t="inlineStr">
        <is>
          <t>N/A</t>
        </is>
      </c>
      <c r="P1403" s="47" t="inlineStr">
        <is>
          <t>N/A</t>
        </is>
      </c>
      <c r="Q1403" s="50" t="n">
        <v>89</v>
      </c>
      <c r="R1403" s="47" t="inlineStr">
        <is>
          <t>Lower price than Thalassa Volt Lite Wi-Fi 7 PCIe Card [THA-126-03] ($102.99 vs $125.99); Lighter than Dione Vibe Lite Wi-Fi 7 PCIe Card [DIO-128-02] (89 g vs 104 g)</t>
        </is>
      </c>
      <c r="S1403" s="47" t="inlineStr">
        <is>
          <t>gaming, streaming, PC building</t>
        </is>
      </c>
      <c r="T1403" s="0" t="inlineStr">
        <is>
          <t>in_stock</t>
        </is>
      </c>
      <c r="U1403" s="0" t="n">
        <v>45</v>
      </c>
      <c r="V1403" s="52" t="n">
        <v>107.99</v>
      </c>
      <c r="W1403" s="0" t="inlineStr">
        <is>
          <t>2026-09-04</t>
        </is>
      </c>
      <c r="X1403" s="0" t="inlineStr">
        <is>
          <t>N/A</t>
        </is>
      </c>
      <c r="Y1403" s="0" t="inlineStr">
        <is>
          <t>N/A</t>
        </is>
      </c>
      <c r="Z1403" s="0" t="inlineStr">
        <is>
          <t>N/A</t>
        </is>
      </c>
      <c r="AA1403" s="0" t="inlineStr">
        <is>
          <t>N/A</t>
        </is>
      </c>
    </row>
    <row r="1404" ht="15.75" customHeight="1" s="51">
      <c r="A1404" s="47" t="inlineStr">
        <is>
          <t>ARE-140-02</t>
        </is>
      </c>
      <c r="B1404" s="47" t="inlineStr">
        <is>
          <t>Ares</t>
        </is>
      </c>
      <c r="C1404" s="47" t="inlineStr">
        <is>
          <t>Computer Hardware</t>
        </is>
      </c>
      <c r="D1404" s="47" t="inlineStr">
        <is>
          <t>Power Supply</t>
        </is>
      </c>
      <c r="E1404" s="48" t="inlineStr">
        <is>
          <t>Ares Wave Ultra 850W Power Supply</t>
        </is>
      </c>
      <c r="F1404" s="49" t="n">
        <v>112.99</v>
      </c>
      <c r="G1404" s="47" t="inlineStr">
        <is>
          <t>the Wave Ultra; Ares Wave Ultra; Aress Wave Ultra; Wave Ultra power supply</t>
        </is>
      </c>
      <c r="H1404" s="47" t="inlineStr">
        <is>
          <t>10 year limited</t>
        </is>
      </c>
      <c r="I1404" s="47" t="inlineStr">
        <is>
          <t>FCC, CE, RoHS, 80 PLUS Gold, UL Listed</t>
        </is>
      </c>
      <c r="J1404" s="47" t="inlineStr">
        <is>
          <t>N/A</t>
        </is>
      </c>
      <c r="K1404" s="47" t="inlineStr">
        <is>
          <t>N/A</t>
        </is>
      </c>
      <c r="L1404" s="47" t="inlineStr">
        <is>
          <t>N/A</t>
        </is>
      </c>
      <c r="M1404" s="47" t="inlineStr">
        <is>
          <t>N/A</t>
        </is>
      </c>
      <c r="N1404" s="47" t="inlineStr">
        <is>
          <t>ATX 3.1, native 12V-2x6 (600W) connector, semi-modular</t>
        </is>
      </c>
      <c r="O1404" s="47" t="inlineStr">
        <is>
          <t>N/A</t>
        </is>
      </c>
      <c r="P1404" s="47" t="inlineStr">
        <is>
          <t>N/A</t>
        </is>
      </c>
      <c r="Q1404" s="50" t="n">
        <v>1984</v>
      </c>
      <c r="R1404" s="47" t="inlineStr">
        <is>
          <t>Lighter than Psyche Volt Max 850W Power Supply [PSY-144-07] (1,984 g vs 2,112 g); Lower price than Enyo Zen Pro 850W Power Supply [ENY-114-01] ($112.99 vs $136.99)</t>
        </is>
      </c>
      <c r="S1404" s="47" t="inlineStr">
        <is>
          <t>PC building, high-end gaming</t>
        </is>
      </c>
      <c r="T1404" s="0" t="inlineStr">
        <is>
          <t>low_stock</t>
        </is>
      </c>
      <c r="U1404" s="0" t="n">
        <v>45</v>
      </c>
      <c r="V1404" s="52" t="n">
        <v>118.99</v>
      </c>
      <c r="W1404" s="0" t="inlineStr">
        <is>
          <t>2026-09-23</t>
        </is>
      </c>
      <c r="X1404" s="0" t="inlineStr">
        <is>
          <t>N/A</t>
        </is>
      </c>
      <c r="Y1404" s="0" t="inlineStr">
        <is>
          <t>N/A</t>
        </is>
      </c>
      <c r="Z1404" s="0" t="inlineStr">
        <is>
          <t>N/A</t>
        </is>
      </c>
      <c r="AA1404" s="0" t="inlineStr">
        <is>
          <t>N/A</t>
        </is>
      </c>
    </row>
    <row r="1405" ht="15.75" customHeight="1" s="51">
      <c r="A1405" s="47" t="inlineStr">
        <is>
          <t>ARE-140-03</t>
        </is>
      </c>
      <c r="B1405" s="47" t="inlineStr">
        <is>
          <t>Ares</t>
        </is>
      </c>
      <c r="C1405" s="47" t="inlineStr">
        <is>
          <t>Computer Hardware</t>
        </is>
      </c>
      <c r="D1405" s="47" t="inlineStr">
        <is>
          <t>Keyboard</t>
        </is>
      </c>
      <c r="E1405" s="48" t="inlineStr">
        <is>
          <t>Ares Vibe Mechanical Keyboard</t>
        </is>
      </c>
      <c r="F1405" s="49" t="n">
        <v>146.99</v>
      </c>
      <c r="G1405" s="47" t="inlineStr">
        <is>
          <t>the Vibe; Ares Vibe; Aress Vibe; Vibe keyboard</t>
        </is>
      </c>
      <c r="H1405" s="47" t="inlineStr">
        <is>
          <t>2 year limited</t>
        </is>
      </c>
      <c r="I1405" s="47" t="inlineStr">
        <is>
          <t>FCC, CE, RoHS, Bluetooth SIG Qualified</t>
        </is>
      </c>
      <c r="J1405" s="47" t="inlineStr">
        <is>
          <t>N/A</t>
        </is>
      </c>
      <c r="K1405" s="47" t="inlineStr">
        <is>
          <t>N/A</t>
        </is>
      </c>
      <c r="L1405" s="47" t="inlineStr">
        <is>
          <t>N/A</t>
        </is>
      </c>
      <c r="M1405" s="47" t="inlineStr">
        <is>
          <t>N/A</t>
        </is>
      </c>
      <c r="N1405" s="47" t="inlineStr">
        <is>
          <t>USB-C, 2.4GHz dongle, Bluetooth 5.1</t>
        </is>
      </c>
      <c r="O1405" s="47" t="inlineStr">
        <is>
          <t>N/A</t>
        </is>
      </c>
      <c r="P1405" s="47" t="n">
        <v>371</v>
      </c>
      <c r="Q1405" s="50" t="n">
        <v>945</v>
      </c>
      <c r="R1405" s="47" t="inlineStr">
        <is>
          <t>Lower price than Geras Titan Air Mechanical Keyboard [GER-133-06] ($146.99 vs $148.99); Lighter than Hera Onyx X Mechanical Keyboard [HER-129-01] (945 g vs 1,194 g)</t>
        </is>
      </c>
      <c r="S1405" s="47" t="inlineStr">
        <is>
          <t>gaming, typing, office</t>
        </is>
      </c>
      <c r="T1405" s="0" t="inlineStr">
        <is>
          <t>in_stock</t>
        </is>
      </c>
      <c r="U1405" s="0" t="n">
        <v>45</v>
      </c>
      <c r="V1405" s="52" t="n">
        <v>166.99</v>
      </c>
      <c r="W1405" s="0" t="inlineStr">
        <is>
          <t>2026-08-13</t>
        </is>
      </c>
      <c r="X1405" s="0" t="inlineStr">
        <is>
          <t>N/A</t>
        </is>
      </c>
      <c r="Y1405" s="0" t="inlineStr">
        <is>
          <t>N/A</t>
        </is>
      </c>
      <c r="Z1405" s="0" t="inlineStr">
        <is>
          <t>N/A</t>
        </is>
      </c>
      <c r="AA1405" s="0" t="inlineStr">
        <is>
          <t>N/A</t>
        </is>
      </c>
    </row>
    <row r="1406" ht="15.75" customHeight="1" s="51">
      <c r="A1406" s="47" t="inlineStr">
        <is>
          <t>ARE-140-04</t>
        </is>
      </c>
      <c r="B1406" s="47" t="inlineStr">
        <is>
          <t>Ares</t>
        </is>
      </c>
      <c r="C1406" s="47" t="inlineStr">
        <is>
          <t>Computer Hardware</t>
        </is>
      </c>
      <c r="D1406" s="47" t="inlineStr">
        <is>
          <t>Mouse</t>
        </is>
      </c>
      <c r="E1406" s="48" t="inlineStr">
        <is>
          <t>Ares Orbit Gaming Mouse</t>
        </is>
      </c>
      <c r="F1406" s="49" t="n">
        <v>154.99</v>
      </c>
      <c r="G1406" s="47" t="inlineStr">
        <is>
          <t>the Orbit; Ares Orbit; Arees Orbit; Orbit mouse</t>
        </is>
      </c>
      <c r="H1406" s="47" t="inlineStr">
        <is>
          <t>2 year limited</t>
        </is>
      </c>
      <c r="I1406" s="47" t="inlineStr">
        <is>
          <t>FCC, CE, RoHS, Bluetooth SIG Qualified</t>
        </is>
      </c>
      <c r="J1406" s="47" t="inlineStr">
        <is>
          <t>Sensor: 36K DPI optical</t>
        </is>
      </c>
      <c r="K1406" s="47" t="inlineStr">
        <is>
          <t>N/A</t>
        </is>
      </c>
      <c r="L1406" s="47" t="inlineStr">
        <is>
          <t>N/A</t>
        </is>
      </c>
      <c r="M1406" s="47" t="inlineStr">
        <is>
          <t>N/A</t>
        </is>
      </c>
      <c r="N1406" s="47" t="inlineStr">
        <is>
          <t>USB-C, 2.4GHz dongle, Bluetooth 5.1</t>
        </is>
      </c>
      <c r="O1406" s="47" t="inlineStr">
        <is>
          <t>N/A</t>
        </is>
      </c>
      <c r="P1406" s="47" t="n">
        <v>104</v>
      </c>
      <c r="Q1406" s="50" t="n">
        <v>57</v>
      </c>
      <c r="R1406" s="47" t="inlineStr">
        <is>
          <t>Longer battery than Eurybia Pulse Max Gaming Mouse [EUR-104-03] (104 vs 94 hrs); Lighter than Cronus Quanta Gaming Mouse [CRO-105-05] (57 g vs 92 g)</t>
        </is>
      </c>
      <c r="S1406" s="47" t="inlineStr">
        <is>
          <t>gaming, esports</t>
        </is>
      </c>
      <c r="T1406" s="0" t="inlineStr">
        <is>
          <t>in_stock</t>
        </is>
      </c>
      <c r="U1406" s="0" t="n">
        <v>45</v>
      </c>
      <c r="V1406" s="52" t="n">
        <v>167.99</v>
      </c>
      <c r="W1406" s="0" t="inlineStr">
        <is>
          <t>2026-09-11</t>
        </is>
      </c>
      <c r="X1406" s="0" t="inlineStr">
        <is>
          <t>N/A</t>
        </is>
      </c>
      <c r="Y1406" s="0" t="inlineStr">
        <is>
          <t>N/A</t>
        </is>
      </c>
      <c r="Z1406" s="0" t="inlineStr">
        <is>
          <t>N/A</t>
        </is>
      </c>
      <c r="AA1406" s="0" t="inlineStr">
        <is>
          <t>N/A</t>
        </is>
      </c>
    </row>
    <row r="1407" ht="15.75" customHeight="1" s="51">
      <c r="A1407" s="47" t="inlineStr">
        <is>
          <t>ARE-140-05</t>
        </is>
      </c>
      <c r="B1407" s="47" t="inlineStr">
        <is>
          <t>Ares</t>
        </is>
      </c>
      <c r="C1407" s="47" t="inlineStr">
        <is>
          <t>Computer Hardware</t>
        </is>
      </c>
      <c r="D1407" s="47" t="inlineStr">
        <is>
          <t>Motherboard</t>
        </is>
      </c>
      <c r="E1407" s="48" t="inlineStr">
        <is>
          <t>Ares Halo Air ATX Motherboard</t>
        </is>
      </c>
      <c r="F1407" s="49" t="n">
        <v>156.99</v>
      </c>
      <c r="G1407" s="47" t="inlineStr">
        <is>
          <t>the Halo Air; Ares Halo Air; Arres Halo Air; Halo Air motherboard</t>
        </is>
      </c>
      <c r="H1407" s="47" t="inlineStr">
        <is>
          <t>3 year limited</t>
        </is>
      </c>
      <c r="I1407" s="47" t="inlineStr">
        <is>
          <t>FCC, CE, RoHS</t>
        </is>
      </c>
      <c r="J1407" s="47" t="inlineStr">
        <is>
          <t>Supports AMD Ryzen 7000/8000/9000 (Socket AM5)</t>
        </is>
      </c>
      <c r="K1407" s="47" t="inlineStr">
        <is>
          <t>N/A</t>
        </is>
      </c>
      <c r="L1407" s="47" t="inlineStr">
        <is>
          <t>N/A</t>
        </is>
      </c>
      <c r="M1407" s="47" t="inlineStr">
        <is>
          <t>N/A</t>
        </is>
      </c>
      <c r="N1407" s="47" t="inlineStr">
        <is>
          <t>Rear I/O: 1x HDMI, 6x USB-A, 1x USB-C 10Gbps, 2.5GbE, Wi-Fi 6E</t>
        </is>
      </c>
      <c r="O1407" s="47" t="inlineStr">
        <is>
          <t>N/A</t>
        </is>
      </c>
      <c r="P1407" s="47" t="inlineStr">
        <is>
          <t>N/A</t>
        </is>
      </c>
      <c r="Q1407" s="50" t="n">
        <v>1537</v>
      </c>
      <c r="R1407" s="47" t="inlineStr">
        <is>
          <t>Lighter than Artemis Zen Plus ATX Motherboard [ART-150-08] (1,537 g vs 1,751 g); Lower price than Phanes Lumen Lite ATX Motherboard [PHA-138-08] ($156.99 vs $255.99)</t>
        </is>
      </c>
      <c r="S1407" s="47" t="inlineStr">
        <is>
          <t>PC building, gaming, workstation builds</t>
        </is>
      </c>
      <c r="T1407" s="0" t="inlineStr">
        <is>
          <t>low_stock</t>
        </is>
      </c>
      <c r="U1407" s="0" t="n">
        <v>45</v>
      </c>
      <c r="V1407" s="52" t="n">
        <v>177.99</v>
      </c>
      <c r="W1407" s="0" t="inlineStr">
        <is>
          <t>2026-09-25</t>
        </is>
      </c>
      <c r="X1407" s="0" t="inlineStr">
        <is>
          <t>N/A</t>
        </is>
      </c>
      <c r="Y1407" s="0" t="inlineStr">
        <is>
          <t>N/A</t>
        </is>
      </c>
      <c r="Z1407" s="0" t="inlineStr">
        <is>
          <t>N/A</t>
        </is>
      </c>
      <c r="AA1407" s="0" t="inlineStr">
        <is>
          <t>N/A</t>
        </is>
      </c>
    </row>
    <row r="1408" ht="15.75" customHeight="1" s="51">
      <c r="A1408" s="47" t="inlineStr">
        <is>
          <t>ARE-140-06</t>
        </is>
      </c>
      <c r="B1408" s="47" t="inlineStr">
        <is>
          <t>Ares</t>
        </is>
      </c>
      <c r="C1408" s="47" t="inlineStr">
        <is>
          <t>Computer Hardware</t>
        </is>
      </c>
      <c r="D1408" s="47" t="inlineStr">
        <is>
          <t>Storage</t>
        </is>
      </c>
      <c r="E1408" s="48" t="inlineStr">
        <is>
          <t>Ares Apex SE 4TB External Hard Drive</t>
        </is>
      </c>
      <c r="F1408" s="49" t="n">
        <v>187.99</v>
      </c>
      <c r="G1408" s="47" t="inlineStr">
        <is>
          <t>the Apex SE; Ares Apex SE; Arees Apex SE; Apex SE storage</t>
        </is>
      </c>
      <c r="H1408" s="47" t="inlineStr">
        <is>
          <t>2 year limited</t>
        </is>
      </c>
      <c r="I1408" s="47" t="inlineStr">
        <is>
          <t>FCC, CE, RoHS, USB-IF Certified</t>
        </is>
      </c>
      <c r="J1408" s="47" t="inlineStr">
        <is>
          <t>N/A</t>
        </is>
      </c>
      <c r="K1408" s="47" t="inlineStr">
        <is>
          <t>N/A</t>
        </is>
      </c>
      <c r="L1408" s="47" t="inlineStr">
        <is>
          <t>N/A</t>
        </is>
      </c>
      <c r="M1408" s="47" t="inlineStr">
        <is>
          <t>N/A</t>
        </is>
      </c>
      <c r="N1408" s="47" t="inlineStr">
        <is>
          <t>USB-C (USB 3.2 Gen 1)</t>
        </is>
      </c>
      <c r="O1408" s="47" t="inlineStr">
        <is>
          <t>N/A</t>
        </is>
      </c>
      <c r="P1408" s="47" t="inlineStr">
        <is>
          <t>N/A</t>
        </is>
      </c>
      <c r="Q1408" s="50" t="n">
        <v>228</v>
      </c>
      <c r="R1408" s="47" t="inlineStr">
        <is>
          <t>Lower price than Urania Sable X 4TB External Hard Drive [URA-136-07] ($187.99 vs $196.99); Lighter than Dione Axis Plus 4TB External Hard Drive [DIO-128-06] (228 g vs 247 g)</t>
        </is>
      </c>
      <c r="S1408" s="47" t="inlineStr">
        <is>
          <t>backup, media storage</t>
        </is>
      </c>
      <c r="T1408" s="0" t="inlineStr">
        <is>
          <t>in_stock</t>
        </is>
      </c>
      <c r="U1408" s="0" t="n">
        <v>45</v>
      </c>
      <c r="V1408" s="52" t="n">
        <v>202.99</v>
      </c>
      <c r="W1408" s="0" t="inlineStr">
        <is>
          <t>2026-08-31</t>
        </is>
      </c>
      <c r="X1408" s="0" t="inlineStr">
        <is>
          <t>N/A</t>
        </is>
      </c>
      <c r="Y1408" s="0" t="inlineStr">
        <is>
          <t>N/A</t>
        </is>
      </c>
      <c r="Z1408" s="0" t="inlineStr">
        <is>
          <t>N/A</t>
        </is>
      </c>
      <c r="AA1408" s="0" t="inlineStr">
        <is>
          <t>N/A</t>
        </is>
      </c>
    </row>
    <row r="1409" ht="15.75" customHeight="1" s="51">
      <c r="A1409" s="47" t="inlineStr">
        <is>
          <t>ARE-140-07</t>
        </is>
      </c>
      <c r="B1409" s="47" t="inlineStr">
        <is>
          <t>Ares</t>
        </is>
      </c>
      <c r="C1409" s="47" t="inlineStr">
        <is>
          <t>Computer Hardware</t>
        </is>
      </c>
      <c r="D1409" s="47" t="inlineStr">
        <is>
          <t>Processor</t>
        </is>
      </c>
      <c r="E1409" s="48" t="inlineStr">
        <is>
          <t>Ares Spark Lite Desktop CPU</t>
        </is>
      </c>
      <c r="F1409" s="49" t="n">
        <v>223.99</v>
      </c>
      <c r="G1409" s="47" t="inlineStr">
        <is>
          <t>the Spark Lite; Ares Spark Lite; Aress Spark Lite; Spark Lite processor</t>
        </is>
      </c>
      <c r="H1409" s="47" t="inlineStr">
        <is>
          <t>3 year limited</t>
        </is>
      </c>
      <c r="I1409" s="47" t="inlineStr">
        <is>
          <t>FCC, CE, RoHS</t>
        </is>
      </c>
      <c r="J1409" s="47" t="inlineStr">
        <is>
          <t>Ares Spark 6-core / 12-thread, up to 4.8 GHz</t>
        </is>
      </c>
      <c r="K1409" s="47" t="inlineStr">
        <is>
          <t>None (discrete GPU required)</t>
        </is>
      </c>
      <c r="L1409" s="47" t="inlineStr">
        <is>
          <t>N/A</t>
        </is>
      </c>
      <c r="M1409" s="47" t="inlineStr">
        <is>
          <t>N/A</t>
        </is>
      </c>
      <c r="N1409" s="47" t="inlineStr">
        <is>
          <t>N/A</t>
        </is>
      </c>
      <c r="O1409" s="47" t="inlineStr">
        <is>
          <t>N/A</t>
        </is>
      </c>
      <c r="P1409" s="47" t="inlineStr">
        <is>
          <t>N/A</t>
        </is>
      </c>
      <c r="Q1409" s="50" t="n">
        <v>59</v>
      </c>
      <c r="R1409" s="47" t="inlineStr">
        <is>
          <t>Lower price than Hestia Nimbus SE Desktop CPU [HES-116-10] ($223.99 vs $567.99)</t>
        </is>
      </c>
      <c r="S1409" s="47" t="inlineStr">
        <is>
          <t>gaming, content creation, workstation builds</t>
        </is>
      </c>
      <c r="T1409" s="0" t="inlineStr">
        <is>
          <t>in_stock</t>
        </is>
      </c>
      <c r="U1409" s="0" t="n">
        <v>45</v>
      </c>
      <c r="V1409" s="52" t="n">
        <v>243.99</v>
      </c>
      <c r="W1409" s="0" t="inlineStr">
        <is>
          <t>2026-09-19</t>
        </is>
      </c>
      <c r="X1409" s="0" t="inlineStr">
        <is>
          <t>N/A</t>
        </is>
      </c>
      <c r="Y1409" s="0" t="inlineStr">
        <is>
          <t>N/A</t>
        </is>
      </c>
      <c r="Z1409" s="0" t="inlineStr">
        <is>
          <t>N/A</t>
        </is>
      </c>
      <c r="AA1409" s="0" t="inlineStr">
        <is>
          <t>N/A</t>
        </is>
      </c>
    </row>
    <row r="1410" ht="15.75" customHeight="1" s="51">
      <c r="A1410" s="47" t="inlineStr">
        <is>
          <t>ARE-140-08</t>
        </is>
      </c>
      <c r="B1410" s="47" t="inlineStr">
        <is>
          <t>Ares</t>
        </is>
      </c>
      <c r="C1410" s="47" t="inlineStr">
        <is>
          <t>Computer Hardware</t>
        </is>
      </c>
      <c r="D1410" s="47" t="inlineStr">
        <is>
          <t>Memory</t>
        </is>
      </c>
      <c r="E1410" s="48" t="inlineStr">
        <is>
          <t>Ares Titan 32GB DDR5 RAM Kit</t>
        </is>
      </c>
      <c r="F1410" s="49" t="n">
        <v>232.99</v>
      </c>
      <c r="G1410" s="47" t="inlineStr">
        <is>
          <t>the Titan; Ares Titan; Arees Titan; Titan memory</t>
        </is>
      </c>
      <c r="H1410" s="47" t="inlineStr">
        <is>
          <t>Limited lifetime</t>
        </is>
      </c>
      <c r="I1410" s="47" t="inlineStr">
        <is>
          <t>FCC, CE, RoHS</t>
        </is>
      </c>
      <c r="J1410" s="47" t="inlineStr">
        <is>
          <t>N/A</t>
        </is>
      </c>
      <c r="K1410" s="47" t="inlineStr">
        <is>
          <t>N/A</t>
        </is>
      </c>
      <c r="L1410" s="47" t="inlineStr">
        <is>
          <t>N/A</t>
        </is>
      </c>
      <c r="M1410" s="47" t="inlineStr">
        <is>
          <t>N/A</t>
        </is>
      </c>
      <c r="N1410" s="47" t="inlineStr">
        <is>
          <t>2x 16GB DDR5 288-pin DIMM, 7200 MT/s</t>
        </is>
      </c>
      <c r="O1410" s="47" t="inlineStr">
        <is>
          <t>N/A</t>
        </is>
      </c>
      <c r="P1410" s="47" t="inlineStr">
        <is>
          <t>N/A</t>
        </is>
      </c>
      <c r="Q1410" s="50" t="n">
        <v>79</v>
      </c>
      <c r="R1410" s="47" t="inlineStr">
        <is>
          <t>Lighter than Phanes Aria SE 32GB DDR5 RAM Kit [PHA-138-07] (79 g vs 83 g); Lower price than Astraeus Pulse Air 32GB DDR5 RAM Kit [AST-146-05] ($232.99 vs $235.99)</t>
        </is>
      </c>
      <c r="S1410" s="47" t="inlineStr">
        <is>
          <t>gaming, multitasking, PC building</t>
        </is>
      </c>
      <c r="T1410" s="0" t="inlineStr">
        <is>
          <t>in_stock</t>
        </is>
      </c>
      <c r="U1410" s="0" t="n">
        <v>45</v>
      </c>
      <c r="V1410" s="52" t="n">
        <v>253.99</v>
      </c>
      <c r="W1410" s="0" t="inlineStr">
        <is>
          <t>2026-08-03</t>
        </is>
      </c>
      <c r="X1410" s="0" t="inlineStr">
        <is>
          <t>N/A</t>
        </is>
      </c>
      <c r="Y1410" s="0" t="inlineStr">
        <is>
          <t>N/A</t>
        </is>
      </c>
      <c r="Z1410" s="0" t="inlineStr">
        <is>
          <t>N/A</t>
        </is>
      </c>
      <c r="AA1410" s="0" t="inlineStr">
        <is>
          <t>N/A</t>
        </is>
      </c>
    </row>
    <row r="1411" ht="15.75" customHeight="1" s="51">
      <c r="A1411" s="47" t="inlineStr">
        <is>
          <t>ARE-140-09</t>
        </is>
      </c>
      <c r="B1411" s="47" t="inlineStr">
        <is>
          <t>Ares</t>
        </is>
      </c>
      <c r="C1411" s="47" t="inlineStr">
        <is>
          <t>Computer Hardware</t>
        </is>
      </c>
      <c r="D1411" s="47" t="inlineStr">
        <is>
          <t>Cooling</t>
        </is>
      </c>
      <c r="E1411" s="48" t="inlineStr">
        <is>
          <t>Ares Crest 360mm AIO CPU Cooler</t>
        </is>
      </c>
      <c r="F1411" s="49" t="n">
        <v>245.99</v>
      </c>
      <c r="G1411" s="47" t="inlineStr">
        <is>
          <t>the Crest; Ares Crest; Arees Crest; Crest cooling</t>
        </is>
      </c>
      <c r="H1411" s="47" t="inlineStr">
        <is>
          <t>5 year limited</t>
        </is>
      </c>
      <c r="I1411" s="47" t="inlineStr">
        <is>
          <t>FCC, CE, RoHS</t>
        </is>
      </c>
      <c r="J1411" s="47" t="inlineStr">
        <is>
          <t>N/A</t>
        </is>
      </c>
      <c r="K1411" s="47" t="inlineStr">
        <is>
          <t>N/A</t>
        </is>
      </c>
      <c r="L1411" s="47" t="inlineStr">
        <is>
          <t>IPS pump-head screen</t>
        </is>
      </c>
      <c r="M1411" s="47" t="inlineStr">
        <is>
          <t>480x480</t>
        </is>
      </c>
      <c r="N1411" s="47" t="inlineStr">
        <is>
          <t>3x 4-pin PWM fans, 3-pin pump header, ARGB 5V; LGA1700/LGA1851/AM5 mounts</t>
        </is>
      </c>
      <c r="O1411" s="47" t="inlineStr">
        <is>
          <t>N/A</t>
        </is>
      </c>
      <c r="P1411" s="47" t="inlineStr">
        <is>
          <t>N/A</t>
        </is>
      </c>
      <c r="Q1411" s="50" t="n">
        <v>1771</v>
      </c>
      <c r="R1411" s="47" t="inlineStr">
        <is>
          <t>Lower price than Atlas Arc Ultra 360mm AIO CPU Cooler [ATL-122-08] ($245.99 vs $274.99); Lighter than Gaia Quanta Plus 360mm AIO CPU Cooler [GAI-125-08] (1,771 g vs 1,824 g)</t>
        </is>
      </c>
      <c r="S1411" s="47" t="inlineStr">
        <is>
          <t>overclocking, gaming, quiet builds</t>
        </is>
      </c>
      <c r="T1411" s="0" t="inlineStr">
        <is>
          <t>low_stock</t>
        </is>
      </c>
      <c r="U1411" s="0" t="n">
        <v>45</v>
      </c>
      <c r="V1411" s="52" t="n">
        <v>261.99</v>
      </c>
      <c r="W1411" s="0" t="inlineStr">
        <is>
          <t>2026-09-10</t>
        </is>
      </c>
      <c r="X1411" s="0" t="inlineStr">
        <is>
          <t>N/A</t>
        </is>
      </c>
      <c r="Y1411" s="0" t="inlineStr">
        <is>
          <t>N/A</t>
        </is>
      </c>
      <c r="Z1411" s="0" t="inlineStr">
        <is>
          <t>N/A</t>
        </is>
      </c>
      <c r="AA1411" s="0" t="inlineStr">
        <is>
          <t>N/A</t>
        </is>
      </c>
    </row>
    <row r="1412" ht="15.75" customHeight="1" s="51">
      <c r="A1412" s="47" t="inlineStr">
        <is>
          <t>ARE-140-10</t>
        </is>
      </c>
      <c r="B1412" s="47" t="inlineStr">
        <is>
          <t>Ares</t>
        </is>
      </c>
      <c r="C1412" s="47" t="inlineStr">
        <is>
          <t>Computer Hardware</t>
        </is>
      </c>
      <c r="D1412" s="47" t="inlineStr">
        <is>
          <t>Monitor</t>
        </is>
      </c>
      <c r="E1412" s="48" t="inlineStr">
        <is>
          <t>Ares Vibe X 27" 1440p Monitor</t>
        </is>
      </c>
      <c r="F1412" s="49" t="n">
        <v>621.99</v>
      </c>
      <c r="G1412" s="47" t="inlineStr">
        <is>
          <t>the Vibe X; Ares Vibe X; Are Vibe X; Vibe X monitor</t>
        </is>
      </c>
      <c r="H1412" s="47" t="inlineStr">
        <is>
          <t>3 year limited</t>
        </is>
      </c>
      <c r="I1412" s="47" t="inlineStr">
        <is>
          <t>FCC, CE, RoHS, Energy Star, TUV Rheinland Low Blue Light, VESA DisplayHDR True Black 400</t>
        </is>
      </c>
      <c r="J1412" s="47" t="inlineStr">
        <is>
          <t>N/A</t>
        </is>
      </c>
      <c r="K1412" s="47" t="inlineStr">
        <is>
          <t>N/A</t>
        </is>
      </c>
      <c r="L1412" s="47" t="inlineStr">
        <is>
          <t>QD-OLED, 360Hz</t>
        </is>
      </c>
      <c r="M1412" s="47" t="inlineStr">
        <is>
          <t>2560x1440</t>
        </is>
      </c>
      <c r="N1412" s="47" t="inlineStr">
        <is>
          <t>2x HDMI 2.1, 1x DisplayPort 1.4, USB-C 90W, USB hub</t>
        </is>
      </c>
      <c r="O1412" s="47" t="inlineStr">
        <is>
          <t>N/A</t>
        </is>
      </c>
      <c r="P1412" s="47" t="inlineStr">
        <is>
          <t>N/A</t>
        </is>
      </c>
      <c r="Q1412" s="50" t="n">
        <v>5151</v>
      </c>
      <c r="R1412" s="47" t="inlineStr">
        <is>
          <t>Lighter than Ceto Drift Pro 27" 1440p Monitor [CET-131-10] (5,151 g vs 5,181 g); Lower price than Crius Vertex X 27" 1440p Monitor [CRI-139-10] ($621.99 vs $623.99)</t>
        </is>
      </c>
      <c r="S1412" s="47" t="inlineStr">
        <is>
          <t>gaming, office, content creation</t>
        </is>
      </c>
      <c r="T1412" s="0" t="inlineStr">
        <is>
          <t>out_of_stock</t>
        </is>
      </c>
      <c r="U1412" s="0" t="n">
        <v>45</v>
      </c>
      <c r="V1412" s="52" t="n">
        <v>673.99</v>
      </c>
      <c r="W1412" s="0" t="inlineStr">
        <is>
          <t>2026-09-03</t>
        </is>
      </c>
      <c r="X1412" s="0" t="inlineStr">
        <is>
          <t>N/A</t>
        </is>
      </c>
      <c r="Y1412" s="0" t="inlineStr">
        <is>
          <t>N/A</t>
        </is>
      </c>
      <c r="Z1412" s="0" t="inlineStr">
        <is>
          <t>N/A</t>
        </is>
      </c>
      <c r="AA1412" s="0" t="inlineStr">
        <is>
          <t>N/A</t>
        </is>
      </c>
    </row>
    <row r="1413" ht="15.75" customHeight="1" s="51">
      <c r="A1413" s="47" t="inlineStr">
        <is>
          <t>APH-141-01</t>
        </is>
      </c>
      <c r="B1413" s="47" t="inlineStr">
        <is>
          <t>Aphrodite</t>
        </is>
      </c>
      <c r="C1413" s="47" t="inlineStr">
        <is>
          <t>Computer Hardware</t>
        </is>
      </c>
      <c r="D1413" s="47" t="inlineStr">
        <is>
          <t>Case Fans</t>
        </is>
      </c>
      <c r="E1413" s="48" t="inlineStr">
        <is>
          <t>Aphrodite Spark Pro RGB Case Fan 3-Pack</t>
        </is>
      </c>
      <c r="F1413" s="49" t="n">
        <v>60.99</v>
      </c>
      <c r="G1413" s="47" t="inlineStr">
        <is>
          <t>the Spark Pro; Aphrodite Spark Pro; Afrodite Spark Pro; Spark Pro case fans</t>
        </is>
      </c>
      <c r="H1413" s="47" t="inlineStr">
        <is>
          <t>2 year limited</t>
        </is>
      </c>
      <c r="I1413" s="47" t="inlineStr">
        <is>
          <t>FCC, CE, RoHS</t>
        </is>
      </c>
      <c r="J1413" s="47" t="inlineStr">
        <is>
          <t>N/A</t>
        </is>
      </c>
      <c r="K1413" s="47" t="inlineStr">
        <is>
          <t>N/A</t>
        </is>
      </c>
      <c r="L1413" s="47" t="inlineStr">
        <is>
          <t>N/A</t>
        </is>
      </c>
      <c r="M1413" s="47" t="inlineStr">
        <is>
          <t>N/A</t>
        </is>
      </c>
      <c r="N1413" s="47" t="inlineStr">
        <is>
          <t>4-pin PWM, 3-pin 5V ARGB, daisy-chain connectors</t>
        </is>
      </c>
      <c r="O1413" s="47" t="inlineStr">
        <is>
          <t>N/A</t>
        </is>
      </c>
      <c r="P1413" s="47" t="inlineStr">
        <is>
          <t>N/A</t>
        </is>
      </c>
      <c r="Q1413" s="50" t="n">
        <v>481</v>
      </c>
      <c r="R1413" s="47" t="inlineStr">
        <is>
          <t>Lower price than Phanes Sable Plus RGB Case Fan 3-Pack [PHA-138-01] ($60.99 vs $81.99); Lighter than Palaemon Halo Air RGB Case Fan 3-Pack [PAL-127-01] (481 g vs 491 g)</t>
        </is>
      </c>
      <c r="S1413" s="47" t="inlineStr">
        <is>
          <t>PC building, cooling, RGB builds</t>
        </is>
      </c>
      <c r="T1413" s="0" t="inlineStr">
        <is>
          <t>in_stock</t>
        </is>
      </c>
      <c r="U1413" s="0" t="n">
        <v>15</v>
      </c>
      <c r="V1413" s="52" t="n">
        <v>67.98999999999999</v>
      </c>
      <c r="W1413" s="0" t="inlineStr">
        <is>
          <t>2026-08-05</t>
        </is>
      </c>
      <c r="X1413" s="0" t="inlineStr">
        <is>
          <t>N/A</t>
        </is>
      </c>
      <c r="Y1413" s="0" t="inlineStr">
        <is>
          <t>N/A</t>
        </is>
      </c>
      <c r="Z1413" s="0" t="inlineStr">
        <is>
          <t>N/A</t>
        </is>
      </c>
      <c r="AA1413" s="0" t="inlineStr">
        <is>
          <t>N/A</t>
        </is>
      </c>
    </row>
    <row r="1414" ht="15.75" customHeight="1" s="51">
      <c r="A1414" s="47" t="inlineStr">
        <is>
          <t>APH-141-02</t>
        </is>
      </c>
      <c r="B1414" s="47" t="inlineStr">
        <is>
          <t>Aphrodite</t>
        </is>
      </c>
      <c r="C1414" s="47" t="inlineStr">
        <is>
          <t>Computer Hardware</t>
        </is>
      </c>
      <c r="D1414" s="47" t="inlineStr">
        <is>
          <t>Keyboard</t>
        </is>
      </c>
      <c r="E1414" s="48" t="inlineStr">
        <is>
          <t>Aphrodite Pulse Mechanical Keyboard</t>
        </is>
      </c>
      <c r="F1414" s="49" t="n">
        <v>96.98999999999999</v>
      </c>
      <c r="G1414" s="47" t="inlineStr">
        <is>
          <t>the Pulse; Aphrodite Pulse; Aphroodite Pulse; Pulse keyboard</t>
        </is>
      </c>
      <c r="H1414" s="47" t="inlineStr">
        <is>
          <t>2 year limited</t>
        </is>
      </c>
      <c r="I1414" s="47" t="inlineStr">
        <is>
          <t>FCC, CE, RoHS</t>
        </is>
      </c>
      <c r="J1414" s="47" t="inlineStr">
        <is>
          <t>N/A</t>
        </is>
      </c>
      <c r="K1414" s="47" t="inlineStr">
        <is>
          <t>N/A</t>
        </is>
      </c>
      <c r="L1414" s="47" t="inlineStr">
        <is>
          <t>N/A</t>
        </is>
      </c>
      <c r="M1414" s="47" t="inlineStr">
        <is>
          <t>N/A</t>
        </is>
      </c>
      <c r="N1414" s="47" t="inlineStr">
        <is>
          <t>USB-C wired</t>
        </is>
      </c>
      <c r="O1414" s="47" t="inlineStr">
        <is>
          <t>N/A</t>
        </is>
      </c>
      <c r="P1414" s="47" t="inlineStr">
        <is>
          <t>N/A</t>
        </is>
      </c>
      <c r="Q1414" s="50" t="n">
        <v>944</v>
      </c>
      <c r="R1414" s="47" t="inlineStr">
        <is>
          <t>Lighter than Notus Rift Mechanical Keyboard [NOT-108-04] (944 g vs 954 g); Lower price than Atlas Strata Ultra Mechanical Keyboard [ATL-122-07] ($96.99 vs $177.99)</t>
        </is>
      </c>
      <c r="S1414" s="47" t="inlineStr">
        <is>
          <t>gaming, typing, office</t>
        </is>
      </c>
      <c r="T1414" s="0" t="inlineStr">
        <is>
          <t>in_stock</t>
        </is>
      </c>
      <c r="U1414" s="0" t="n">
        <v>15</v>
      </c>
      <c r="V1414" s="52" t="n">
        <v>104.99</v>
      </c>
      <c r="W1414" s="0" t="inlineStr">
        <is>
          <t>2026-08-02</t>
        </is>
      </c>
      <c r="X1414" s="0" t="inlineStr">
        <is>
          <t>N/A</t>
        </is>
      </c>
      <c r="Y1414" s="0" t="inlineStr">
        <is>
          <t>N/A</t>
        </is>
      </c>
      <c r="Z1414" s="0" t="inlineStr">
        <is>
          <t>N/A</t>
        </is>
      </c>
      <c r="AA1414" s="0" t="inlineStr">
        <is>
          <t>N/A</t>
        </is>
      </c>
    </row>
    <row r="1415" ht="15.75" customHeight="1" s="51">
      <c r="A1415" s="47" t="inlineStr">
        <is>
          <t>APH-141-03</t>
        </is>
      </c>
      <c r="B1415" s="47" t="inlineStr">
        <is>
          <t>Aphrodite</t>
        </is>
      </c>
      <c r="C1415" s="47" t="inlineStr">
        <is>
          <t>Computer Hardware</t>
        </is>
      </c>
      <c r="D1415" s="47" t="inlineStr">
        <is>
          <t>Networking</t>
        </is>
      </c>
      <c r="E1415" s="48" t="inlineStr">
        <is>
          <t>Aphrodite Vertex Max Wi-Fi 7 PCIe Card</t>
        </is>
      </c>
      <c r="F1415" s="49" t="n">
        <v>107.99</v>
      </c>
      <c r="G1415" s="47" t="inlineStr">
        <is>
          <t>the Vertex Max; Aphrodite Vertex Max; Aphordite Vertex Max; Vertex Max networking</t>
        </is>
      </c>
      <c r="H1415" s="47" t="inlineStr">
        <is>
          <t>2 year limited</t>
        </is>
      </c>
      <c r="I1415" s="47" t="inlineStr">
        <is>
          <t>FCC, CE, RoHS, Wi-Fi CERTIFIED 7, Bluetooth SIG Qualified</t>
        </is>
      </c>
      <c r="J1415" s="47" t="inlineStr">
        <is>
          <t>Chipset: Intel BE200</t>
        </is>
      </c>
      <c r="K1415" s="47" t="inlineStr">
        <is>
          <t>N/A</t>
        </is>
      </c>
      <c r="L1415" s="47" t="inlineStr">
        <is>
          <t>N/A</t>
        </is>
      </c>
      <c r="M1415" s="47" t="inlineStr">
        <is>
          <t>N/A</t>
        </is>
      </c>
      <c r="N1415" s="47" t="inlineStr">
        <is>
          <t>PCIe x1, internal USB 2.0 header (Bluetooth 5.4), 2x external antennas</t>
        </is>
      </c>
      <c r="O1415" s="47" t="inlineStr">
        <is>
          <t>N/A</t>
        </is>
      </c>
      <c r="P1415" s="47" t="inlineStr">
        <is>
          <t>N/A</t>
        </is>
      </c>
      <c r="Q1415" s="50" t="n">
        <v>92</v>
      </c>
      <c r="R1415" s="47" t="inlineStr">
        <is>
          <t>Lighter than Aidos Quanta Air Wi-Fi 7 PCIe Card [AID-135-01] (92 g vs 102 g); Lower price than Nike Nova Max Wi-Fi 7 PCIe Card [NIK-132-05] ($107.99 vs $115.99)</t>
        </is>
      </c>
      <c r="S1415" s="47" t="inlineStr">
        <is>
          <t>gaming, streaming, PC building</t>
        </is>
      </c>
      <c r="T1415" s="0" t="inlineStr">
        <is>
          <t>in_stock</t>
        </is>
      </c>
      <c r="U1415" s="0" t="n">
        <v>15</v>
      </c>
      <c r="V1415" s="52" t="n">
        <v>118.99</v>
      </c>
      <c r="W1415" s="0" t="inlineStr">
        <is>
          <t>2026-08-26</t>
        </is>
      </c>
      <c r="X1415" s="0" t="inlineStr">
        <is>
          <t>N/A</t>
        </is>
      </c>
      <c r="Y1415" s="0" t="inlineStr">
        <is>
          <t>N/A</t>
        </is>
      </c>
      <c r="Z1415" s="0" t="inlineStr">
        <is>
          <t>N/A</t>
        </is>
      </c>
      <c r="AA1415" s="0" t="inlineStr">
        <is>
          <t>N/A</t>
        </is>
      </c>
    </row>
    <row r="1416" ht="15.75" customHeight="1" s="51">
      <c r="A1416" s="47" t="inlineStr">
        <is>
          <t>APH-141-04</t>
        </is>
      </c>
      <c r="B1416" s="47" t="inlineStr">
        <is>
          <t>Aphrodite</t>
        </is>
      </c>
      <c r="C1416" s="47" t="inlineStr">
        <is>
          <t>Computer Hardware</t>
        </is>
      </c>
      <c r="D1416" s="47" t="inlineStr">
        <is>
          <t>Power Supply</t>
        </is>
      </c>
      <c r="E1416" s="48" t="inlineStr">
        <is>
          <t>Aphrodite Vertex Lite 850W Power Supply</t>
        </is>
      </c>
      <c r="F1416" s="49" t="n">
        <v>113.99</v>
      </c>
      <c r="G1416" s="47" t="inlineStr">
        <is>
          <t>the Vertex Lite; Aphrodite Vertex Lite; Afrodite Vertex Lite; Vertex Lite power supply</t>
        </is>
      </c>
      <c r="H1416" s="47" t="inlineStr">
        <is>
          <t>10 year limited</t>
        </is>
      </c>
      <c r="I1416" s="47" t="inlineStr">
        <is>
          <t>FCC, CE, RoHS, 80 PLUS Gold, UL Listed</t>
        </is>
      </c>
      <c r="J1416" s="47" t="inlineStr">
        <is>
          <t>N/A</t>
        </is>
      </c>
      <c r="K1416" s="47" t="inlineStr">
        <is>
          <t>N/A</t>
        </is>
      </c>
      <c r="L1416" s="47" t="inlineStr">
        <is>
          <t>N/A</t>
        </is>
      </c>
      <c r="M1416" s="47" t="inlineStr">
        <is>
          <t>N/A</t>
        </is>
      </c>
      <c r="N1416" s="47" t="inlineStr">
        <is>
          <t>ATX 3.1, native 12V-2x6 (600W) connector, semi-modular</t>
        </is>
      </c>
      <c r="O1416" s="47" t="inlineStr">
        <is>
          <t>N/A</t>
        </is>
      </c>
      <c r="P1416" s="47" t="inlineStr">
        <is>
          <t>N/A</t>
        </is>
      </c>
      <c r="Q1416" s="50" t="n">
        <v>2141</v>
      </c>
      <c r="R1416" s="47" t="inlineStr">
        <is>
          <t>Lower price than Dione Onyx Pro 850W Power Supply [DIO-128-05] ($113.99 vs $138.99); Lighter than Nyx Quanta Pro 850W Power Supply [NYX-115-05] (2,141 g vs 2,184 g)</t>
        </is>
      </c>
      <c r="S1416" s="47" t="inlineStr">
        <is>
          <t>PC building, high-end gaming</t>
        </is>
      </c>
      <c r="T1416" s="0" t="inlineStr">
        <is>
          <t>in_stock</t>
        </is>
      </c>
      <c r="U1416" s="0" t="n">
        <v>15</v>
      </c>
      <c r="V1416" s="52" t="n">
        <v>122.99</v>
      </c>
      <c r="W1416" s="0" t="inlineStr">
        <is>
          <t>2026-08-13</t>
        </is>
      </c>
      <c r="X1416" s="0" t="inlineStr">
        <is>
          <t>N/A</t>
        </is>
      </c>
      <c r="Y1416" s="0" t="inlineStr">
        <is>
          <t>N/A</t>
        </is>
      </c>
      <c r="Z1416" s="0" t="inlineStr">
        <is>
          <t>N/A</t>
        </is>
      </c>
      <c r="AA1416" s="0" t="inlineStr">
        <is>
          <t>N/A</t>
        </is>
      </c>
    </row>
    <row r="1417" ht="15.75" customHeight="1" s="51">
      <c r="A1417" s="47" t="inlineStr">
        <is>
          <t>APH-141-05</t>
        </is>
      </c>
      <c r="B1417" s="47" t="inlineStr">
        <is>
          <t>Aphrodite</t>
        </is>
      </c>
      <c r="C1417" s="47" t="inlineStr">
        <is>
          <t>Computer Hardware</t>
        </is>
      </c>
      <c r="D1417" s="47" t="inlineStr">
        <is>
          <t>Mouse</t>
        </is>
      </c>
      <c r="E1417" s="48" t="inlineStr">
        <is>
          <t>Aphrodite Volt Gaming Mouse</t>
        </is>
      </c>
      <c r="F1417" s="49" t="n">
        <v>122.99</v>
      </c>
      <c r="G1417" s="47" t="inlineStr">
        <is>
          <t>the Volt; Aphrodite Volt; Aphroidte Volt; Volt mouse</t>
        </is>
      </c>
      <c r="H1417" s="47" t="inlineStr">
        <is>
          <t>2 year limited</t>
        </is>
      </c>
      <c r="I1417" s="47" t="inlineStr">
        <is>
          <t>FCC, CE, RoHS, Bluetooth SIG Qualified</t>
        </is>
      </c>
      <c r="J1417" s="47" t="inlineStr">
        <is>
          <t>Sensor: 30K DPI optical</t>
        </is>
      </c>
      <c r="K1417" s="47" t="inlineStr">
        <is>
          <t>N/A</t>
        </is>
      </c>
      <c r="L1417" s="47" t="inlineStr">
        <is>
          <t>N/A</t>
        </is>
      </c>
      <c r="M1417" s="47" t="inlineStr">
        <is>
          <t>N/A</t>
        </is>
      </c>
      <c r="N1417" s="47" t="inlineStr">
        <is>
          <t>USB-C, 2.4GHz dongle, Bluetooth 5.1</t>
        </is>
      </c>
      <c r="O1417" s="47" t="inlineStr">
        <is>
          <t>N/A</t>
        </is>
      </c>
      <c r="P1417" s="47" t="n">
        <v>96</v>
      </c>
      <c r="Q1417" s="50" t="n">
        <v>93</v>
      </c>
      <c r="R1417" s="47" t="inlineStr">
        <is>
          <t>Lower price than Hades Vibe Gaming Mouse [HAD-119-04] ($122.99 vs $144.99); Longer battery than Atlas Arc Plus Gaming Mouse [ATL-122-02] (96 vs 86 hrs)</t>
        </is>
      </c>
      <c r="S1417" s="47" t="inlineStr">
        <is>
          <t>gaming, esports</t>
        </is>
      </c>
      <c r="T1417" s="0" t="inlineStr">
        <is>
          <t>in_stock</t>
        </is>
      </c>
      <c r="U1417" s="0" t="n">
        <v>15</v>
      </c>
      <c r="V1417" s="52" t="n">
        <v>140.99</v>
      </c>
      <c r="W1417" s="0" t="inlineStr">
        <is>
          <t>2026-08-11</t>
        </is>
      </c>
      <c r="X1417" s="0" t="inlineStr">
        <is>
          <t>N/A</t>
        </is>
      </c>
      <c r="Y1417" s="0" t="inlineStr">
        <is>
          <t>N/A</t>
        </is>
      </c>
      <c r="Z1417" s="0" t="inlineStr">
        <is>
          <t>N/A</t>
        </is>
      </c>
      <c r="AA1417" s="0" t="inlineStr">
        <is>
          <t>N/A</t>
        </is>
      </c>
    </row>
    <row r="1418" ht="15.75" customHeight="1" s="51">
      <c r="A1418" s="47" t="inlineStr">
        <is>
          <t>APH-141-06</t>
        </is>
      </c>
      <c r="B1418" s="47" t="inlineStr">
        <is>
          <t>Aphrodite</t>
        </is>
      </c>
      <c r="C1418" s="47" t="inlineStr">
        <is>
          <t>Computer Hardware</t>
        </is>
      </c>
      <c r="D1418" s="47" t="inlineStr">
        <is>
          <t>PC Case</t>
        </is>
      </c>
      <c r="E1418" s="48" t="inlineStr">
        <is>
          <t>Aphrodite Orbit Mid-Tower PC Case</t>
        </is>
      </c>
      <c r="F1418" s="49" t="n">
        <v>205.99</v>
      </c>
      <c r="G1418" s="47" t="inlineStr">
        <is>
          <t>the Orbit; Aphrodite Orbit; Aphordite Orbit; Orbit pc case</t>
        </is>
      </c>
      <c r="H1418" s="47" t="inlineStr">
        <is>
          <t>2 year limited</t>
        </is>
      </c>
      <c r="I1418" s="47" t="inlineStr">
        <is>
          <t>FCC, CE, RoHS, UL 94 V-0 (materials)</t>
        </is>
      </c>
      <c r="J1418" s="47" t="inlineStr">
        <is>
          <t>N/A</t>
        </is>
      </c>
      <c r="K1418" s="47" t="inlineStr">
        <is>
          <t>N/A</t>
        </is>
      </c>
      <c r="L1418" s="47" t="inlineStr">
        <is>
          <t>N/A</t>
        </is>
      </c>
      <c r="M1418" s="47" t="inlineStr">
        <is>
          <t>N/A</t>
        </is>
      </c>
      <c r="N1418" s="47" t="inlineStr">
        <is>
          <t>Front I/O: 1x USB-C 10Gbps, 2x USB-A 3.0, 3.5mm combo audio</t>
        </is>
      </c>
      <c r="O1418" s="47" t="inlineStr">
        <is>
          <t>N/A</t>
        </is>
      </c>
      <c r="P1418" s="47" t="inlineStr">
        <is>
          <t>N/A</t>
        </is>
      </c>
      <c r="Q1418" s="50" t="n">
        <v>8823</v>
      </c>
      <c r="R1418" s="47" t="inlineStr">
        <is>
          <t>Lighter than Kairos Vertex Air Mid-Tower PC Case [KAI-142-04] (8,823 g vs 9,278 g); Lower price than Thalassa Halo Pro Mid-Tower PC Case [THA-126-08] ($205.99 vs $219.99)</t>
        </is>
      </c>
      <c r="S1418" s="47" t="inlineStr">
        <is>
          <t>PC building, gaming</t>
        </is>
      </c>
      <c r="T1418" s="0" t="inlineStr">
        <is>
          <t>in_stock</t>
        </is>
      </c>
      <c r="U1418" s="0" t="n">
        <v>15</v>
      </c>
      <c r="V1418" s="52" t="n">
        <v>225.99</v>
      </c>
      <c r="W1418" s="0" t="inlineStr">
        <is>
          <t>2026-08-10</t>
        </is>
      </c>
      <c r="X1418" s="0" t="inlineStr">
        <is>
          <t>N/A</t>
        </is>
      </c>
      <c r="Y1418" s="0" t="inlineStr">
        <is>
          <t>N/A</t>
        </is>
      </c>
      <c r="Z1418" s="0" t="inlineStr">
        <is>
          <t>N/A</t>
        </is>
      </c>
      <c r="AA1418" s="0" t="inlineStr">
        <is>
          <t>N/A</t>
        </is>
      </c>
    </row>
    <row r="1419" ht="15.75" customHeight="1" s="51">
      <c r="A1419" s="47" t="inlineStr">
        <is>
          <t>APH-141-07</t>
        </is>
      </c>
      <c r="B1419" s="47" t="inlineStr">
        <is>
          <t>Aphrodite</t>
        </is>
      </c>
      <c r="C1419" s="47" t="inlineStr">
        <is>
          <t>Computer Hardware</t>
        </is>
      </c>
      <c r="D1419" s="47" t="inlineStr">
        <is>
          <t>Memory</t>
        </is>
      </c>
      <c r="E1419" s="48" t="inlineStr">
        <is>
          <t>Aphrodite Pulse SE 32GB DDR5 RAM Kit</t>
        </is>
      </c>
      <c r="F1419" s="49" t="n">
        <v>211.99</v>
      </c>
      <c r="G1419" s="47" t="inlineStr">
        <is>
          <t>the Pulse SE; Aphrodite Pulse SE; Apphrodite Pulse SE; Pulse SE memory</t>
        </is>
      </c>
      <c r="H1419" s="47" t="inlineStr">
        <is>
          <t>Limited lifetime</t>
        </is>
      </c>
      <c r="I1419" s="47" t="inlineStr">
        <is>
          <t>FCC, CE, RoHS</t>
        </is>
      </c>
      <c r="J1419" s="47" t="inlineStr">
        <is>
          <t>N/A</t>
        </is>
      </c>
      <c r="K1419" s="47" t="inlineStr">
        <is>
          <t>N/A</t>
        </is>
      </c>
      <c r="L1419" s="47" t="inlineStr">
        <is>
          <t>N/A</t>
        </is>
      </c>
      <c r="M1419" s="47" t="inlineStr">
        <is>
          <t>N/A</t>
        </is>
      </c>
      <c r="N1419" s="47" t="inlineStr">
        <is>
          <t>2x 16GB DDR5 288-pin DIMM, 6400 MT/s</t>
        </is>
      </c>
      <c r="O1419" s="47" t="inlineStr">
        <is>
          <t>N/A</t>
        </is>
      </c>
      <c r="P1419" s="47" t="inlineStr">
        <is>
          <t>N/A</t>
        </is>
      </c>
      <c r="Q1419" s="50" t="n">
        <v>77</v>
      </c>
      <c r="R1419" s="47" t="inlineStr">
        <is>
          <t>Lighter than Perses Rift Lite 32GB DDR5 RAM Kit [PER-101-04] (77 g vs 83 g); Lower price than Nyx Crest 32GB DDR5 RAM Kit [NYX-115-06] ($211.99 vs $226.99)</t>
        </is>
      </c>
      <c r="S1419" s="47" t="inlineStr">
        <is>
          <t>gaming, multitasking, PC building</t>
        </is>
      </c>
      <c r="T1419" s="0" t="inlineStr">
        <is>
          <t>in_stock</t>
        </is>
      </c>
      <c r="U1419" s="0" t="n">
        <v>15</v>
      </c>
      <c r="V1419" s="52" t="n">
        <v>226.99</v>
      </c>
      <c r="W1419" s="0" t="inlineStr">
        <is>
          <t>2026-09-06</t>
        </is>
      </c>
      <c r="X1419" s="0" t="inlineStr">
        <is>
          <t>N/A</t>
        </is>
      </c>
      <c r="Y1419" s="0" t="inlineStr">
        <is>
          <t>N/A</t>
        </is>
      </c>
      <c r="Z1419" s="0" t="inlineStr">
        <is>
          <t>N/A</t>
        </is>
      </c>
      <c r="AA1419" s="0" t="inlineStr">
        <is>
          <t>N/A</t>
        </is>
      </c>
    </row>
    <row r="1420" ht="15.75" customHeight="1" s="51">
      <c r="A1420" s="47" t="inlineStr">
        <is>
          <t>APH-141-08</t>
        </is>
      </c>
      <c r="B1420" s="47" t="inlineStr">
        <is>
          <t>Aphrodite</t>
        </is>
      </c>
      <c r="C1420" s="47" t="inlineStr">
        <is>
          <t>Computer Hardware</t>
        </is>
      </c>
      <c r="D1420" s="47" t="inlineStr">
        <is>
          <t>Cooling</t>
        </is>
      </c>
      <c r="E1420" s="48" t="inlineStr">
        <is>
          <t>Aphrodite Halo Plus 360mm AIO CPU Cooler</t>
        </is>
      </c>
      <c r="F1420" s="49" t="n">
        <v>255.99</v>
      </c>
      <c r="G1420" s="47" t="inlineStr">
        <is>
          <t>the Halo Plus; Aphrodite Halo Plus; Aphroidte Halo Plus; Halo Plus cooling</t>
        </is>
      </c>
      <c r="H1420" s="47" t="inlineStr">
        <is>
          <t>5 year limited</t>
        </is>
      </c>
      <c r="I1420" s="47" t="inlineStr">
        <is>
          <t>FCC, CE, RoHS</t>
        </is>
      </c>
      <c r="J1420" s="47" t="inlineStr">
        <is>
          <t>N/A</t>
        </is>
      </c>
      <c r="K1420" s="47" t="inlineStr">
        <is>
          <t>N/A</t>
        </is>
      </c>
      <c r="L1420" s="47" t="inlineStr">
        <is>
          <t>IPS pump-head screen</t>
        </is>
      </c>
      <c r="M1420" s="47" t="inlineStr">
        <is>
          <t>480x480</t>
        </is>
      </c>
      <c r="N1420" s="47" t="inlineStr">
        <is>
          <t>3x 4-pin PWM fans, 3-pin pump header, ARGB 5V; LGA1700/LGA1851/AM5 mounts</t>
        </is>
      </c>
      <c r="O1420" s="47" t="inlineStr">
        <is>
          <t>N/A</t>
        </is>
      </c>
      <c r="P1420" s="47" t="inlineStr">
        <is>
          <t>N/A</t>
        </is>
      </c>
      <c r="Q1420" s="50" t="n">
        <v>1868</v>
      </c>
      <c r="R1420" s="47" t="inlineStr">
        <is>
          <t>Lighter than Eros Prism X 360mm AIO CPU Cooler [ERO-134-03] (1,868 g vs 1,876 g); Lower price than Atlas Arc Ultra 360mm AIO CPU Cooler [ATL-122-08] ($255.99 vs $274.99)</t>
        </is>
      </c>
      <c r="S1420" s="47" t="inlineStr">
        <is>
          <t>overclocking, gaming, quiet builds</t>
        </is>
      </c>
      <c r="T1420" s="0" t="inlineStr">
        <is>
          <t>in_stock</t>
        </is>
      </c>
      <c r="U1420" s="0" t="n">
        <v>15</v>
      </c>
      <c r="V1420" s="52" t="n">
        <v>292.99</v>
      </c>
      <c r="W1420" s="0" t="inlineStr">
        <is>
          <t>2026-09-10</t>
        </is>
      </c>
      <c r="X1420" s="0" t="inlineStr">
        <is>
          <t>N/A</t>
        </is>
      </c>
      <c r="Y1420" s="0" t="inlineStr">
        <is>
          <t>N/A</t>
        </is>
      </c>
      <c r="Z1420" s="0" t="inlineStr">
        <is>
          <t>N/A</t>
        </is>
      </c>
      <c r="AA1420" s="0" t="inlineStr">
        <is>
          <t>N/A</t>
        </is>
      </c>
    </row>
    <row r="1421" ht="15.75" customHeight="1" s="51">
      <c r="A1421" s="47" t="inlineStr">
        <is>
          <t>APH-141-09</t>
        </is>
      </c>
      <c r="B1421" s="47" t="inlineStr">
        <is>
          <t>Aphrodite</t>
        </is>
      </c>
      <c r="C1421" s="47" t="inlineStr">
        <is>
          <t>Computer Hardware</t>
        </is>
      </c>
      <c r="D1421" s="47" t="inlineStr">
        <is>
          <t>Docking Station</t>
        </is>
      </c>
      <c r="E1421" s="48" t="inlineStr">
        <is>
          <t>Aphrodite Volt X USB-C Docking Station</t>
        </is>
      </c>
      <c r="F1421" s="49" t="n">
        <v>273.99</v>
      </c>
      <c r="G1421" s="47" t="inlineStr">
        <is>
          <t>the Volt X; Aphrodite Volt X; Aphrodit Volt X; Volt X docking station</t>
        </is>
      </c>
      <c r="H1421" s="47" t="inlineStr">
        <is>
          <t>2 year limited</t>
        </is>
      </c>
      <c r="I1421" s="47" t="inlineStr">
        <is>
          <t>FCC, CE, RoHS, USB-IF Certified, UL Listed</t>
        </is>
      </c>
      <c r="J1421" s="47" t="inlineStr">
        <is>
          <t>N/A</t>
        </is>
      </c>
      <c r="K1421" s="47" t="inlineStr">
        <is>
          <t>N/A</t>
        </is>
      </c>
      <c r="L1421" s="47" t="inlineStr">
        <is>
          <t>N/A</t>
        </is>
      </c>
      <c r="M1421" s="47" t="inlineStr">
        <is>
          <t>N/A</t>
        </is>
      </c>
      <c r="N1421" s="47" t="inlineStr">
        <is>
          <t>Thunderbolt 4 host, 2x HDMI 2.1, 4x USB-A, 3x USB-C, 2.5GbE, SD/microSD, 96W PD</t>
        </is>
      </c>
      <c r="O1421" s="47" t="inlineStr">
        <is>
          <t>N/A</t>
        </is>
      </c>
      <c r="P1421" s="47" t="inlineStr">
        <is>
          <t>N/A</t>
        </is>
      </c>
      <c r="Q1421" s="50" t="n">
        <v>267</v>
      </c>
      <c r="R1421" s="47" t="inlineStr">
        <is>
          <t>Lower price than Hymenaeus Sable X USB-C Docking Station [HYM-121-06] ($273.99 vs $325.99); Lighter than Hemera Halo USB-C Docking Station [HEM-117-03] (267 g vs 322 g)</t>
        </is>
      </c>
      <c r="S1421" s="47" t="inlineStr">
        <is>
          <t>office, remote work, multi-monitor</t>
        </is>
      </c>
      <c r="T1421" s="0" t="inlineStr">
        <is>
          <t>in_stock</t>
        </is>
      </c>
      <c r="U1421" s="0" t="n">
        <v>15</v>
      </c>
      <c r="V1421" s="52" t="n">
        <v>282.99</v>
      </c>
      <c r="W1421" s="0" t="inlineStr">
        <is>
          <t>2026-08-04</t>
        </is>
      </c>
      <c r="X1421" s="0" t="inlineStr">
        <is>
          <t>N/A</t>
        </is>
      </c>
      <c r="Y1421" s="0" t="inlineStr">
        <is>
          <t>N/A</t>
        </is>
      </c>
      <c r="Z1421" s="0" t="inlineStr">
        <is>
          <t>N/A</t>
        </is>
      </c>
      <c r="AA1421" s="0" t="inlineStr">
        <is>
          <t>N/A</t>
        </is>
      </c>
    </row>
    <row r="1422" ht="15.75" customHeight="1" s="51">
      <c r="A1422" s="47" t="inlineStr">
        <is>
          <t>APH-141-10</t>
        </is>
      </c>
      <c r="B1422" s="47" t="inlineStr">
        <is>
          <t>Aphrodite</t>
        </is>
      </c>
      <c r="C1422" s="47" t="inlineStr">
        <is>
          <t>Computer Hardware</t>
        </is>
      </c>
      <c r="D1422" s="47" t="inlineStr">
        <is>
          <t>Graphics Card</t>
        </is>
      </c>
      <c r="E1422" s="48" t="inlineStr">
        <is>
          <t>Aphrodite Prism X Graphics Card</t>
        </is>
      </c>
      <c r="F1422" s="49" t="n">
        <v>419.99</v>
      </c>
      <c r="G1422" s="47" t="inlineStr">
        <is>
          <t>the Prism X; Aphrodite Prism X; Afrodite Prism X; Prism X graphics card</t>
        </is>
      </c>
      <c r="H1422" s="47" t="inlineStr">
        <is>
          <t>3 year limited</t>
        </is>
      </c>
      <c r="I1422" s="47" t="inlineStr">
        <is>
          <t>FCC, CE, RoHS</t>
        </is>
      </c>
      <c r="J1422" s="47" t="inlineStr">
        <is>
          <t>N/A</t>
        </is>
      </c>
      <c r="K1422" s="47" t="inlineStr">
        <is>
          <t>AMD Radeon RX 7700 XT 12GB (Aphrodite Prism edition)</t>
        </is>
      </c>
      <c r="L1422" s="47" t="inlineStr">
        <is>
          <t>N/A</t>
        </is>
      </c>
      <c r="M1422" s="47" t="inlineStr">
        <is>
          <t>N/A</t>
        </is>
      </c>
      <c r="N1422" s="47" t="inlineStr">
        <is>
          <t>2x DisplayPort 2.1, 1x HDMI 2.1, 1x USB-C</t>
        </is>
      </c>
      <c r="O1422" s="47" t="inlineStr">
        <is>
          <t>N/A</t>
        </is>
      </c>
      <c r="P1422" s="47" t="inlineStr">
        <is>
          <t>N/A</t>
        </is>
      </c>
      <c r="Q1422" s="50" t="n">
        <v>1653</v>
      </c>
      <c r="R1422" s="47" t="inlineStr">
        <is>
          <t>Lower price than Psyche Titan Max Graphics Card [PSY-144-09] ($419.99 vs $432.99); Lighter than Pheme Wave Ultra Graphics Card [PHE-102-10] (1,653 g vs 1,784 g)</t>
        </is>
      </c>
      <c r="S1422" s="47" t="inlineStr">
        <is>
          <t>gaming, 3D rendering, AI workloads</t>
        </is>
      </c>
      <c r="T1422" s="0" t="inlineStr">
        <is>
          <t>in_stock</t>
        </is>
      </c>
      <c r="U1422" s="0" t="n">
        <v>15</v>
      </c>
      <c r="V1422" s="52" t="n">
        <v>456.99</v>
      </c>
      <c r="W1422" s="0" t="inlineStr">
        <is>
          <t>2026-08-01</t>
        </is>
      </c>
      <c r="X1422" s="0" t="inlineStr">
        <is>
          <t>N/A</t>
        </is>
      </c>
      <c r="Y1422" s="0" t="inlineStr">
        <is>
          <t>N/A</t>
        </is>
      </c>
      <c r="Z1422" s="0" t="inlineStr">
        <is>
          <t>N/A</t>
        </is>
      </c>
      <c r="AA1422" s="0" t="inlineStr">
        <is>
          <t>N/A</t>
        </is>
      </c>
    </row>
    <row r="1423" ht="15.75" customHeight="1" s="51">
      <c r="A1423" s="47" t="inlineStr">
        <is>
          <t>KAI-142-01</t>
        </is>
      </c>
      <c r="B1423" s="47" t="inlineStr">
        <is>
          <t>Kairos</t>
        </is>
      </c>
      <c r="C1423" s="47" t="inlineStr">
        <is>
          <t>Computer Hardware</t>
        </is>
      </c>
      <c r="D1423" s="47" t="inlineStr">
        <is>
          <t>Mouse</t>
        </is>
      </c>
      <c r="E1423" s="48" t="inlineStr">
        <is>
          <t>Kairos Volt Air Gaming Mouse</t>
        </is>
      </c>
      <c r="F1423" s="49" t="n">
        <v>63.99</v>
      </c>
      <c r="G1423" s="47" t="inlineStr">
        <is>
          <t>the Volt Air; Kairos Volt Air; Kaiross Volt Air; Volt Air mouse</t>
        </is>
      </c>
      <c r="H1423" s="47" t="inlineStr">
        <is>
          <t>2 year limited</t>
        </is>
      </c>
      <c r="I1423" s="47" t="inlineStr">
        <is>
          <t>FCC, CE, RoHS</t>
        </is>
      </c>
      <c r="J1423" s="47" t="inlineStr">
        <is>
          <t>Sensor: 26K DPI optical</t>
        </is>
      </c>
      <c r="K1423" s="47" t="inlineStr">
        <is>
          <t>N/A</t>
        </is>
      </c>
      <c r="L1423" s="47" t="inlineStr">
        <is>
          <t>N/A</t>
        </is>
      </c>
      <c r="M1423" s="47" t="inlineStr">
        <is>
          <t>N/A</t>
        </is>
      </c>
      <c r="N1423" s="47" t="inlineStr">
        <is>
          <t>USB-C wired</t>
        </is>
      </c>
      <c r="O1423" s="47" t="inlineStr">
        <is>
          <t>N/A</t>
        </is>
      </c>
      <c r="P1423" s="47" t="inlineStr">
        <is>
          <t>N/A</t>
        </is>
      </c>
      <c r="Q1423" s="50" t="n">
        <v>93</v>
      </c>
      <c r="R1423" s="47" t="inlineStr">
        <is>
          <t>Lower price than Eris Halo SE Gaming Mouse [ERI-148-03] ($63.99 vs $126.99)</t>
        </is>
      </c>
      <c r="S1423" s="47" t="inlineStr">
        <is>
          <t>gaming, esports</t>
        </is>
      </c>
      <c r="T1423" s="0" t="inlineStr">
        <is>
          <t>low_stock</t>
        </is>
      </c>
      <c r="U1423" s="0" t="n">
        <v>45</v>
      </c>
      <c r="V1423" s="52" t="n">
        <v>70.98999999999999</v>
      </c>
      <c r="W1423" s="0" t="inlineStr">
        <is>
          <t>2026-08-01</t>
        </is>
      </c>
      <c r="X1423" s="0" t="inlineStr">
        <is>
          <t>N/A</t>
        </is>
      </c>
      <c r="Y1423" s="0" t="inlineStr">
        <is>
          <t>N/A</t>
        </is>
      </c>
      <c r="Z1423" s="0" t="inlineStr">
        <is>
          <t>N/A</t>
        </is>
      </c>
      <c r="AA1423" s="0" t="inlineStr">
        <is>
          <t>N/A</t>
        </is>
      </c>
    </row>
    <row r="1424" ht="15.75" customHeight="1" s="51">
      <c r="A1424" s="47" t="inlineStr">
        <is>
          <t>KAI-142-02</t>
        </is>
      </c>
      <c r="B1424" s="47" t="inlineStr">
        <is>
          <t>Kairos</t>
        </is>
      </c>
      <c r="C1424" s="47" t="inlineStr">
        <is>
          <t>Computer Hardware</t>
        </is>
      </c>
      <c r="D1424" s="47" t="inlineStr">
        <is>
          <t>Case Fans</t>
        </is>
      </c>
      <c r="E1424" s="48" t="inlineStr">
        <is>
          <t>Kairos Core Max RGB Case Fan 3-Pack</t>
        </is>
      </c>
      <c r="F1424" s="49" t="n">
        <v>89.98999999999999</v>
      </c>
      <c r="G1424" s="47" t="inlineStr">
        <is>
          <t>the Core Max; Kairos Core Max; Kaiross Core Max; Core Max case fans</t>
        </is>
      </c>
      <c r="H1424" s="47" t="inlineStr">
        <is>
          <t>2 year limited</t>
        </is>
      </c>
      <c r="I1424" s="47" t="inlineStr">
        <is>
          <t>FCC, CE, RoHS</t>
        </is>
      </c>
      <c r="J1424" s="47" t="inlineStr">
        <is>
          <t>N/A</t>
        </is>
      </c>
      <c r="K1424" s="47" t="inlineStr">
        <is>
          <t>N/A</t>
        </is>
      </c>
      <c r="L1424" s="47" t="inlineStr">
        <is>
          <t>N/A</t>
        </is>
      </c>
      <c r="M1424" s="47" t="inlineStr">
        <is>
          <t>N/A</t>
        </is>
      </c>
      <c r="N1424" s="47" t="inlineStr">
        <is>
          <t>4-pin PWM, 3-pin 5V ARGB, daisy-chain connectors</t>
        </is>
      </c>
      <c r="O1424" s="47" t="inlineStr">
        <is>
          <t>N/A</t>
        </is>
      </c>
      <c r="P1424" s="47" t="inlineStr">
        <is>
          <t>N/A</t>
        </is>
      </c>
      <c r="Q1424" s="50" t="n">
        <v>440</v>
      </c>
      <c r="R1424" s="47" t="inlineStr">
        <is>
          <t>Lighter than Geras Flux RGB Case Fan 3-Pack [GER-133-01] (440 g vs 517 g); Lower price than Crius Nimbus X RGB Case Fan 3-Pack [CRI-139-02] ($89.99 vs $94.99)</t>
        </is>
      </c>
      <c r="S1424" s="47" t="inlineStr">
        <is>
          <t>PC building, cooling, RGB builds</t>
        </is>
      </c>
      <c r="T1424" s="0" t="inlineStr">
        <is>
          <t>in_stock</t>
        </is>
      </c>
      <c r="U1424" s="0" t="n">
        <v>45</v>
      </c>
      <c r="V1424" s="52" t="n">
        <v>102.99</v>
      </c>
      <c r="W1424" s="0" t="inlineStr">
        <is>
          <t>2026-09-15</t>
        </is>
      </c>
      <c r="X1424" s="0" t="inlineStr">
        <is>
          <t>N/A</t>
        </is>
      </c>
      <c r="Y1424" s="0" t="inlineStr">
        <is>
          <t>N/A</t>
        </is>
      </c>
      <c r="Z1424" s="0" t="inlineStr">
        <is>
          <t>N/A</t>
        </is>
      </c>
      <c r="AA1424" s="0" t="inlineStr">
        <is>
          <t>N/A</t>
        </is>
      </c>
    </row>
    <row r="1425" ht="15.75" customHeight="1" s="51">
      <c r="A1425" s="47" t="inlineStr">
        <is>
          <t>KAI-142-03</t>
        </is>
      </c>
      <c r="B1425" s="47" t="inlineStr">
        <is>
          <t>Kairos</t>
        </is>
      </c>
      <c r="C1425" s="47" t="inlineStr">
        <is>
          <t>Computer Hardware</t>
        </is>
      </c>
      <c r="D1425" s="47" t="inlineStr">
        <is>
          <t>Webcam</t>
        </is>
      </c>
      <c r="E1425" s="48" t="inlineStr">
        <is>
          <t>Kairos Aeon Lite 4K Webcam</t>
        </is>
      </c>
      <c r="F1425" s="49" t="n">
        <v>106.99</v>
      </c>
      <c r="G1425" s="47" t="inlineStr">
        <is>
          <t>the Aeon Lite; Kairos Aeon Lite; Kaiross Aeon Lite; Aeon Lite webcam</t>
        </is>
      </c>
      <c r="H1425" s="47" t="inlineStr">
        <is>
          <t>2 year limited</t>
        </is>
      </c>
      <c r="I1425" s="47" t="inlineStr">
        <is>
          <t>FCC, CE, RoHS, USB-IF Certified</t>
        </is>
      </c>
      <c r="J1425" s="47" t="inlineStr">
        <is>
          <t>N/A</t>
        </is>
      </c>
      <c r="K1425" s="47" t="inlineStr">
        <is>
          <t>N/A</t>
        </is>
      </c>
      <c r="L1425" s="47" t="inlineStr">
        <is>
          <t>N/A</t>
        </is>
      </c>
      <c r="M1425" s="47" t="inlineStr">
        <is>
          <t>3840x2160 @ 30fps, 1080p @ 60fps</t>
        </is>
      </c>
      <c r="N1425" s="47" t="inlineStr">
        <is>
          <t>USB-C (USB 3.0)</t>
        </is>
      </c>
      <c r="O1425" s="47" t="inlineStr">
        <is>
          <t>N/A</t>
        </is>
      </c>
      <c r="P1425" s="47" t="inlineStr">
        <is>
          <t>N/A</t>
        </is>
      </c>
      <c r="Q1425" s="50" t="n">
        <v>133</v>
      </c>
      <c r="R1425" s="47" t="inlineStr">
        <is>
          <t>Lower price than Bia Apex Ultra 4K Webcam [BIA-107-05] ($106.99 vs $185.99); Lighter than Uranus Lumen 4K Webcam [URA-113-04] (133 g vs 154 g)</t>
        </is>
      </c>
      <c r="S1425" s="47" t="inlineStr">
        <is>
          <t>video calls, streaming, remote work</t>
        </is>
      </c>
      <c r="T1425" s="0" t="inlineStr">
        <is>
          <t>in_stock</t>
        </is>
      </c>
      <c r="U1425" s="0" t="n">
        <v>45</v>
      </c>
      <c r="V1425" s="52" t="n">
        <v>120.99</v>
      </c>
      <c r="W1425" s="0" t="inlineStr">
        <is>
          <t>2026-09-13</t>
        </is>
      </c>
      <c r="X1425" s="0" t="inlineStr">
        <is>
          <t>N/A</t>
        </is>
      </c>
      <c r="Y1425" s="0" t="inlineStr">
        <is>
          <t>N/A</t>
        </is>
      </c>
      <c r="Z1425" s="0" t="inlineStr">
        <is>
          <t>N/A</t>
        </is>
      </c>
      <c r="AA1425" s="0" t="inlineStr">
        <is>
          <t>N/A</t>
        </is>
      </c>
    </row>
    <row r="1426" ht="15.75" customHeight="1" s="51">
      <c r="A1426" s="47" t="inlineStr">
        <is>
          <t>KAI-142-04</t>
        </is>
      </c>
      <c r="B1426" s="47" t="inlineStr">
        <is>
          <t>Kairos</t>
        </is>
      </c>
      <c r="C1426" s="47" t="inlineStr">
        <is>
          <t>Computer Hardware</t>
        </is>
      </c>
      <c r="D1426" s="47" t="inlineStr">
        <is>
          <t>PC Case</t>
        </is>
      </c>
      <c r="E1426" s="48" t="inlineStr">
        <is>
          <t>Kairos Vertex Air Mid-Tower PC Case</t>
        </is>
      </c>
      <c r="F1426" s="49" t="n">
        <v>110.99</v>
      </c>
      <c r="G1426" s="47" t="inlineStr">
        <is>
          <t>the Vertex Air; Kairos Vertex Air; Kiaros Vertex Air; Vertex Air pc case</t>
        </is>
      </c>
      <c r="H1426" s="47" t="inlineStr">
        <is>
          <t>2 year limited</t>
        </is>
      </c>
      <c r="I1426" s="47" t="inlineStr">
        <is>
          <t>FCC, CE, RoHS, UL 94 V-0 (materials)</t>
        </is>
      </c>
      <c r="J1426" s="47" t="inlineStr">
        <is>
          <t>N/A</t>
        </is>
      </c>
      <c r="K1426" s="47" t="inlineStr">
        <is>
          <t>N/A</t>
        </is>
      </c>
      <c r="L1426" s="47" t="inlineStr">
        <is>
          <t>N/A</t>
        </is>
      </c>
      <c r="M1426" s="47" t="inlineStr">
        <is>
          <t>N/A</t>
        </is>
      </c>
      <c r="N1426" s="47" t="inlineStr">
        <is>
          <t>Front I/O: 1x USB-C 10Gbps, 2x USB-A 3.0, 3.5mm combo audio</t>
        </is>
      </c>
      <c r="O1426" s="47" t="inlineStr">
        <is>
          <t>N/A</t>
        </is>
      </c>
      <c r="P1426" s="47" t="inlineStr">
        <is>
          <t>N/A</t>
        </is>
      </c>
      <c r="Q1426" s="50" t="n">
        <v>9278</v>
      </c>
      <c r="R1426" s="47" t="inlineStr">
        <is>
          <t>Lower price than Eos Aria Ultra Mid-Tower PC Case [EOS-111-04] ($110.99 vs $152.99); Lighter than Hermes Blaze Max Mid-Tower PC Case [HER-103-05] (9,278 g vs 9,367 g)</t>
        </is>
      </c>
      <c r="S1426" s="47" t="inlineStr">
        <is>
          <t>PC building, gaming</t>
        </is>
      </c>
      <c r="T1426" s="0" t="inlineStr">
        <is>
          <t>low_stock</t>
        </is>
      </c>
      <c r="U1426" s="0" t="n">
        <v>45</v>
      </c>
      <c r="V1426" s="52" t="n">
        <v>123.99</v>
      </c>
      <c r="W1426" s="0" t="inlineStr">
        <is>
          <t>2026-09-13</t>
        </is>
      </c>
      <c r="X1426" s="0" t="inlineStr">
        <is>
          <t>N/A</t>
        </is>
      </c>
      <c r="Y1426" s="0" t="inlineStr">
        <is>
          <t>N/A</t>
        </is>
      </c>
      <c r="Z1426" s="0" t="inlineStr">
        <is>
          <t>N/A</t>
        </is>
      </c>
      <c r="AA1426" s="0" t="inlineStr">
        <is>
          <t>N/A</t>
        </is>
      </c>
    </row>
    <row r="1427" ht="15.75" customHeight="1" s="51">
      <c r="A1427" s="47" t="inlineStr">
        <is>
          <t>KAI-142-05</t>
        </is>
      </c>
      <c r="B1427" s="47" t="inlineStr">
        <is>
          <t>Kairos</t>
        </is>
      </c>
      <c r="C1427" s="47" t="inlineStr">
        <is>
          <t>Computer Hardware</t>
        </is>
      </c>
      <c r="D1427" s="47" t="inlineStr">
        <is>
          <t>Networking</t>
        </is>
      </c>
      <c r="E1427" s="48" t="inlineStr">
        <is>
          <t>Kairos Volt SE Wi-Fi 7 PCIe Card</t>
        </is>
      </c>
      <c r="F1427" s="49" t="n">
        <v>111.99</v>
      </c>
      <c r="G1427" s="47" t="inlineStr">
        <is>
          <t>the Volt SE; Kairos Volt SE; Kaiiros Volt SE; Volt SE networking</t>
        </is>
      </c>
      <c r="H1427" s="47" t="inlineStr">
        <is>
          <t>2 year limited</t>
        </is>
      </c>
      <c r="I1427" s="47" t="inlineStr">
        <is>
          <t>FCC, CE, RoHS, Wi-Fi CERTIFIED 7, Bluetooth SIG Qualified</t>
        </is>
      </c>
      <c r="J1427" s="47" t="inlineStr">
        <is>
          <t>Chipset: Intel BE200</t>
        </is>
      </c>
      <c r="K1427" s="47" t="inlineStr">
        <is>
          <t>N/A</t>
        </is>
      </c>
      <c r="L1427" s="47" t="inlineStr">
        <is>
          <t>N/A</t>
        </is>
      </c>
      <c r="M1427" s="47" t="inlineStr">
        <is>
          <t>N/A</t>
        </is>
      </c>
      <c r="N1427" s="47" t="inlineStr">
        <is>
          <t>PCIe x1, internal USB 2.0 header (Bluetooth 5.4), 2x external antennas</t>
        </is>
      </c>
      <c r="O1427" s="47" t="inlineStr">
        <is>
          <t>N/A</t>
        </is>
      </c>
      <c r="P1427" s="47" t="inlineStr">
        <is>
          <t>N/A</t>
        </is>
      </c>
      <c r="Q1427" s="50" t="n">
        <v>63</v>
      </c>
      <c r="R1427" s="47" t="inlineStr">
        <is>
          <t>Lighter than Atlas Nova Ultra Wi-Fi 7 PCIe Card [ATL-122-01] (63 g vs 72 g); Lower price than Nike Nova Max Wi-Fi 7 PCIe Card [NIK-132-05] ($111.99 vs $115.99)</t>
        </is>
      </c>
      <c r="S1427" s="47" t="inlineStr">
        <is>
          <t>gaming, streaming, PC building</t>
        </is>
      </c>
      <c r="T1427" s="0" t="inlineStr">
        <is>
          <t>low_stock</t>
        </is>
      </c>
      <c r="U1427" s="0" t="n">
        <v>45</v>
      </c>
      <c r="V1427" s="52" t="n">
        <v>116.99</v>
      </c>
      <c r="W1427" s="0" t="inlineStr">
        <is>
          <t>2026-08-17</t>
        </is>
      </c>
      <c r="X1427" s="0" t="inlineStr">
        <is>
          <t>N/A</t>
        </is>
      </c>
      <c r="Y1427" s="0" t="inlineStr">
        <is>
          <t>N/A</t>
        </is>
      </c>
      <c r="Z1427" s="0" t="inlineStr">
        <is>
          <t>N/A</t>
        </is>
      </c>
      <c r="AA1427" s="0" t="inlineStr">
        <is>
          <t>N/A</t>
        </is>
      </c>
    </row>
    <row r="1428" ht="15.75" customHeight="1" s="51">
      <c r="A1428" s="47" t="inlineStr">
        <is>
          <t>KAI-142-06</t>
        </is>
      </c>
      <c r="B1428" s="47" t="inlineStr">
        <is>
          <t>Kairos</t>
        </is>
      </c>
      <c r="C1428" s="47" t="inlineStr">
        <is>
          <t>Computer Hardware</t>
        </is>
      </c>
      <c r="D1428" s="47" t="inlineStr">
        <is>
          <t>Power Supply</t>
        </is>
      </c>
      <c r="E1428" s="48" t="inlineStr">
        <is>
          <t>Kairos Halo Air 850W Power Supply</t>
        </is>
      </c>
      <c r="F1428" s="49" t="n">
        <v>113.99</v>
      </c>
      <c r="G1428" s="47" t="inlineStr">
        <is>
          <t>the Halo Air; Kairos Halo Air; Kairo Halo Air; Halo Air power supply</t>
        </is>
      </c>
      <c r="H1428" s="47" t="inlineStr">
        <is>
          <t>7 year limited</t>
        </is>
      </c>
      <c r="I1428" s="47" t="inlineStr">
        <is>
          <t>FCC, CE, RoHS, 80 PLUS Gold, UL Listed</t>
        </is>
      </c>
      <c r="J1428" s="47" t="inlineStr">
        <is>
          <t>N/A</t>
        </is>
      </c>
      <c r="K1428" s="47" t="inlineStr">
        <is>
          <t>N/A</t>
        </is>
      </c>
      <c r="L1428" s="47" t="inlineStr">
        <is>
          <t>N/A</t>
        </is>
      </c>
      <c r="M1428" s="47" t="inlineStr">
        <is>
          <t>N/A</t>
        </is>
      </c>
      <c r="N1428" s="47" t="inlineStr">
        <is>
          <t>ATX 3.1, native 12V-2x6 (600W) connector, semi-modular</t>
        </is>
      </c>
      <c r="O1428" s="47" t="inlineStr">
        <is>
          <t>N/A</t>
        </is>
      </c>
      <c r="P1428" s="47" t="inlineStr">
        <is>
          <t>N/A</t>
        </is>
      </c>
      <c r="Q1428" s="50" t="n">
        <v>1999</v>
      </c>
      <c r="R1428" s="47" t="inlineStr">
        <is>
          <t>Lighter than Hera Sable X 850W Power Supply [HER-129-05] (1,999 g vs 2,198 g); Lower price than Iris Quanta X 850W Power Supply [IRI-130-03] ($113.99 vs $149.99)</t>
        </is>
      </c>
      <c r="S1428" s="47" t="inlineStr">
        <is>
          <t>PC building, high-end gaming</t>
        </is>
      </c>
      <c r="T1428" s="0" t="inlineStr">
        <is>
          <t>in_stock</t>
        </is>
      </c>
      <c r="U1428" s="0" t="n">
        <v>45</v>
      </c>
      <c r="V1428" s="52" t="n">
        <v>123.99</v>
      </c>
      <c r="W1428" s="0" t="inlineStr">
        <is>
          <t>2026-08-26</t>
        </is>
      </c>
      <c r="X1428" s="0" t="inlineStr">
        <is>
          <t>N/A</t>
        </is>
      </c>
      <c r="Y1428" s="0" t="inlineStr">
        <is>
          <t>N/A</t>
        </is>
      </c>
      <c r="Z1428" s="0" t="inlineStr">
        <is>
          <t>N/A</t>
        </is>
      </c>
      <c r="AA1428" s="0" t="inlineStr">
        <is>
          <t>N/A</t>
        </is>
      </c>
    </row>
    <row r="1429" ht="15.75" customHeight="1" s="51">
      <c r="A1429" s="47" t="inlineStr">
        <is>
          <t>KAI-142-07</t>
        </is>
      </c>
      <c r="B1429" s="47" t="inlineStr">
        <is>
          <t>Kairos</t>
        </is>
      </c>
      <c r="C1429" s="47" t="inlineStr">
        <is>
          <t>Computer Hardware</t>
        </is>
      </c>
      <c r="D1429" s="47" t="inlineStr">
        <is>
          <t>Storage</t>
        </is>
      </c>
      <c r="E1429" s="48" t="inlineStr">
        <is>
          <t>Kairos Apex SE 2TB NVMe SSD</t>
        </is>
      </c>
      <c r="F1429" s="49" t="n">
        <v>168.99</v>
      </c>
      <c r="G1429" s="47" t="inlineStr">
        <is>
          <t>the Apex SE; Kairos Apex SE; Kairoos Apex SE; Apex SE storage</t>
        </is>
      </c>
      <c r="H1429" s="47" t="inlineStr">
        <is>
          <t>5 year limited</t>
        </is>
      </c>
      <c r="I1429" s="47" t="inlineStr">
        <is>
          <t>FCC, CE, RoHS</t>
        </is>
      </c>
      <c r="J1429" s="47" t="inlineStr">
        <is>
          <t>Controller: Phison E27T</t>
        </is>
      </c>
      <c r="K1429" s="47" t="inlineStr">
        <is>
          <t>N/A</t>
        </is>
      </c>
      <c r="L1429" s="47" t="inlineStr">
        <is>
          <t>N/A</t>
        </is>
      </c>
      <c r="M1429" s="47" t="inlineStr">
        <is>
          <t>N/A</t>
        </is>
      </c>
      <c r="N1429" s="47" t="inlineStr">
        <is>
          <t>M.2 2280, PCIe 4.0 x4 NVMe</t>
        </is>
      </c>
      <c r="O1429" s="47" t="inlineStr">
        <is>
          <t>N/A</t>
        </is>
      </c>
      <c r="P1429" s="47" t="inlineStr">
        <is>
          <t>N/A</t>
        </is>
      </c>
      <c r="Q1429" s="50" t="n">
        <v>25</v>
      </c>
      <c r="R1429" s="47" t="inlineStr">
        <is>
          <t>Lower price than Euterpe Flux 2TB NVMe SSD [EUT-120-07] ($168.99 vs $287.99); Lighter than Uranus Drift Plus 2TB NVMe SSD [URA-113-06] (25 g vs 29 g)</t>
        </is>
      </c>
      <c r="S1429" s="47" t="inlineStr">
        <is>
          <t>gaming, fast boot, content creation</t>
        </is>
      </c>
      <c r="T1429" s="0" t="inlineStr">
        <is>
          <t>in_stock</t>
        </is>
      </c>
      <c r="U1429" s="0" t="n">
        <v>45</v>
      </c>
      <c r="V1429" s="52" t="n">
        <v>185.99</v>
      </c>
      <c r="W1429" s="0" t="inlineStr">
        <is>
          <t>2026-09-21</t>
        </is>
      </c>
      <c r="X1429" s="0" t="inlineStr">
        <is>
          <t>N/A</t>
        </is>
      </c>
      <c r="Y1429" s="0" t="inlineStr">
        <is>
          <t>N/A</t>
        </is>
      </c>
      <c r="Z1429" s="0" t="inlineStr">
        <is>
          <t>N/A</t>
        </is>
      </c>
      <c r="AA1429" s="0" t="inlineStr">
        <is>
          <t>N/A</t>
        </is>
      </c>
    </row>
    <row r="1430" ht="15.75" customHeight="1" s="51">
      <c r="A1430" s="47" t="inlineStr">
        <is>
          <t>KAI-142-08</t>
        </is>
      </c>
      <c r="B1430" s="47" t="inlineStr">
        <is>
          <t>Kairos</t>
        </is>
      </c>
      <c r="C1430" s="47" t="inlineStr">
        <is>
          <t>Computer Hardware</t>
        </is>
      </c>
      <c r="D1430" s="47" t="inlineStr">
        <is>
          <t>Keyboard</t>
        </is>
      </c>
      <c r="E1430" s="48" t="inlineStr">
        <is>
          <t>Kairos Vibe Mechanical Keyboard</t>
        </is>
      </c>
      <c r="F1430" s="49" t="n">
        <v>236.99</v>
      </c>
      <c r="G1430" s="47" t="inlineStr">
        <is>
          <t>the Vibe; Kairos Vibe; Kaairos Vibe; Vibe keyboard</t>
        </is>
      </c>
      <c r="H1430" s="47" t="inlineStr">
        <is>
          <t>2 year limited</t>
        </is>
      </c>
      <c r="I1430" s="47" t="inlineStr">
        <is>
          <t>FCC, CE, RoHS, Bluetooth SIG Qualified</t>
        </is>
      </c>
      <c r="J1430" s="47" t="inlineStr">
        <is>
          <t>N/A</t>
        </is>
      </c>
      <c r="K1430" s="47" t="inlineStr">
        <is>
          <t>N/A</t>
        </is>
      </c>
      <c r="L1430" s="47" t="inlineStr">
        <is>
          <t>N/A</t>
        </is>
      </c>
      <c r="M1430" s="47" t="inlineStr">
        <is>
          <t>N/A</t>
        </is>
      </c>
      <c r="N1430" s="47" t="inlineStr">
        <is>
          <t>USB-C, 2.4GHz dongle, Bluetooth 5.1</t>
        </is>
      </c>
      <c r="O1430" s="47" t="inlineStr">
        <is>
          <t>N/A</t>
        </is>
      </c>
      <c r="P1430" s="47" t="n">
        <v>237</v>
      </c>
      <c r="Q1430" s="50" t="n">
        <v>887</v>
      </c>
      <c r="R1430" s="47" t="inlineStr">
        <is>
          <t>Lighter than Eirene Axis Max Mechanical Keyboard [EIR-112-07] (887 g vs 1,039 g); Longer battery than Eos Halo Max Mechanical Keyboard [EOS-111-06] (237 vs 230 hrs)</t>
        </is>
      </c>
      <c r="S1430" s="47" t="inlineStr">
        <is>
          <t>gaming, typing, office</t>
        </is>
      </c>
      <c r="T1430" s="0" t="inlineStr">
        <is>
          <t>low_stock</t>
        </is>
      </c>
      <c r="U1430" s="0" t="n">
        <v>45</v>
      </c>
      <c r="V1430" s="52" t="n">
        <v>252.99</v>
      </c>
      <c r="W1430" s="0" t="inlineStr">
        <is>
          <t>2026-08-11</t>
        </is>
      </c>
      <c r="X1430" s="0" t="inlineStr">
        <is>
          <t>N/A</t>
        </is>
      </c>
      <c r="Y1430" s="0" t="inlineStr">
        <is>
          <t>N/A</t>
        </is>
      </c>
      <c r="Z1430" s="0" t="inlineStr">
        <is>
          <t>N/A</t>
        </is>
      </c>
      <c r="AA1430" s="0" t="inlineStr">
        <is>
          <t>N/A</t>
        </is>
      </c>
    </row>
    <row r="1431" ht="15.75" customHeight="1" s="51">
      <c r="A1431" s="47" t="inlineStr">
        <is>
          <t>KAI-142-09</t>
        </is>
      </c>
      <c r="B1431" s="47" t="inlineStr">
        <is>
          <t>Kairos</t>
        </is>
      </c>
      <c r="C1431" s="47" t="inlineStr">
        <is>
          <t>Computer Hardware</t>
        </is>
      </c>
      <c r="D1431" s="47" t="inlineStr">
        <is>
          <t>Docking Station</t>
        </is>
      </c>
      <c r="E1431" s="48" t="inlineStr">
        <is>
          <t>Kairos Sable Plus USB-C Docking Station</t>
        </is>
      </c>
      <c r="F1431" s="49" t="n">
        <v>283.99</v>
      </c>
      <c r="G1431" s="47" t="inlineStr">
        <is>
          <t>the Sable Plus; Kairos Sable Plus; Karios Sable Plus; Sable Plus docking station</t>
        </is>
      </c>
      <c r="H1431" s="47" t="inlineStr">
        <is>
          <t>2 year limited</t>
        </is>
      </c>
      <c r="I1431" s="47" t="inlineStr">
        <is>
          <t>FCC, CE, RoHS, USB-IF Certified, UL Listed</t>
        </is>
      </c>
      <c r="J1431" s="47" t="inlineStr">
        <is>
          <t>N/A</t>
        </is>
      </c>
      <c r="K1431" s="47" t="inlineStr">
        <is>
          <t>N/A</t>
        </is>
      </c>
      <c r="L1431" s="47" t="inlineStr">
        <is>
          <t>N/A</t>
        </is>
      </c>
      <c r="M1431" s="47" t="inlineStr">
        <is>
          <t>N/A</t>
        </is>
      </c>
      <c r="N1431" s="47" t="inlineStr">
        <is>
          <t>Thunderbolt 4 host, 2x HDMI 2.1, 4x USB-A, 3x USB-C, 2.5GbE, SD/microSD, 96W PD</t>
        </is>
      </c>
      <c r="O1431" s="47" t="inlineStr">
        <is>
          <t>N/A</t>
        </is>
      </c>
      <c r="P1431" s="47" t="inlineStr">
        <is>
          <t>N/A</t>
        </is>
      </c>
      <c r="Q1431" s="50" t="n">
        <v>407</v>
      </c>
      <c r="R1431" s="47" t="inlineStr">
        <is>
          <t>Lighter than Pheme Sable Lite USB-C Docking Station [PHE-102-07] (407 g vs 456 g); Lower price than Hera Nova Plus USB-C Docking Station [HER-129-09] ($283.99 vs $284.99)</t>
        </is>
      </c>
      <c r="S1431" s="47" t="inlineStr">
        <is>
          <t>office, remote work, multi-monitor</t>
        </is>
      </c>
      <c r="T1431" s="0" t="inlineStr">
        <is>
          <t>in_stock</t>
        </is>
      </c>
      <c r="U1431" s="0" t="n">
        <v>45</v>
      </c>
      <c r="V1431" s="52" t="n">
        <v>304.99</v>
      </c>
      <c r="W1431" s="0" t="inlineStr">
        <is>
          <t>2026-09-03</t>
        </is>
      </c>
      <c r="X1431" s="0" t="inlineStr">
        <is>
          <t>N/A</t>
        </is>
      </c>
      <c r="Y1431" s="0" t="inlineStr">
        <is>
          <t>N/A</t>
        </is>
      </c>
      <c r="Z1431" s="0" t="inlineStr">
        <is>
          <t>N/A</t>
        </is>
      </c>
      <c r="AA1431" s="0" t="inlineStr">
        <is>
          <t>N/A</t>
        </is>
      </c>
    </row>
    <row r="1432" ht="15.75" customHeight="1" s="51">
      <c r="A1432" s="47" t="inlineStr">
        <is>
          <t>KAI-142-10</t>
        </is>
      </c>
      <c r="B1432" s="47" t="inlineStr">
        <is>
          <t>Kairos</t>
        </is>
      </c>
      <c r="C1432" s="47" t="inlineStr">
        <is>
          <t>Computer Hardware</t>
        </is>
      </c>
      <c r="D1432" s="47" t="inlineStr">
        <is>
          <t>Monitor</t>
        </is>
      </c>
      <c r="E1432" s="48" t="inlineStr">
        <is>
          <t>Kairos Titan Ultra 27" 1440p Monitor</t>
        </is>
      </c>
      <c r="F1432" s="49" t="n">
        <v>599.99</v>
      </c>
      <c r="G1432" s="47" t="inlineStr">
        <is>
          <t>the Titan Ultra; Kairos Titan Ultra; Kairo Titan Ultra; Titan Ultra monitor</t>
        </is>
      </c>
      <c r="H1432" s="47" t="inlineStr">
        <is>
          <t>3 year limited</t>
        </is>
      </c>
      <c r="I1432" s="47" t="inlineStr">
        <is>
          <t>FCC, CE, RoHS, Energy Star, TUV Rheinland Low Blue Light, VESA DisplayHDR True Black 400</t>
        </is>
      </c>
      <c r="J1432" s="47" t="inlineStr">
        <is>
          <t>N/A</t>
        </is>
      </c>
      <c r="K1432" s="47" t="inlineStr">
        <is>
          <t>N/A</t>
        </is>
      </c>
      <c r="L1432" s="47" t="inlineStr">
        <is>
          <t>QD-OLED, 360Hz</t>
        </is>
      </c>
      <c r="M1432" s="47" t="inlineStr">
        <is>
          <t>2560x1440</t>
        </is>
      </c>
      <c r="N1432" s="47" t="inlineStr">
        <is>
          <t>2x HDMI 2.1, 1x DisplayPort 1.4, USB-C 90W, USB hub</t>
        </is>
      </c>
      <c r="O1432" s="47" t="inlineStr">
        <is>
          <t>N/A</t>
        </is>
      </c>
      <c r="P1432" s="47" t="inlineStr">
        <is>
          <t>N/A</t>
        </is>
      </c>
      <c r="Q1432" s="50" t="n">
        <v>7013</v>
      </c>
      <c r="R1432" s="47" t="inlineStr">
        <is>
          <t>Lighter than Notus Core Air 27" 1440p Monitor [NOT-108-09] (7,013 g vs 7,125 g); Lower price than Ares Vibe X 27" 1440p Monitor [ARE-140-10] ($599.99 vs $621.99)</t>
        </is>
      </c>
      <c r="S1432" s="47" t="inlineStr">
        <is>
          <t>gaming, office, content creation</t>
        </is>
      </c>
      <c r="T1432" s="0" t="inlineStr">
        <is>
          <t>in_stock</t>
        </is>
      </c>
      <c r="U1432" s="0" t="n">
        <v>45</v>
      </c>
      <c r="V1432" s="52" t="n">
        <v>637.99</v>
      </c>
      <c r="W1432" s="0" t="inlineStr">
        <is>
          <t>2026-08-13</t>
        </is>
      </c>
      <c r="X1432" s="0" t="inlineStr">
        <is>
          <t>N/A</t>
        </is>
      </c>
      <c r="Y1432" s="0" t="inlineStr">
        <is>
          <t>N/A</t>
        </is>
      </c>
      <c r="Z1432" s="0" t="inlineStr">
        <is>
          <t>N/A</t>
        </is>
      </c>
      <c r="AA1432" s="0" t="inlineStr">
        <is>
          <t>N/A</t>
        </is>
      </c>
    </row>
    <row r="1433" ht="15.75" customHeight="1" s="51">
      <c r="A1433" s="47" t="inlineStr">
        <is>
          <t>PHO-143-01</t>
        </is>
      </c>
      <c r="B1433" s="47" t="inlineStr">
        <is>
          <t>Phoebe</t>
        </is>
      </c>
      <c r="C1433" s="47" t="inlineStr">
        <is>
          <t>Computer Hardware</t>
        </is>
      </c>
      <c r="D1433" s="47" t="inlineStr">
        <is>
          <t>Case Fans</t>
        </is>
      </c>
      <c r="E1433" s="48" t="inlineStr">
        <is>
          <t>Phoebe Onyx Lite RGB Case Fan 3-Pack</t>
        </is>
      </c>
      <c r="F1433" s="49" t="n">
        <v>35.99</v>
      </c>
      <c r="G1433" s="47" t="inlineStr">
        <is>
          <t>the Onyx Lite; Phoebe Onyx Lite; Phoeebe Onyx Lite; Onyx Lite case fans</t>
        </is>
      </c>
      <c r="H1433" s="47" t="inlineStr">
        <is>
          <t>2 year limited</t>
        </is>
      </c>
      <c r="I1433" s="47" t="inlineStr">
        <is>
          <t>FCC, CE, RoHS</t>
        </is>
      </c>
      <c r="J1433" s="47" t="inlineStr">
        <is>
          <t>N/A</t>
        </is>
      </c>
      <c r="K1433" s="47" t="inlineStr">
        <is>
          <t>N/A</t>
        </is>
      </c>
      <c r="L1433" s="47" t="inlineStr">
        <is>
          <t>N/A</t>
        </is>
      </c>
      <c r="M1433" s="47" t="inlineStr">
        <is>
          <t>N/A</t>
        </is>
      </c>
      <c r="N1433" s="47" t="inlineStr">
        <is>
          <t>4-pin PWM, 3-pin 5V ARGB, daisy-chain connectors</t>
        </is>
      </c>
      <c r="O1433" s="47" t="inlineStr">
        <is>
          <t>N/A</t>
        </is>
      </c>
      <c r="P1433" s="47" t="inlineStr">
        <is>
          <t>N/A</t>
        </is>
      </c>
      <c r="Q1433" s="50" t="n">
        <v>408</v>
      </c>
      <c r="R1433" s="47" t="inlineStr">
        <is>
          <t>Lighter than Iris Spark RGB Case Fan 3-Pack [IRI-130-01] (408 g vs 425 g); Lower price than Hades Aria X RGB Case Fan 3-Pack [HAD-119-01] ($35.99 vs $42.99)</t>
        </is>
      </c>
      <c r="S1433" s="47" t="inlineStr">
        <is>
          <t>PC building, cooling, RGB builds</t>
        </is>
      </c>
      <c r="T1433" s="0" t="inlineStr">
        <is>
          <t>in_stock</t>
        </is>
      </c>
      <c r="U1433" s="0" t="n">
        <v>30</v>
      </c>
      <c r="V1433" s="52" t="n">
        <v>40.99</v>
      </c>
      <c r="W1433" s="0" t="inlineStr">
        <is>
          <t>2026-09-09</t>
        </is>
      </c>
      <c r="X1433" s="0" t="inlineStr">
        <is>
          <t>N/A</t>
        </is>
      </c>
      <c r="Y1433" s="0" t="inlineStr">
        <is>
          <t>N/A</t>
        </is>
      </c>
      <c r="Z1433" s="0" t="inlineStr">
        <is>
          <t>N/A</t>
        </is>
      </c>
      <c r="AA1433" s="0" t="inlineStr">
        <is>
          <t>N/A</t>
        </is>
      </c>
    </row>
    <row r="1434" ht="15.75" customHeight="1" s="51">
      <c r="A1434" s="47" t="inlineStr">
        <is>
          <t>PHO-143-02</t>
        </is>
      </c>
      <c r="B1434" s="47" t="inlineStr">
        <is>
          <t>Phoebe</t>
        </is>
      </c>
      <c r="C1434" s="47" t="inlineStr">
        <is>
          <t>Computer Hardware</t>
        </is>
      </c>
      <c r="D1434" s="47" t="inlineStr">
        <is>
          <t>PC Case</t>
        </is>
      </c>
      <c r="E1434" s="48" t="inlineStr">
        <is>
          <t>Phoebe Blaze SE Mid-Tower PC Case</t>
        </is>
      </c>
      <c r="F1434" s="49" t="n">
        <v>67.98999999999999</v>
      </c>
      <c r="G1434" s="47" t="inlineStr">
        <is>
          <t>the Blaze SE; Phoebe Blaze SE; Foebe Blaze SE; Blaze SE pc case</t>
        </is>
      </c>
      <c r="H1434" s="47" t="inlineStr">
        <is>
          <t>2 year limited</t>
        </is>
      </c>
      <c r="I1434" s="47" t="inlineStr">
        <is>
          <t>FCC, CE, RoHS, UL 94 V-0 (materials)</t>
        </is>
      </c>
      <c r="J1434" s="47" t="inlineStr">
        <is>
          <t>N/A</t>
        </is>
      </c>
      <c r="K1434" s="47" t="inlineStr">
        <is>
          <t>N/A</t>
        </is>
      </c>
      <c r="L1434" s="47" t="inlineStr">
        <is>
          <t>N/A</t>
        </is>
      </c>
      <c r="M1434" s="47" t="inlineStr">
        <is>
          <t>N/A</t>
        </is>
      </c>
      <c r="N1434" s="47" t="inlineStr">
        <is>
          <t>Front I/O: 1x USB-C 10Gbps, 2x USB-A 3.0, 3.5mm combo audio</t>
        </is>
      </c>
      <c r="O1434" s="47" t="inlineStr">
        <is>
          <t>N/A</t>
        </is>
      </c>
      <c r="P1434" s="47" t="inlineStr">
        <is>
          <t>N/A</t>
        </is>
      </c>
      <c r="Q1434" s="50" t="n">
        <v>7917</v>
      </c>
      <c r="R1434" s="47" t="inlineStr">
        <is>
          <t>Lower price than Perses Orbit Plus Mid-Tower PC Case [PER-101-05] ($67.99 vs $178.99); Lighter than Kairos Vertex Air Mid-Tower PC Case [KAI-142-04] (7,917 g vs 9,278 g)</t>
        </is>
      </c>
      <c r="S1434" s="47" t="inlineStr">
        <is>
          <t>PC building, gaming</t>
        </is>
      </c>
      <c r="T1434" s="0" t="inlineStr">
        <is>
          <t>in_stock</t>
        </is>
      </c>
      <c r="U1434" s="0" t="n">
        <v>30</v>
      </c>
      <c r="V1434" s="52" t="n">
        <v>72.98999999999999</v>
      </c>
      <c r="W1434" s="0" t="inlineStr">
        <is>
          <t>2026-08-13</t>
        </is>
      </c>
      <c r="X1434" s="0" t="inlineStr">
        <is>
          <t>N/A</t>
        </is>
      </c>
      <c r="Y1434" s="0" t="inlineStr">
        <is>
          <t>N/A</t>
        </is>
      </c>
      <c r="Z1434" s="0" t="inlineStr">
        <is>
          <t>N/A</t>
        </is>
      </c>
      <c r="AA1434" s="0" t="inlineStr">
        <is>
          <t>N/A</t>
        </is>
      </c>
    </row>
    <row r="1435" ht="15.75" customHeight="1" s="51">
      <c r="A1435" s="47" t="inlineStr">
        <is>
          <t>PHO-143-03</t>
        </is>
      </c>
      <c r="B1435" s="47" t="inlineStr">
        <is>
          <t>Phoebe</t>
        </is>
      </c>
      <c r="C1435" s="47" t="inlineStr">
        <is>
          <t>Computer Hardware</t>
        </is>
      </c>
      <c r="D1435" s="47" t="inlineStr">
        <is>
          <t>Cooling</t>
        </is>
      </c>
      <c r="E1435" s="48" t="inlineStr">
        <is>
          <t>Phoebe Halo Air 360mm AIO CPU Cooler</t>
        </is>
      </c>
      <c r="F1435" s="49" t="n">
        <v>90.98999999999999</v>
      </c>
      <c r="G1435" s="47" t="inlineStr">
        <is>
          <t>the Halo Air; Phoebe Halo Air; Phoebbe Halo Air; Halo Air cooling</t>
        </is>
      </c>
      <c r="H1435" s="47" t="inlineStr">
        <is>
          <t>6 year limited</t>
        </is>
      </c>
      <c r="I1435" s="47" t="inlineStr">
        <is>
          <t>FCC, CE, RoHS</t>
        </is>
      </c>
      <c r="J1435" s="47" t="inlineStr">
        <is>
          <t>N/A</t>
        </is>
      </c>
      <c r="K1435" s="47" t="inlineStr">
        <is>
          <t>N/A</t>
        </is>
      </c>
      <c r="L1435" s="47" t="inlineStr">
        <is>
          <t>N/A</t>
        </is>
      </c>
      <c r="M1435" s="47" t="inlineStr">
        <is>
          <t>N/A</t>
        </is>
      </c>
      <c r="N1435" s="47" t="inlineStr">
        <is>
          <t>3x 4-pin PWM fans, 3-pin pump header, ARGB 5V; LGA1700/LGA1851/AM5 mounts</t>
        </is>
      </c>
      <c r="O1435" s="47" t="inlineStr">
        <is>
          <t>N/A</t>
        </is>
      </c>
      <c r="P1435" s="47" t="inlineStr">
        <is>
          <t>N/A</t>
        </is>
      </c>
      <c r="Q1435" s="50" t="n">
        <v>1812</v>
      </c>
      <c r="R1435" s="47" t="inlineStr">
        <is>
          <t>Lower price than Astraeus Volt Pro 360mm AIO CPU Cooler [AST-146-04] ($90.99 vs $168.99); Lighter than Apate Aria Ultra 360mm AIO CPU Cooler [APA-110-05] (1,812 g vs 1,987 g)</t>
        </is>
      </c>
      <c r="S1435" s="47" t="inlineStr">
        <is>
          <t>overclocking, gaming, quiet builds</t>
        </is>
      </c>
      <c r="T1435" s="0" t="inlineStr">
        <is>
          <t>in_stock</t>
        </is>
      </c>
      <c r="U1435" s="0" t="n">
        <v>30</v>
      </c>
      <c r="V1435" s="52" t="n">
        <v>95.98999999999999</v>
      </c>
      <c r="W1435" s="0" t="inlineStr">
        <is>
          <t>2026-09-05</t>
        </is>
      </c>
      <c r="X1435" s="0" t="inlineStr">
        <is>
          <t>N/A</t>
        </is>
      </c>
      <c r="Y1435" s="0" t="inlineStr">
        <is>
          <t>N/A</t>
        </is>
      </c>
      <c r="Z1435" s="0" t="inlineStr">
        <is>
          <t>N/A</t>
        </is>
      </c>
      <c r="AA1435" s="0" t="inlineStr">
        <is>
          <t>N/A</t>
        </is>
      </c>
    </row>
    <row r="1436" ht="15.75" customHeight="1" s="51">
      <c r="A1436" s="47" t="inlineStr">
        <is>
          <t>PHO-143-04</t>
        </is>
      </c>
      <c r="B1436" s="47" t="inlineStr">
        <is>
          <t>Phoebe</t>
        </is>
      </c>
      <c r="C1436" s="47" t="inlineStr">
        <is>
          <t>Computer Hardware</t>
        </is>
      </c>
      <c r="D1436" s="47" t="inlineStr">
        <is>
          <t>Networking</t>
        </is>
      </c>
      <c r="E1436" s="48" t="inlineStr">
        <is>
          <t>Phoebe Orbit Air Wi-Fi 7 PCIe Card</t>
        </is>
      </c>
      <c r="F1436" s="49" t="n">
        <v>114.99</v>
      </c>
      <c r="G1436" s="47" t="inlineStr">
        <is>
          <t>the Orbit Air; Phoebe Orbit Air; Phoeebe Orbit Air; Orbit Air networking</t>
        </is>
      </c>
      <c r="H1436" s="47" t="inlineStr">
        <is>
          <t>2 year limited</t>
        </is>
      </c>
      <c r="I1436" s="47" t="inlineStr">
        <is>
          <t>FCC, CE, RoHS, Wi-Fi CERTIFIED 7, Bluetooth SIG Qualified</t>
        </is>
      </c>
      <c r="J1436" s="47" t="inlineStr">
        <is>
          <t>Chipset: MediaTek MT7927</t>
        </is>
      </c>
      <c r="K1436" s="47" t="inlineStr">
        <is>
          <t>N/A</t>
        </is>
      </c>
      <c r="L1436" s="47" t="inlineStr">
        <is>
          <t>N/A</t>
        </is>
      </c>
      <c r="M1436" s="47" t="inlineStr">
        <is>
          <t>N/A</t>
        </is>
      </c>
      <c r="N1436" s="47" t="inlineStr">
        <is>
          <t>PCIe x1, internal USB 2.0 header (Bluetooth 5.4), 2x external antennas</t>
        </is>
      </c>
      <c r="O1436" s="47" t="inlineStr">
        <is>
          <t>N/A</t>
        </is>
      </c>
      <c r="P1436" s="47" t="inlineStr">
        <is>
          <t>N/A</t>
        </is>
      </c>
      <c r="Q1436" s="50" t="n">
        <v>88</v>
      </c>
      <c r="R1436" s="47" t="inlineStr">
        <is>
          <t>Lighter than Crius Crest Ultra Wi-Fi 7 PCIe Card [CRI-139-03] (88 g vs 104 g); Lower price than Nike Nova Max Wi-Fi 7 PCIe Card [NIK-132-05] ($114.99 vs $115.99)</t>
        </is>
      </c>
      <c r="S1436" s="47" t="inlineStr">
        <is>
          <t>gaming, streaming, PC building</t>
        </is>
      </c>
      <c r="T1436" s="0" t="inlineStr">
        <is>
          <t>in_stock</t>
        </is>
      </c>
      <c r="U1436" s="0" t="n">
        <v>30</v>
      </c>
      <c r="V1436" s="52" t="n">
        <v>127.99</v>
      </c>
      <c r="W1436" s="0" t="inlineStr">
        <is>
          <t>2026-08-02</t>
        </is>
      </c>
      <c r="X1436" s="0" t="inlineStr">
        <is>
          <t>N/A</t>
        </is>
      </c>
      <c r="Y1436" s="0" t="inlineStr">
        <is>
          <t>N/A</t>
        </is>
      </c>
      <c r="Z1436" s="0" t="inlineStr">
        <is>
          <t>N/A</t>
        </is>
      </c>
      <c r="AA1436" s="0" t="inlineStr">
        <is>
          <t>N/A</t>
        </is>
      </c>
    </row>
    <row r="1437" ht="15.75" customHeight="1" s="51">
      <c r="A1437" s="47" t="inlineStr">
        <is>
          <t>PHO-143-05</t>
        </is>
      </c>
      <c r="B1437" s="47" t="inlineStr">
        <is>
          <t>Phoebe</t>
        </is>
      </c>
      <c r="C1437" s="47" t="inlineStr">
        <is>
          <t>Computer Hardware</t>
        </is>
      </c>
      <c r="D1437" s="47" t="inlineStr">
        <is>
          <t>Processor</t>
        </is>
      </c>
      <c r="E1437" s="48" t="inlineStr">
        <is>
          <t>Phoebe Core Pro Desktop CPU</t>
        </is>
      </c>
      <c r="F1437" s="49" t="n">
        <v>193.99</v>
      </c>
      <c r="G1437" s="47" t="inlineStr">
        <is>
          <t>the Core Pro; Phoebe Core Pro; Phobee Core Pro; Core Pro processor</t>
        </is>
      </c>
      <c r="H1437" s="47" t="inlineStr">
        <is>
          <t>3 year limited</t>
        </is>
      </c>
      <c r="I1437" s="47" t="inlineStr">
        <is>
          <t>FCC, CE, RoHS</t>
        </is>
      </c>
      <c r="J1437" s="47" t="inlineStr">
        <is>
          <t>Phoebe Core 6-core / 12-thread, up to 4.7 GHz</t>
        </is>
      </c>
      <c r="K1437" s="47" t="inlineStr">
        <is>
          <t>None (discrete GPU required)</t>
        </is>
      </c>
      <c r="L1437" s="47" t="inlineStr">
        <is>
          <t>N/A</t>
        </is>
      </c>
      <c r="M1437" s="47" t="inlineStr">
        <is>
          <t>N/A</t>
        </is>
      </c>
      <c r="N1437" s="47" t="inlineStr">
        <is>
          <t>N/A</t>
        </is>
      </c>
      <c r="O1437" s="47" t="inlineStr">
        <is>
          <t>N/A</t>
        </is>
      </c>
      <c r="P1437" s="47" t="inlineStr">
        <is>
          <t>N/A</t>
        </is>
      </c>
      <c r="Q1437" s="50" t="n">
        <v>58</v>
      </c>
      <c r="R1437" s="47" t="inlineStr">
        <is>
          <t>Lower price than Aidos Onyx X Desktop CPU [AID-135-09] ($193.99 vs $542.99); Lighter than Ares Spark Lite Desktop CPU [ARE-140-07] (58 g vs 59 g)</t>
        </is>
      </c>
      <c r="S1437" s="47" t="inlineStr">
        <is>
          <t>gaming, content creation, workstation builds</t>
        </is>
      </c>
      <c r="T1437" s="0" t="inlineStr">
        <is>
          <t>in_stock</t>
        </is>
      </c>
      <c r="U1437" s="0" t="n">
        <v>30</v>
      </c>
      <c r="V1437" s="52" t="n">
        <v>221.99</v>
      </c>
      <c r="W1437" s="0" t="inlineStr">
        <is>
          <t>2026-08-29</t>
        </is>
      </c>
      <c r="X1437" s="0" t="inlineStr">
        <is>
          <t>N/A</t>
        </is>
      </c>
      <c r="Y1437" s="0" t="inlineStr">
        <is>
          <t>N/A</t>
        </is>
      </c>
      <c r="Z1437" s="0" t="inlineStr">
        <is>
          <t>N/A</t>
        </is>
      </c>
      <c r="AA1437" s="0" t="inlineStr">
        <is>
          <t>N/A</t>
        </is>
      </c>
    </row>
    <row r="1438" ht="15.75" customHeight="1" s="51">
      <c r="A1438" s="47" t="inlineStr">
        <is>
          <t>PHO-143-06</t>
        </is>
      </c>
      <c r="B1438" s="47" t="inlineStr">
        <is>
          <t>Phoebe</t>
        </is>
      </c>
      <c r="C1438" s="47" t="inlineStr">
        <is>
          <t>Computer Hardware</t>
        </is>
      </c>
      <c r="D1438" s="47" t="inlineStr">
        <is>
          <t>Webcam</t>
        </is>
      </c>
      <c r="E1438" s="48" t="inlineStr">
        <is>
          <t>Phoebe Spark Ultra 4K Webcam</t>
        </is>
      </c>
      <c r="F1438" s="49" t="n">
        <v>211.99</v>
      </c>
      <c r="G1438" s="47" t="inlineStr">
        <is>
          <t>the Spark Ultra; Phoebe Spark Ultra; Phoeb Spark Ultra; Spark Ultra webcam</t>
        </is>
      </c>
      <c r="H1438" s="47" t="inlineStr">
        <is>
          <t>2 year limited</t>
        </is>
      </c>
      <c r="I1438" s="47" t="inlineStr">
        <is>
          <t>FCC, CE, RoHS, USB-IF Certified</t>
        </is>
      </c>
      <c r="J1438" s="47" t="inlineStr">
        <is>
          <t>N/A</t>
        </is>
      </c>
      <c r="K1438" s="47" t="inlineStr">
        <is>
          <t>N/A</t>
        </is>
      </c>
      <c r="L1438" s="47" t="inlineStr">
        <is>
          <t>N/A</t>
        </is>
      </c>
      <c r="M1438" s="47" t="inlineStr">
        <is>
          <t>3840x2160 @ 30fps, 1080p @ 60fps</t>
        </is>
      </c>
      <c r="N1438" s="47" t="inlineStr">
        <is>
          <t>USB-C (USB 3.0)</t>
        </is>
      </c>
      <c r="O1438" s="47" t="inlineStr">
        <is>
          <t>N/A</t>
        </is>
      </c>
      <c r="P1438" s="47" t="inlineStr">
        <is>
          <t>N/A</t>
        </is>
      </c>
      <c r="Q1438" s="50" t="n">
        <v>164</v>
      </c>
      <c r="R1438" s="47" t="inlineStr">
        <is>
          <t>Lighter than Apate Rift SE 4K Webcam [APA-110-03] (164 g vs 178 g); Lower price than Euterpe Zen SE 4K Webcam [EUT-120-04] ($211.99 vs $221.99)</t>
        </is>
      </c>
      <c r="S1438" s="47" t="inlineStr">
        <is>
          <t>video calls, streaming, remote work</t>
        </is>
      </c>
      <c r="T1438" s="0" t="inlineStr">
        <is>
          <t>low_stock</t>
        </is>
      </c>
      <c r="U1438" s="0" t="n">
        <v>30</v>
      </c>
      <c r="V1438" s="52" t="n">
        <v>229.99</v>
      </c>
      <c r="W1438" s="0" t="inlineStr">
        <is>
          <t>2026-08-28</t>
        </is>
      </c>
      <c r="X1438" s="0" t="inlineStr">
        <is>
          <t>N/A</t>
        </is>
      </c>
      <c r="Y1438" s="0" t="inlineStr">
        <is>
          <t>N/A</t>
        </is>
      </c>
      <c r="Z1438" s="0" t="inlineStr">
        <is>
          <t>N/A</t>
        </is>
      </c>
      <c r="AA1438" s="0" t="inlineStr">
        <is>
          <t>N/A</t>
        </is>
      </c>
    </row>
    <row r="1439" ht="15.75" customHeight="1" s="51">
      <c r="A1439" s="47" t="inlineStr">
        <is>
          <t>PHO-143-07</t>
        </is>
      </c>
      <c r="B1439" s="47" t="inlineStr">
        <is>
          <t>Phoebe</t>
        </is>
      </c>
      <c r="C1439" s="47" t="inlineStr">
        <is>
          <t>Computer Hardware</t>
        </is>
      </c>
      <c r="D1439" s="47" t="inlineStr">
        <is>
          <t>Docking Station</t>
        </is>
      </c>
      <c r="E1439" s="48" t="inlineStr">
        <is>
          <t>Phoebe Halo USB-C Docking Station</t>
        </is>
      </c>
      <c r="F1439" s="49" t="n">
        <v>224.99</v>
      </c>
      <c r="G1439" s="47" t="inlineStr">
        <is>
          <t>the Halo; Phoebe Halo; Phhoebe Halo; Halo docking station</t>
        </is>
      </c>
      <c r="H1439" s="47" t="inlineStr">
        <is>
          <t>2 year limited</t>
        </is>
      </c>
      <c r="I1439" s="47" t="inlineStr">
        <is>
          <t>FCC, CE, RoHS, USB-IF Certified, UL Listed</t>
        </is>
      </c>
      <c r="J1439" s="47" t="inlineStr">
        <is>
          <t>N/A</t>
        </is>
      </c>
      <c r="K1439" s="47" t="inlineStr">
        <is>
          <t>N/A</t>
        </is>
      </c>
      <c r="L1439" s="47" t="inlineStr">
        <is>
          <t>N/A</t>
        </is>
      </c>
      <c r="M1439" s="47" t="inlineStr">
        <is>
          <t>N/A</t>
        </is>
      </c>
      <c r="N1439" s="47" t="inlineStr">
        <is>
          <t>2x HDMI 2.0, 1x DisplayPort 1.4, 3x USB-A 3.2, 2x USB-C, 2.5GbE, SD card, 100W PD</t>
        </is>
      </c>
      <c r="O1439" s="47" t="inlineStr">
        <is>
          <t>N/A</t>
        </is>
      </c>
      <c r="P1439" s="47" t="inlineStr">
        <is>
          <t>N/A</t>
        </is>
      </c>
      <c r="Q1439" s="50" t="n">
        <v>256</v>
      </c>
      <c r="R1439" s="47" t="inlineStr">
        <is>
          <t>Lighter than Atlas Aria Air USB-C Docking Station [ATL-122-06] (256 g vs 385 g); Lower price than Kairos Sable Plus USB-C Docking Station [KAI-142-09] ($224.99 vs $283.99)</t>
        </is>
      </c>
      <c r="S1439" s="47" t="inlineStr">
        <is>
          <t>office, remote work, multi-monitor</t>
        </is>
      </c>
      <c r="T1439" s="0" t="inlineStr">
        <is>
          <t>in_stock</t>
        </is>
      </c>
      <c r="U1439" s="0" t="n">
        <v>30</v>
      </c>
      <c r="V1439" s="52" t="n">
        <v>246.99</v>
      </c>
      <c r="W1439" s="0" t="inlineStr">
        <is>
          <t>2026-08-01</t>
        </is>
      </c>
      <c r="X1439" s="0" t="inlineStr">
        <is>
          <t>N/A</t>
        </is>
      </c>
      <c r="Y1439" s="0" t="inlineStr">
        <is>
          <t>N/A</t>
        </is>
      </c>
      <c r="Z1439" s="0" t="inlineStr">
        <is>
          <t>N/A</t>
        </is>
      </c>
      <c r="AA1439" s="0" t="inlineStr">
        <is>
          <t>N/A</t>
        </is>
      </c>
    </row>
    <row r="1440" ht="15.75" customHeight="1" s="51">
      <c r="A1440" s="47" t="inlineStr">
        <is>
          <t>PHO-143-08</t>
        </is>
      </c>
      <c r="B1440" s="47" t="inlineStr">
        <is>
          <t>Phoebe</t>
        </is>
      </c>
      <c r="C1440" s="47" t="inlineStr">
        <is>
          <t>Computer Hardware</t>
        </is>
      </c>
      <c r="D1440" s="47" t="inlineStr">
        <is>
          <t>Motherboard</t>
        </is>
      </c>
      <c r="E1440" s="48" t="inlineStr">
        <is>
          <t>Phoebe Nova X ATX Motherboard</t>
        </is>
      </c>
      <c r="F1440" s="49" t="n">
        <v>337.99</v>
      </c>
      <c r="G1440" s="47" t="inlineStr">
        <is>
          <t>the Nova X; Phoebe Nova X; Phobee Nova X; Nova X motherboard</t>
        </is>
      </c>
      <c r="H1440" s="47" t="inlineStr">
        <is>
          <t>3 year limited</t>
        </is>
      </c>
      <c r="I1440" s="47" t="inlineStr">
        <is>
          <t>FCC, CE, RoHS</t>
        </is>
      </c>
      <c r="J1440" s="47" t="inlineStr">
        <is>
          <t>Supports AMD Ryzen 7000/8000/9000 (Socket AM5)</t>
        </is>
      </c>
      <c r="K1440" s="47" t="inlineStr">
        <is>
          <t>N/A</t>
        </is>
      </c>
      <c r="L1440" s="47" t="inlineStr">
        <is>
          <t>N/A</t>
        </is>
      </c>
      <c r="M1440" s="47" t="inlineStr">
        <is>
          <t>N/A</t>
        </is>
      </c>
      <c r="N1440" s="47" t="inlineStr">
        <is>
          <t>Rear I/O: 1x HDMI, 1x DisplayPort, 8x USB-A, 2x USB-C 20Gbps, 2.5GbE, Wi-Fi 7</t>
        </is>
      </c>
      <c r="O1440" s="47" t="inlineStr">
        <is>
          <t>N/A</t>
        </is>
      </c>
      <c r="P1440" s="47" t="inlineStr">
        <is>
          <t>N/A</t>
        </is>
      </c>
      <c r="Q1440" s="50" t="n">
        <v>1680</v>
      </c>
      <c r="R1440" s="47" t="inlineStr">
        <is>
          <t>Lower price than Enyo Volt Air ATX Motherboard [ENY-114-08] ($337.99 vs $491.99); Lighter than Artemis Zen Plus ATX Motherboard [ART-150-08] (1,680 g vs 1,751 g)</t>
        </is>
      </c>
      <c r="S1440" s="47" t="inlineStr">
        <is>
          <t>PC building, gaming, workstation builds</t>
        </is>
      </c>
      <c r="T1440" s="0" t="inlineStr">
        <is>
          <t>in_stock</t>
        </is>
      </c>
      <c r="U1440" s="0" t="n">
        <v>30</v>
      </c>
      <c r="V1440" s="52" t="n">
        <v>387.99</v>
      </c>
      <c r="W1440" s="0" t="inlineStr">
        <is>
          <t>2026-09-20</t>
        </is>
      </c>
      <c r="X1440" s="0" t="inlineStr">
        <is>
          <t>N/A</t>
        </is>
      </c>
      <c r="Y1440" s="0" t="inlineStr">
        <is>
          <t>N/A</t>
        </is>
      </c>
      <c r="Z1440" s="0" t="inlineStr">
        <is>
          <t>N/A</t>
        </is>
      </c>
      <c r="AA1440" s="0" t="inlineStr">
        <is>
          <t>N/A</t>
        </is>
      </c>
    </row>
    <row r="1441" ht="15.75" customHeight="1" s="51">
      <c r="A1441" s="47" t="inlineStr">
        <is>
          <t>PHO-143-09</t>
        </is>
      </c>
      <c r="B1441" s="47" t="inlineStr">
        <is>
          <t>Phoebe</t>
        </is>
      </c>
      <c r="C1441" s="47" t="inlineStr">
        <is>
          <t>Computer Hardware</t>
        </is>
      </c>
      <c r="D1441" s="47" t="inlineStr">
        <is>
          <t>Monitor</t>
        </is>
      </c>
      <c r="E1441" s="48" t="inlineStr">
        <is>
          <t>Phoebe Nimbus X 27" 1440p Monitor</t>
        </is>
      </c>
      <c r="F1441" s="49" t="n">
        <v>674.99</v>
      </c>
      <c r="G1441" s="47" t="inlineStr">
        <is>
          <t>the Nimbus X; Phoebe Nimbus X; Pheobe Nimbus X; Nimbus X monitor</t>
        </is>
      </c>
      <c r="H1441" s="47" t="inlineStr">
        <is>
          <t>3 year limited</t>
        </is>
      </c>
      <c r="I1441" s="47" t="inlineStr">
        <is>
          <t>FCC, CE, RoHS, Energy Star, TUV Rheinland Low Blue Light, VESA DisplayHDR True Black 400</t>
        </is>
      </c>
      <c r="J1441" s="47" t="inlineStr">
        <is>
          <t>N/A</t>
        </is>
      </c>
      <c r="K1441" s="47" t="inlineStr">
        <is>
          <t>N/A</t>
        </is>
      </c>
      <c r="L1441" s="47" t="inlineStr">
        <is>
          <t>QD-OLED, 360Hz</t>
        </is>
      </c>
      <c r="M1441" s="47" t="inlineStr">
        <is>
          <t>2560x1440</t>
        </is>
      </c>
      <c r="N1441" s="47" t="inlineStr">
        <is>
          <t>2x HDMI 2.1, 1x DisplayPort 1.4, USB-C 90W, USB hub</t>
        </is>
      </c>
      <c r="O1441" s="47" t="inlineStr">
        <is>
          <t>N/A</t>
        </is>
      </c>
      <c r="P1441" s="47" t="inlineStr">
        <is>
          <t>N/A</t>
        </is>
      </c>
      <c r="Q1441" s="50" t="n">
        <v>6093</v>
      </c>
      <c r="R1441" s="47" t="inlineStr">
        <is>
          <t>Lighter than Palaemon Nimbus SE 27" 1440p Monitor [PAL-127-09] (6,093 g vs 6,400 g); Lower price than Eris Crest Plus 27" 1440p Monitor [ERI-148-10] ($674.99 vs $688.99)</t>
        </is>
      </c>
      <c r="S1441" s="47" t="inlineStr">
        <is>
          <t>gaming, office, content creation</t>
        </is>
      </c>
      <c r="T1441" s="0" t="inlineStr">
        <is>
          <t>out_of_stock</t>
        </is>
      </c>
      <c r="U1441" s="0" t="n">
        <v>30</v>
      </c>
      <c r="V1441" s="52" t="n">
        <v>721.99</v>
      </c>
      <c r="W1441" s="0" t="inlineStr">
        <is>
          <t>2026-09-25</t>
        </is>
      </c>
      <c r="X1441" s="0" t="inlineStr">
        <is>
          <t>N/A</t>
        </is>
      </c>
      <c r="Y1441" s="0" t="inlineStr">
        <is>
          <t>N/A</t>
        </is>
      </c>
      <c r="Z1441" s="0" t="inlineStr">
        <is>
          <t>N/A</t>
        </is>
      </c>
      <c r="AA1441" s="0" t="inlineStr">
        <is>
          <t>N/A</t>
        </is>
      </c>
    </row>
    <row r="1442" ht="15.75" customHeight="1" s="51">
      <c r="A1442" s="47" t="inlineStr">
        <is>
          <t>PHO-143-10</t>
        </is>
      </c>
      <c r="B1442" s="47" t="inlineStr">
        <is>
          <t>Phoebe</t>
        </is>
      </c>
      <c r="C1442" s="47" t="inlineStr">
        <is>
          <t>Computer Hardware</t>
        </is>
      </c>
      <c r="D1442" s="47" t="inlineStr">
        <is>
          <t>Graphics Card</t>
        </is>
      </c>
      <c r="E1442" s="48" t="inlineStr">
        <is>
          <t>Phoebe Orbit Max Graphics Card</t>
        </is>
      </c>
      <c r="F1442" s="49" t="n">
        <v>1591.99</v>
      </c>
      <c r="G1442" s="47" t="inlineStr">
        <is>
          <t>the Orbit Max; Phoebe Orbit Max; Phobee Orbit Max; Orbit Max graphics card</t>
        </is>
      </c>
      <c r="H1442" s="47" t="inlineStr">
        <is>
          <t>3 year limited</t>
        </is>
      </c>
      <c r="I1442" s="47" t="inlineStr">
        <is>
          <t>FCC, CE, RoHS</t>
        </is>
      </c>
      <c r="J1442" s="47" t="inlineStr">
        <is>
          <t>N/A</t>
        </is>
      </c>
      <c r="K1442" s="47" t="inlineStr">
        <is>
          <t>NVIDIA GeForce RTX 4090 24GB (Phoebe Orbit edition)</t>
        </is>
      </c>
      <c r="L1442" s="47" t="inlineStr">
        <is>
          <t>N/A</t>
        </is>
      </c>
      <c r="M1442" s="47" t="inlineStr">
        <is>
          <t>N/A</t>
        </is>
      </c>
      <c r="N1442" s="47" t="inlineStr">
        <is>
          <t>3x DisplayPort 1.4a, 1x HDMI 2.1a</t>
        </is>
      </c>
      <c r="O1442" s="47" t="inlineStr">
        <is>
          <t>N/A</t>
        </is>
      </c>
      <c r="P1442" s="47" t="inlineStr">
        <is>
          <t>N/A</t>
        </is>
      </c>
      <c r="Q1442" s="50" t="n">
        <v>2131</v>
      </c>
      <c r="R1442" s="47" t="inlineStr">
        <is>
          <t>Lower price than Perses Arc Max Graphics Card [PER-101-10] ($1,591.99 vs $1,593.99); Lighter than Euterpe Volt Ultra Graphics Card [EUT-120-10] (2,131 g vs 2,192 g)</t>
        </is>
      </c>
      <c r="S1442" s="47" t="inlineStr">
        <is>
          <t>gaming, 3D rendering, AI workloads</t>
        </is>
      </c>
      <c r="T1442" s="0" t="inlineStr">
        <is>
          <t>low_stock</t>
        </is>
      </c>
      <c r="U1442" s="0" t="n">
        <v>30</v>
      </c>
      <c r="V1442" s="52" t="n">
        <v>1684.99</v>
      </c>
      <c r="W1442" s="0" t="inlineStr">
        <is>
          <t>2026-09-01</t>
        </is>
      </c>
      <c r="X1442" s="0" t="inlineStr">
        <is>
          <t>N/A</t>
        </is>
      </c>
      <c r="Y1442" s="0" t="inlineStr">
        <is>
          <t>N/A</t>
        </is>
      </c>
      <c r="Z1442" s="0" t="inlineStr">
        <is>
          <t>N/A</t>
        </is>
      </c>
      <c r="AA1442" s="0" t="inlineStr">
        <is>
          <t>N/A</t>
        </is>
      </c>
    </row>
    <row r="1443" ht="15.75" customHeight="1" s="51">
      <c r="A1443" s="47" t="inlineStr">
        <is>
          <t>PSY-144-01</t>
        </is>
      </c>
      <c r="B1443" s="47" t="inlineStr">
        <is>
          <t>Psyche</t>
        </is>
      </c>
      <c r="C1443" s="47" t="inlineStr">
        <is>
          <t>Computer Hardware</t>
        </is>
      </c>
      <c r="D1443" s="47" t="inlineStr">
        <is>
          <t>Docking Station</t>
        </is>
      </c>
      <c r="E1443" s="48" t="inlineStr">
        <is>
          <t>Psyche Core Lite USB-C Docking Station</t>
        </is>
      </c>
      <c r="F1443" s="49" t="n">
        <v>80.98999999999999</v>
      </c>
      <c r="G1443" s="47" t="inlineStr">
        <is>
          <t>the Core Lite; Psyche Core Lite; Psych Core Lite; Core Lite docking station</t>
        </is>
      </c>
      <c r="H1443" s="47" t="inlineStr">
        <is>
          <t>2 year limited</t>
        </is>
      </c>
      <c r="I1443" s="47" t="inlineStr">
        <is>
          <t>FCC, CE, RoHS, USB-IF Certified, UL Listed</t>
        </is>
      </c>
      <c r="J1443" s="47" t="inlineStr">
        <is>
          <t>N/A</t>
        </is>
      </c>
      <c r="K1443" s="47" t="inlineStr">
        <is>
          <t>N/A</t>
        </is>
      </c>
      <c r="L1443" s="47" t="inlineStr">
        <is>
          <t>N/A</t>
        </is>
      </c>
      <c r="M1443" s="47" t="inlineStr">
        <is>
          <t>N/A</t>
        </is>
      </c>
      <c r="N1443" s="47" t="inlineStr">
        <is>
          <t>1x HDMI 2.0, 2x USB-A, 1x USB-C, SD card, 100W PD pass-through</t>
        </is>
      </c>
      <c r="O1443" s="47" t="inlineStr">
        <is>
          <t>N/A</t>
        </is>
      </c>
      <c r="P1443" s="47" t="inlineStr">
        <is>
          <t>N/A</t>
        </is>
      </c>
      <c r="Q1443" s="50" t="n">
        <v>408</v>
      </c>
      <c r="R1443" s="47" t="inlineStr">
        <is>
          <t>Lower price than Hestia Lumen Lite USB-C Docking Station [HES-116-04] ($80.99 vs $164.99); Lighter than Cronus Core USB-C Docking Station [CRO-105-07] (408 g vs 418 g)</t>
        </is>
      </c>
      <c r="S1443" s="47" t="inlineStr">
        <is>
          <t>office, remote work, multi-monitor</t>
        </is>
      </c>
      <c r="T1443" s="0" t="inlineStr">
        <is>
          <t>in_stock</t>
        </is>
      </c>
      <c r="U1443" s="0" t="n">
        <v>30</v>
      </c>
      <c r="V1443" s="52" t="n">
        <v>85.98999999999999</v>
      </c>
      <c r="W1443" s="0" t="inlineStr">
        <is>
          <t>2026-08-18</t>
        </is>
      </c>
      <c r="X1443" s="0" t="inlineStr">
        <is>
          <t>N/A</t>
        </is>
      </c>
      <c r="Y1443" s="0" t="inlineStr">
        <is>
          <t>N/A</t>
        </is>
      </c>
      <c r="Z1443" s="0" t="inlineStr">
        <is>
          <t>N/A</t>
        </is>
      </c>
      <c r="AA1443" s="0" t="inlineStr">
        <is>
          <t>N/A</t>
        </is>
      </c>
    </row>
    <row r="1444" ht="15.75" customHeight="1" s="51">
      <c r="A1444" s="47" t="inlineStr">
        <is>
          <t>PSY-144-02</t>
        </is>
      </c>
      <c r="B1444" s="47" t="inlineStr">
        <is>
          <t>Psyche</t>
        </is>
      </c>
      <c r="C1444" s="47" t="inlineStr">
        <is>
          <t>Computer Hardware</t>
        </is>
      </c>
      <c r="D1444" s="47" t="inlineStr">
        <is>
          <t>Networking</t>
        </is>
      </c>
      <c r="E1444" s="48" t="inlineStr">
        <is>
          <t>Psyche Rift SE Wi-Fi 7 PCIe Card</t>
        </is>
      </c>
      <c r="F1444" s="49" t="n">
        <v>96.98999999999999</v>
      </c>
      <c r="G1444" s="47" t="inlineStr">
        <is>
          <t>the Rift SE; Psyche Rift SE; Psyhce Rift SE; Rift SE networking</t>
        </is>
      </c>
      <c r="H1444" s="47" t="inlineStr">
        <is>
          <t>2 year limited</t>
        </is>
      </c>
      <c r="I1444" s="47" t="inlineStr">
        <is>
          <t>FCC, CE, RoHS, Wi-Fi CERTIFIED 7, Bluetooth SIG Qualified</t>
        </is>
      </c>
      <c r="J1444" s="47" t="inlineStr">
        <is>
          <t>Chipset: Intel BE200</t>
        </is>
      </c>
      <c r="K1444" s="47" t="inlineStr">
        <is>
          <t>N/A</t>
        </is>
      </c>
      <c r="L1444" s="47" t="inlineStr">
        <is>
          <t>N/A</t>
        </is>
      </c>
      <c r="M1444" s="47" t="inlineStr">
        <is>
          <t>N/A</t>
        </is>
      </c>
      <c r="N1444" s="47" t="inlineStr">
        <is>
          <t>PCIe x1, internal USB 2.0 header (Bluetooth 5.4), 2x external antennas</t>
        </is>
      </c>
      <c r="O1444" s="47" t="inlineStr">
        <is>
          <t>N/A</t>
        </is>
      </c>
      <c r="P1444" s="47" t="inlineStr">
        <is>
          <t>N/A</t>
        </is>
      </c>
      <c r="Q1444" s="50" t="n">
        <v>88</v>
      </c>
      <c r="R1444" s="47" t="inlineStr">
        <is>
          <t>Lighter than Euterpe Flux SE Wi-Fi 7 PCIe Card [EUT-120-02] (88 g vs 99 g); Lower price than Hestia Sable Wi-Fi 7 PCIe Card [HES-116-02] ($96.99 vs $100.99)</t>
        </is>
      </c>
      <c r="S1444" s="47" t="inlineStr">
        <is>
          <t>gaming, streaming, PC building</t>
        </is>
      </c>
      <c r="T1444" s="0" t="inlineStr">
        <is>
          <t>low_stock</t>
        </is>
      </c>
      <c r="U1444" s="0" t="n">
        <v>30</v>
      </c>
      <c r="V1444" s="52" t="n">
        <v>105.99</v>
      </c>
      <c r="W1444" s="0" t="inlineStr">
        <is>
          <t>2026-08-01</t>
        </is>
      </c>
      <c r="X1444" s="0" t="inlineStr">
        <is>
          <t>N/A</t>
        </is>
      </c>
      <c r="Y1444" s="0" t="inlineStr">
        <is>
          <t>N/A</t>
        </is>
      </c>
      <c r="Z1444" s="0" t="inlineStr">
        <is>
          <t>N/A</t>
        </is>
      </c>
      <c r="AA1444" s="0" t="inlineStr">
        <is>
          <t>N/A</t>
        </is>
      </c>
    </row>
    <row r="1445" ht="15.75" customHeight="1" s="51">
      <c r="A1445" s="47" t="inlineStr">
        <is>
          <t>PSY-144-03</t>
        </is>
      </c>
      <c r="B1445" s="47" t="inlineStr">
        <is>
          <t>Psyche</t>
        </is>
      </c>
      <c r="C1445" s="47" t="inlineStr">
        <is>
          <t>Computer Hardware</t>
        </is>
      </c>
      <c r="D1445" s="47" t="inlineStr">
        <is>
          <t>Mouse</t>
        </is>
      </c>
      <c r="E1445" s="48" t="inlineStr">
        <is>
          <t>Psyche Apex SE Gaming Mouse</t>
        </is>
      </c>
      <c r="F1445" s="49" t="n">
        <v>108.99</v>
      </c>
      <c r="G1445" s="47" t="inlineStr">
        <is>
          <t>the Apex SE; Psyche Apex SE; Psyyche Apex SE; Apex SE mouse</t>
        </is>
      </c>
      <c r="H1445" s="47" t="inlineStr">
        <is>
          <t>2 year limited</t>
        </is>
      </c>
      <c r="I1445" s="47" t="inlineStr">
        <is>
          <t>FCC, CE, RoHS, Bluetooth SIG Qualified</t>
        </is>
      </c>
      <c r="J1445" s="47" t="inlineStr">
        <is>
          <t>Sensor: 30K DPI optical</t>
        </is>
      </c>
      <c r="K1445" s="47" t="inlineStr">
        <is>
          <t>N/A</t>
        </is>
      </c>
      <c r="L1445" s="47" t="inlineStr">
        <is>
          <t>N/A</t>
        </is>
      </c>
      <c r="M1445" s="47" t="inlineStr">
        <is>
          <t>N/A</t>
        </is>
      </c>
      <c r="N1445" s="47" t="inlineStr">
        <is>
          <t>USB-C, 2.4GHz dongle, Bluetooth 5.1</t>
        </is>
      </c>
      <c r="O1445" s="47" t="inlineStr">
        <is>
          <t>N/A</t>
        </is>
      </c>
      <c r="P1445" s="47" t="n">
        <v>109</v>
      </c>
      <c r="Q1445" s="50" t="n">
        <v>71</v>
      </c>
      <c r="R1445" s="47" t="inlineStr">
        <is>
          <t>Lower price than Artemis Strata Gaming Mouse [ART-150-03] ($108.99 vs $121.99); Lighter than Harmonia Strata Gaming Mouse [HAR-106-03] (71 g vs 77 g)</t>
        </is>
      </c>
      <c r="S1445" s="47" t="inlineStr">
        <is>
          <t>gaming, esports</t>
        </is>
      </c>
      <c r="T1445" s="0" t="inlineStr">
        <is>
          <t>in_stock</t>
        </is>
      </c>
      <c r="U1445" s="0" t="n">
        <v>30</v>
      </c>
      <c r="V1445" s="52" t="n">
        <v>112.99</v>
      </c>
      <c r="W1445" s="0" t="inlineStr">
        <is>
          <t>2026-08-06</t>
        </is>
      </c>
      <c r="X1445" s="0" t="inlineStr">
        <is>
          <t>N/A</t>
        </is>
      </c>
      <c r="Y1445" s="0" t="inlineStr">
        <is>
          <t>N/A</t>
        </is>
      </c>
      <c r="Z1445" s="0" t="inlineStr">
        <is>
          <t>N/A</t>
        </is>
      </c>
      <c r="AA1445" s="0" t="inlineStr">
        <is>
          <t>N/A</t>
        </is>
      </c>
    </row>
    <row r="1446" ht="15.75" customHeight="1" s="51">
      <c r="A1446" s="47" t="inlineStr">
        <is>
          <t>PSY-144-04</t>
        </is>
      </c>
      <c r="B1446" s="47" t="inlineStr">
        <is>
          <t>Psyche</t>
        </is>
      </c>
      <c r="C1446" s="47" t="inlineStr">
        <is>
          <t>Computer Hardware</t>
        </is>
      </c>
      <c r="D1446" s="47" t="inlineStr">
        <is>
          <t>Memory</t>
        </is>
      </c>
      <c r="E1446" s="48" t="inlineStr">
        <is>
          <t>Psyche Crest Pro 32GB DDR5 RAM Kit</t>
        </is>
      </c>
      <c r="F1446" s="49" t="n">
        <v>135.99</v>
      </c>
      <c r="G1446" s="47" t="inlineStr">
        <is>
          <t>the Crest Pro; Psyche Crest Pro; Psykhe Crest Pro; Crest Pro memory</t>
        </is>
      </c>
      <c r="H1446" s="47" t="inlineStr">
        <is>
          <t>Limited lifetime</t>
        </is>
      </c>
      <c r="I1446" s="47" t="inlineStr">
        <is>
          <t>FCC, CE, RoHS</t>
        </is>
      </c>
      <c r="J1446" s="47" t="inlineStr">
        <is>
          <t>N/A</t>
        </is>
      </c>
      <c r="K1446" s="47" t="inlineStr">
        <is>
          <t>N/A</t>
        </is>
      </c>
      <c r="L1446" s="47" t="inlineStr">
        <is>
          <t>N/A</t>
        </is>
      </c>
      <c r="M1446" s="47" t="inlineStr">
        <is>
          <t>N/A</t>
        </is>
      </c>
      <c r="N1446" s="47" t="inlineStr">
        <is>
          <t>2x 16GB DDR5 288-pin DIMM, 5600 MT/s</t>
        </is>
      </c>
      <c r="O1446" s="47" t="inlineStr">
        <is>
          <t>N/A</t>
        </is>
      </c>
      <c r="P1446" s="47" t="inlineStr">
        <is>
          <t>N/A</t>
        </is>
      </c>
      <c r="Q1446" s="50" t="n">
        <v>84</v>
      </c>
      <c r="R1446" s="47" t="inlineStr">
        <is>
          <t>Lower price than Iris Rift 32GB DDR5 RAM Kit [IRI-130-04] ($135.99 vs $175.99); Lighter than Hades Halo Plus 32GB DDR5 RAM Kit [HAD-119-07] (84 g vs 87 g)</t>
        </is>
      </c>
      <c r="S1446" s="47" t="inlineStr">
        <is>
          <t>gaming, multitasking, PC building</t>
        </is>
      </c>
      <c r="T1446" s="0" t="inlineStr">
        <is>
          <t>in_stock</t>
        </is>
      </c>
      <c r="U1446" s="0" t="n">
        <v>30</v>
      </c>
      <c r="V1446" s="52" t="n">
        <v>146.99</v>
      </c>
      <c r="W1446" s="0" t="inlineStr">
        <is>
          <t>2026-08-30</t>
        </is>
      </c>
      <c r="X1446" s="0" t="inlineStr">
        <is>
          <t>N/A</t>
        </is>
      </c>
      <c r="Y1446" s="0" t="inlineStr">
        <is>
          <t>N/A</t>
        </is>
      </c>
      <c r="Z1446" s="0" t="inlineStr">
        <is>
          <t>N/A</t>
        </is>
      </c>
      <c r="AA1446" s="0" t="inlineStr">
        <is>
          <t>N/A</t>
        </is>
      </c>
    </row>
    <row r="1447" ht="15.75" customHeight="1" s="51">
      <c r="A1447" s="47" t="inlineStr">
        <is>
          <t>PSY-144-05</t>
        </is>
      </c>
      <c r="B1447" s="47" t="inlineStr">
        <is>
          <t>Psyche</t>
        </is>
      </c>
      <c r="C1447" s="47" t="inlineStr">
        <is>
          <t>Computer Hardware</t>
        </is>
      </c>
      <c r="D1447" s="47" t="inlineStr">
        <is>
          <t>Keyboard</t>
        </is>
      </c>
      <c r="E1447" s="48" t="inlineStr">
        <is>
          <t>Psyche Orbit Mechanical Keyboard</t>
        </is>
      </c>
      <c r="F1447" s="49" t="n">
        <v>152.99</v>
      </c>
      <c r="G1447" s="47" t="inlineStr">
        <is>
          <t>the Orbit; Psyche Orbit; Psychee Orbit; Orbit keyboard</t>
        </is>
      </c>
      <c r="H1447" s="47" t="inlineStr">
        <is>
          <t>2 year limited</t>
        </is>
      </c>
      <c r="I1447" s="47" t="inlineStr">
        <is>
          <t>FCC, CE, RoHS, Bluetooth SIG Qualified</t>
        </is>
      </c>
      <c r="J1447" s="47" t="inlineStr">
        <is>
          <t>N/A</t>
        </is>
      </c>
      <c r="K1447" s="47" t="inlineStr">
        <is>
          <t>N/A</t>
        </is>
      </c>
      <c r="L1447" s="47" t="inlineStr">
        <is>
          <t>N/A</t>
        </is>
      </c>
      <c r="M1447" s="47" t="inlineStr">
        <is>
          <t>N/A</t>
        </is>
      </c>
      <c r="N1447" s="47" t="inlineStr">
        <is>
          <t>USB-C, 2.4GHz dongle, Bluetooth 5.1</t>
        </is>
      </c>
      <c r="O1447" s="47" t="inlineStr">
        <is>
          <t>N/A</t>
        </is>
      </c>
      <c r="P1447" s="47" t="n">
        <v>287</v>
      </c>
      <c r="Q1447" s="50" t="n">
        <v>916</v>
      </c>
      <c r="R1447" s="47" t="inlineStr">
        <is>
          <t>Lighter than Dione Aeon Lite Mechanical Keyboard [DIO-128-03] (916 g vs 1,037 g); Longer battery than Notus Rift Mechanical Keyboard [NOT-108-04] (287 vs 225 hrs)</t>
        </is>
      </c>
      <c r="S1447" s="47" t="inlineStr">
        <is>
          <t>gaming, typing, office</t>
        </is>
      </c>
      <c r="T1447" s="0" t="inlineStr">
        <is>
          <t>in_stock</t>
        </is>
      </c>
      <c r="U1447" s="0" t="n">
        <v>30</v>
      </c>
      <c r="V1447" s="52" t="n">
        <v>167.99</v>
      </c>
      <c r="W1447" s="0" t="inlineStr">
        <is>
          <t>2026-09-12</t>
        </is>
      </c>
      <c r="X1447" s="0" t="inlineStr">
        <is>
          <t>N/A</t>
        </is>
      </c>
      <c r="Y1447" s="0" t="inlineStr">
        <is>
          <t>N/A</t>
        </is>
      </c>
      <c r="Z1447" s="0" t="inlineStr">
        <is>
          <t>N/A</t>
        </is>
      </c>
      <c r="AA1447" s="0" t="inlineStr">
        <is>
          <t>N/A</t>
        </is>
      </c>
    </row>
    <row r="1448" ht="15.75" customHeight="1" s="51">
      <c r="A1448" s="47" t="inlineStr">
        <is>
          <t>PSY-144-06</t>
        </is>
      </c>
      <c r="B1448" s="47" t="inlineStr">
        <is>
          <t>Psyche</t>
        </is>
      </c>
      <c r="C1448" s="47" t="inlineStr">
        <is>
          <t>Computer Hardware</t>
        </is>
      </c>
      <c r="D1448" s="47" t="inlineStr">
        <is>
          <t>Cooling</t>
        </is>
      </c>
      <c r="E1448" s="48" t="inlineStr">
        <is>
          <t>Psyche Onyx SE 360mm AIO CPU Cooler</t>
        </is>
      </c>
      <c r="F1448" s="49" t="n">
        <v>158.99</v>
      </c>
      <c r="G1448" s="47" t="inlineStr">
        <is>
          <t>the Onyx SE; Psyche Onyx SE; Psych Onyx SE; Onyx SE cooling</t>
        </is>
      </c>
      <c r="H1448" s="47" t="inlineStr">
        <is>
          <t>5 year limited</t>
        </is>
      </c>
      <c r="I1448" s="47" t="inlineStr">
        <is>
          <t>FCC, CE, RoHS</t>
        </is>
      </c>
      <c r="J1448" s="47" t="inlineStr">
        <is>
          <t>N/A</t>
        </is>
      </c>
      <c r="K1448" s="47" t="inlineStr">
        <is>
          <t>N/A</t>
        </is>
      </c>
      <c r="L1448" s="47" t="inlineStr">
        <is>
          <t>N/A</t>
        </is>
      </c>
      <c r="M1448" s="47" t="inlineStr">
        <is>
          <t>N/A</t>
        </is>
      </c>
      <c r="N1448" s="47" t="inlineStr">
        <is>
          <t>3x 4-pin PWM fans, 3-pin pump header, ARGB 5V; LGA1700/LGA1851/AM5 mounts</t>
        </is>
      </c>
      <c r="O1448" s="47" t="inlineStr">
        <is>
          <t>N/A</t>
        </is>
      </c>
      <c r="P1448" s="47" t="inlineStr">
        <is>
          <t>N/A</t>
        </is>
      </c>
      <c r="Q1448" s="50" t="n">
        <v>1615</v>
      </c>
      <c r="R1448" s="47" t="inlineStr">
        <is>
          <t>Lower price than Euterpe Drift Lite 360mm AIO CPU Cooler [EUT-120-05] ($158.99 vs $257.99); Lighter than Phanes Arc 360mm AIO CPU Cooler [PHA-138-04] (1,615 g vs 1,900 g)</t>
        </is>
      </c>
      <c r="S1448" s="47" t="inlineStr">
        <is>
          <t>overclocking, gaming, quiet builds</t>
        </is>
      </c>
      <c r="T1448" s="0" t="inlineStr">
        <is>
          <t>in_stock</t>
        </is>
      </c>
      <c r="U1448" s="0" t="n">
        <v>30</v>
      </c>
      <c r="V1448" s="52" t="n">
        <v>176.99</v>
      </c>
      <c r="W1448" s="0" t="inlineStr">
        <is>
          <t>2026-08-27</t>
        </is>
      </c>
      <c r="X1448" s="0" t="inlineStr">
        <is>
          <t>N/A</t>
        </is>
      </c>
      <c r="Y1448" s="0" t="inlineStr">
        <is>
          <t>N/A</t>
        </is>
      </c>
      <c r="Z1448" s="0" t="inlineStr">
        <is>
          <t>N/A</t>
        </is>
      </c>
      <c r="AA1448" s="0" t="inlineStr">
        <is>
          <t>N/A</t>
        </is>
      </c>
    </row>
    <row r="1449" ht="15.75" customHeight="1" s="51">
      <c r="A1449" s="47" t="inlineStr">
        <is>
          <t>PSY-144-07</t>
        </is>
      </c>
      <c r="B1449" s="47" t="inlineStr">
        <is>
          <t>Psyche</t>
        </is>
      </c>
      <c r="C1449" s="47" t="inlineStr">
        <is>
          <t>Computer Hardware</t>
        </is>
      </c>
      <c r="D1449" s="47" t="inlineStr">
        <is>
          <t>Power Supply</t>
        </is>
      </c>
      <c r="E1449" s="48" t="inlineStr">
        <is>
          <t>Psyche Volt Max 850W Power Supply</t>
        </is>
      </c>
      <c r="F1449" s="49" t="n">
        <v>177.99</v>
      </c>
      <c r="G1449" s="47" t="inlineStr">
        <is>
          <t>the Volt Max; Psyche Volt Max; Psyhce Volt Max; Volt Max power supply</t>
        </is>
      </c>
      <c r="H1449" s="47" t="inlineStr">
        <is>
          <t>7 year limited</t>
        </is>
      </c>
      <c r="I1449" s="47" t="inlineStr">
        <is>
          <t>FCC, CE, RoHS, 80 PLUS Platinum, UL Listed</t>
        </is>
      </c>
      <c r="J1449" s="47" t="inlineStr">
        <is>
          <t>N/A</t>
        </is>
      </c>
      <c r="K1449" s="47" t="inlineStr">
        <is>
          <t>N/A</t>
        </is>
      </c>
      <c r="L1449" s="47" t="inlineStr">
        <is>
          <t>N/A</t>
        </is>
      </c>
      <c r="M1449" s="47" t="inlineStr">
        <is>
          <t>N/A</t>
        </is>
      </c>
      <c r="N1449" s="47" t="inlineStr">
        <is>
          <t>ATX 3.1, native 12V-2x6 (600W) connector, fully modular</t>
        </is>
      </c>
      <c r="O1449" s="47" t="inlineStr">
        <is>
          <t>N/A</t>
        </is>
      </c>
      <c r="P1449" s="47" t="inlineStr">
        <is>
          <t>N/A</t>
        </is>
      </c>
      <c r="Q1449" s="50" t="n">
        <v>2112</v>
      </c>
      <c r="R1449" s="47" t="inlineStr">
        <is>
          <t>Lower price than Eucleia Aria Pro 850W Power Supply [EUC-124-07] ($177.99 vs $205.99); Lighter than Aidos Wave X 850W Power Supply [AID-135-04] (2,112 g vs 2,205 g)</t>
        </is>
      </c>
      <c r="S1449" s="47" t="inlineStr">
        <is>
          <t>PC building, high-end gaming</t>
        </is>
      </c>
      <c r="T1449" s="0" t="inlineStr">
        <is>
          <t>out_of_stock</t>
        </is>
      </c>
      <c r="U1449" s="0" t="n">
        <v>30</v>
      </c>
      <c r="V1449" s="52" t="n">
        <v>197.99</v>
      </c>
      <c r="W1449" s="0" t="inlineStr">
        <is>
          <t>2026-08-18</t>
        </is>
      </c>
      <c r="X1449" s="0" t="inlineStr">
        <is>
          <t>N/A</t>
        </is>
      </c>
      <c r="Y1449" s="0" t="inlineStr">
        <is>
          <t>N/A</t>
        </is>
      </c>
      <c r="Z1449" s="0" t="inlineStr">
        <is>
          <t>N/A</t>
        </is>
      </c>
      <c r="AA1449" s="0" t="inlineStr">
        <is>
          <t>N/A</t>
        </is>
      </c>
    </row>
    <row r="1450" ht="15.75" customHeight="1" s="51">
      <c r="A1450" s="47" t="inlineStr">
        <is>
          <t>PSY-144-08</t>
        </is>
      </c>
      <c r="B1450" s="47" t="inlineStr">
        <is>
          <t>Psyche</t>
        </is>
      </c>
      <c r="C1450" s="47" t="inlineStr">
        <is>
          <t>Computer Hardware</t>
        </is>
      </c>
      <c r="D1450" s="47" t="inlineStr">
        <is>
          <t>Motherboard</t>
        </is>
      </c>
      <c r="E1450" s="48" t="inlineStr">
        <is>
          <t>Psyche Lumen Pro ATX Motherboard</t>
        </is>
      </c>
      <c r="F1450" s="49" t="n">
        <v>355.99</v>
      </c>
      <c r="G1450" s="47" t="inlineStr">
        <is>
          <t>the Lumen Pro; Psyche Lumen Pro; Psykhe Lumen Pro; Lumen Pro motherboard</t>
        </is>
      </c>
      <c r="H1450" s="47" t="inlineStr">
        <is>
          <t>3 year limited</t>
        </is>
      </c>
      <c r="I1450" s="47" t="inlineStr">
        <is>
          <t>FCC, CE, RoHS</t>
        </is>
      </c>
      <c r="J1450" s="47" t="inlineStr">
        <is>
          <t>Supports AMD Ryzen 7000/8000/9000 (Socket AM5)</t>
        </is>
      </c>
      <c r="K1450" s="47" t="inlineStr">
        <is>
          <t>N/A</t>
        </is>
      </c>
      <c r="L1450" s="47" t="inlineStr">
        <is>
          <t>N/A</t>
        </is>
      </c>
      <c r="M1450" s="47" t="inlineStr">
        <is>
          <t>N/A</t>
        </is>
      </c>
      <c r="N1450" s="47" t="inlineStr">
        <is>
          <t>Rear I/O: 1x HDMI, 1x DisplayPort, 8x USB-A, 2x USB-C 20Gbps, 2.5GbE, Wi-Fi 7</t>
        </is>
      </c>
      <c r="O1450" s="47" t="inlineStr">
        <is>
          <t>N/A</t>
        </is>
      </c>
      <c r="P1450" s="47" t="inlineStr">
        <is>
          <t>N/A</t>
        </is>
      </c>
      <c r="Q1450" s="50" t="n">
        <v>1442</v>
      </c>
      <c r="R1450" s="47" t="inlineStr">
        <is>
          <t>Lighter than Perses Flux Pro ATX Motherboard [PER-101-07] (1,442 g vs 1,609 g); Lower price than Astraeus Apex Ultra ATX Motherboard [AST-146-09] ($355.99 vs $494.99)</t>
        </is>
      </c>
      <c r="S1450" s="47" t="inlineStr">
        <is>
          <t>PC building, gaming, workstation builds</t>
        </is>
      </c>
      <c r="T1450" s="0" t="inlineStr">
        <is>
          <t>in_stock</t>
        </is>
      </c>
      <c r="U1450" s="0" t="n">
        <v>30</v>
      </c>
      <c r="V1450" s="52" t="n">
        <v>400.99</v>
      </c>
      <c r="W1450" s="0" t="inlineStr">
        <is>
          <t>2026-09-04</t>
        </is>
      </c>
      <c r="X1450" s="0" t="inlineStr">
        <is>
          <t>N/A</t>
        </is>
      </c>
      <c r="Y1450" s="0" t="inlineStr">
        <is>
          <t>N/A</t>
        </is>
      </c>
      <c r="Z1450" s="0" t="inlineStr">
        <is>
          <t>N/A</t>
        </is>
      </c>
      <c r="AA1450" s="0" t="inlineStr">
        <is>
          <t>N/A</t>
        </is>
      </c>
    </row>
    <row r="1451" ht="15.75" customHeight="1" s="51">
      <c r="A1451" s="47" t="inlineStr">
        <is>
          <t>PSY-144-09</t>
        </is>
      </c>
      <c r="B1451" s="47" t="inlineStr">
        <is>
          <t>Psyche</t>
        </is>
      </c>
      <c r="C1451" s="47" t="inlineStr">
        <is>
          <t>Computer Hardware</t>
        </is>
      </c>
      <c r="D1451" s="47" t="inlineStr">
        <is>
          <t>Graphics Card</t>
        </is>
      </c>
      <c r="E1451" s="48" t="inlineStr">
        <is>
          <t>Psyche Titan Max Graphics Card</t>
        </is>
      </c>
      <c r="F1451" s="49" t="n">
        <v>432.99</v>
      </c>
      <c r="G1451" s="47" t="inlineStr">
        <is>
          <t>the Titan Max; Psyche Titan Max; Psychee Titan Max; Titan Max graphics card</t>
        </is>
      </c>
      <c r="H1451" s="47" t="inlineStr">
        <is>
          <t>3 year limited</t>
        </is>
      </c>
      <c r="I1451" s="47" t="inlineStr">
        <is>
          <t>FCC, CE, RoHS</t>
        </is>
      </c>
      <c r="J1451" s="47" t="inlineStr">
        <is>
          <t>N/A</t>
        </is>
      </c>
      <c r="K1451" s="47" t="inlineStr">
        <is>
          <t>AMD Radeon RX 7700 XT 12GB (Psyche Titan edition)</t>
        </is>
      </c>
      <c r="L1451" s="47" t="inlineStr">
        <is>
          <t>N/A</t>
        </is>
      </c>
      <c r="M1451" s="47" t="inlineStr">
        <is>
          <t>N/A</t>
        </is>
      </c>
      <c r="N1451" s="47" t="inlineStr">
        <is>
          <t>2x DisplayPort 2.1, 1x HDMI 2.1, 1x USB-C</t>
        </is>
      </c>
      <c r="O1451" s="47" t="inlineStr">
        <is>
          <t>N/A</t>
        </is>
      </c>
      <c r="P1451" s="47" t="inlineStr">
        <is>
          <t>N/A</t>
        </is>
      </c>
      <c r="Q1451" s="50" t="n">
        <v>752</v>
      </c>
      <c r="R1451" s="47" t="inlineStr">
        <is>
          <t>Lighter than Hera Apex Max Graphics Card [HER-129-10] (752 g vs 1,740 g); Lower price than Eucleia Nimbus Pro Graphics Card [EUC-124-10] ($432.99 vs $1,993.99)</t>
        </is>
      </c>
      <c r="S1451" s="47" t="inlineStr">
        <is>
          <t>gaming, 3D rendering, AI workloads</t>
        </is>
      </c>
      <c r="T1451" s="0" t="inlineStr">
        <is>
          <t>in_stock</t>
        </is>
      </c>
      <c r="U1451" s="0" t="n">
        <v>30</v>
      </c>
      <c r="V1451" s="52" t="n">
        <v>454.99</v>
      </c>
      <c r="W1451" s="0" t="inlineStr">
        <is>
          <t>2026-08-30</t>
        </is>
      </c>
      <c r="X1451" s="0" t="inlineStr">
        <is>
          <t>N/A</t>
        </is>
      </c>
      <c r="Y1451" s="0" t="inlineStr">
        <is>
          <t>N/A</t>
        </is>
      </c>
      <c r="Z1451" s="0" t="inlineStr">
        <is>
          <t>N/A</t>
        </is>
      </c>
      <c r="AA1451" s="0" t="inlineStr">
        <is>
          <t>N/A</t>
        </is>
      </c>
    </row>
    <row r="1452" ht="15.75" customHeight="1" s="51">
      <c r="A1452" s="47" t="inlineStr">
        <is>
          <t>PSY-144-10</t>
        </is>
      </c>
      <c r="B1452" s="47" t="inlineStr">
        <is>
          <t>Psyche</t>
        </is>
      </c>
      <c r="C1452" s="47" t="inlineStr">
        <is>
          <t>Computer Hardware</t>
        </is>
      </c>
      <c r="D1452" s="47" t="inlineStr">
        <is>
          <t>Monitor</t>
        </is>
      </c>
      <c r="E1452" s="48" t="inlineStr">
        <is>
          <t>Psyche Pulse 27" 1440p Monitor</t>
        </is>
      </c>
      <c r="F1452" s="49" t="n">
        <v>463.99</v>
      </c>
      <c r="G1452" s="47" t="inlineStr">
        <is>
          <t>the Pulse; Psyche Pulse; Psykhe Pulse; Pulse monitor</t>
        </is>
      </c>
      <c r="H1452" s="47" t="inlineStr">
        <is>
          <t>3 year limited</t>
        </is>
      </c>
      <c r="I1452" s="47" t="inlineStr">
        <is>
          <t>FCC, CE, RoHS, Energy Star, TUV Rheinland Low Blue Light, VESA DisplayHDR 600</t>
        </is>
      </c>
      <c r="J1452" s="47" t="inlineStr">
        <is>
          <t>N/A</t>
        </is>
      </c>
      <c r="K1452" s="47" t="inlineStr">
        <is>
          <t>N/A</t>
        </is>
      </c>
      <c r="L1452" s="47" t="inlineStr">
        <is>
          <t>IPS, 180Hz</t>
        </is>
      </c>
      <c r="M1452" s="47" t="inlineStr">
        <is>
          <t>2560x1440</t>
        </is>
      </c>
      <c r="N1452" s="47" t="inlineStr">
        <is>
          <t>2x HDMI 2.1, 1x DisplayPort 1.4, USB-C 90W, USB hub</t>
        </is>
      </c>
      <c r="O1452" s="47" t="inlineStr">
        <is>
          <t>N/A</t>
        </is>
      </c>
      <c r="P1452" s="47" t="inlineStr">
        <is>
          <t>N/A</t>
        </is>
      </c>
      <c r="Q1452" s="50" t="n">
        <v>6608</v>
      </c>
      <c r="R1452" s="47" t="inlineStr">
        <is>
          <t>Lower price than Phoebe Nimbus X 27" 1440p Monitor [PHO-143-09] ($463.99 vs $674.99); Lighter than Eris Crest Plus 27" 1440p Monitor [ERI-148-10] (6,608 g vs 7,023 g)</t>
        </is>
      </c>
      <c r="S1452" s="47" t="inlineStr">
        <is>
          <t>gaming, office, content creation</t>
        </is>
      </c>
      <c r="T1452" s="0" t="inlineStr">
        <is>
          <t>in_stock</t>
        </is>
      </c>
      <c r="U1452" s="0" t="n">
        <v>30</v>
      </c>
      <c r="V1452" s="52" t="n">
        <v>495.99</v>
      </c>
      <c r="W1452" s="0" t="inlineStr">
        <is>
          <t>2026-08-10</t>
        </is>
      </c>
      <c r="X1452" s="0" t="inlineStr">
        <is>
          <t>N/A</t>
        </is>
      </c>
      <c r="Y1452" s="0" t="inlineStr">
        <is>
          <t>N/A</t>
        </is>
      </c>
      <c r="Z1452" s="0" t="inlineStr">
        <is>
          <t>N/A</t>
        </is>
      </c>
      <c r="AA1452" s="0" t="inlineStr">
        <is>
          <t>N/A</t>
        </is>
      </c>
    </row>
    <row r="1453" ht="15.75" customHeight="1" s="51">
      <c r="A1453" s="47" t="inlineStr">
        <is>
          <t>THE-145-01</t>
        </is>
      </c>
      <c r="B1453" s="47" t="inlineStr">
        <is>
          <t>Themis</t>
        </is>
      </c>
      <c r="C1453" s="47" t="inlineStr">
        <is>
          <t>Computer Hardware</t>
        </is>
      </c>
      <c r="D1453" s="47" t="inlineStr">
        <is>
          <t>Storage</t>
        </is>
      </c>
      <c r="E1453" s="48" t="inlineStr">
        <is>
          <t>Themis Axis Max 4TB External Hard Drive</t>
        </is>
      </c>
      <c r="F1453" s="49" t="n">
        <v>89.98999999999999</v>
      </c>
      <c r="G1453" s="47" t="inlineStr">
        <is>
          <t>the Axis Max; Themis Axis Max; Themiis Axis Max; Axis Max storage</t>
        </is>
      </c>
      <c r="H1453" s="47" t="inlineStr">
        <is>
          <t>2 year limited</t>
        </is>
      </c>
      <c r="I1453" s="47" t="inlineStr">
        <is>
          <t>FCC, CE, RoHS, USB-IF Certified</t>
        </is>
      </c>
      <c r="J1453" s="47" t="inlineStr">
        <is>
          <t>N/A</t>
        </is>
      </c>
      <c r="K1453" s="47" t="inlineStr">
        <is>
          <t>N/A</t>
        </is>
      </c>
      <c r="L1453" s="47" t="inlineStr">
        <is>
          <t>N/A</t>
        </is>
      </c>
      <c r="M1453" s="47" t="inlineStr">
        <is>
          <t>N/A</t>
        </is>
      </c>
      <c r="N1453" s="47" t="inlineStr">
        <is>
          <t>USB-C (USB 3.2 Gen 1)</t>
        </is>
      </c>
      <c r="O1453" s="47" t="inlineStr">
        <is>
          <t>N/A</t>
        </is>
      </c>
      <c r="P1453" s="47" t="inlineStr">
        <is>
          <t>N/A</t>
        </is>
      </c>
      <c r="Q1453" s="50" t="n">
        <v>227</v>
      </c>
      <c r="R1453" s="47" t="inlineStr">
        <is>
          <t>Lower price than Eileithyia Spark Max 4TB External Hard Drive [EIL-149-06] ($89.99 vs $188.99); Lighter than Cronus Wave 4TB External Hard Drive [CRO-105-04] (227 g vs 241 g)</t>
        </is>
      </c>
      <c r="S1453" s="47" t="inlineStr">
        <is>
          <t>backup, media storage</t>
        </is>
      </c>
      <c r="T1453" s="0" t="inlineStr">
        <is>
          <t>in_stock</t>
        </is>
      </c>
      <c r="U1453" s="0" t="n">
        <v>30</v>
      </c>
      <c r="V1453" s="52" t="n">
        <v>103.99</v>
      </c>
      <c r="W1453" s="0" t="inlineStr">
        <is>
          <t>2026-08-31</t>
        </is>
      </c>
      <c r="X1453" s="0" t="inlineStr">
        <is>
          <t>N/A</t>
        </is>
      </c>
      <c r="Y1453" s="0" t="inlineStr">
        <is>
          <t>N/A</t>
        </is>
      </c>
      <c r="Z1453" s="0" t="inlineStr">
        <is>
          <t>N/A</t>
        </is>
      </c>
      <c r="AA1453" s="0" t="inlineStr">
        <is>
          <t>N/A</t>
        </is>
      </c>
    </row>
    <row r="1454" ht="15.75" customHeight="1" s="51">
      <c r="A1454" s="47" t="inlineStr">
        <is>
          <t>THE-145-02</t>
        </is>
      </c>
      <c r="B1454" s="47" t="inlineStr">
        <is>
          <t>Themis</t>
        </is>
      </c>
      <c r="C1454" s="47" t="inlineStr">
        <is>
          <t>Computer Hardware</t>
        </is>
      </c>
      <c r="D1454" s="47" t="inlineStr">
        <is>
          <t>Mouse</t>
        </is>
      </c>
      <c r="E1454" s="48" t="inlineStr">
        <is>
          <t>Themis Orbit Air Gaming Mouse</t>
        </is>
      </c>
      <c r="F1454" s="49" t="n">
        <v>108.99</v>
      </c>
      <c r="G1454" s="47" t="inlineStr">
        <is>
          <t>the Orbit Air; Themis Orbit Air; Tehmis Orbit Air; Orbit Air mouse</t>
        </is>
      </c>
      <c r="H1454" s="47" t="inlineStr">
        <is>
          <t>2 year limited</t>
        </is>
      </c>
      <c r="I1454" s="47" t="inlineStr">
        <is>
          <t>FCC, CE, RoHS, Bluetooth SIG Qualified</t>
        </is>
      </c>
      <c r="J1454" s="47" t="inlineStr">
        <is>
          <t>Sensor: 30K DPI optical</t>
        </is>
      </c>
      <c r="K1454" s="47" t="inlineStr">
        <is>
          <t>N/A</t>
        </is>
      </c>
      <c r="L1454" s="47" t="inlineStr">
        <is>
          <t>N/A</t>
        </is>
      </c>
      <c r="M1454" s="47" t="inlineStr">
        <is>
          <t>N/A</t>
        </is>
      </c>
      <c r="N1454" s="47" t="inlineStr">
        <is>
          <t>USB-C, 2.4GHz dongle, Bluetooth 5.1</t>
        </is>
      </c>
      <c r="O1454" s="47" t="inlineStr">
        <is>
          <t>N/A</t>
        </is>
      </c>
      <c r="P1454" s="47" t="n">
        <v>97</v>
      </c>
      <c r="Q1454" s="50" t="n">
        <v>89</v>
      </c>
      <c r="R1454" s="47" t="inlineStr">
        <is>
          <t>Lower price than Zelus Core SE Gaming Mouse [ZEL-137-04] ($108.99 vs $150.99); Longer battery than Aphrodite Volt Gaming Mouse [APH-141-05] (97 vs 96 hrs)</t>
        </is>
      </c>
      <c r="S1454" s="47" t="inlineStr">
        <is>
          <t>gaming, esports</t>
        </is>
      </c>
      <c r="T1454" s="0" t="inlineStr">
        <is>
          <t>in_stock</t>
        </is>
      </c>
      <c r="U1454" s="0" t="n">
        <v>30</v>
      </c>
      <c r="V1454" s="52" t="n">
        <v>121.99</v>
      </c>
      <c r="W1454" s="0" t="inlineStr">
        <is>
          <t>2026-09-25</t>
        </is>
      </c>
      <c r="X1454" s="0" t="inlineStr">
        <is>
          <t>N/A</t>
        </is>
      </c>
      <c r="Y1454" s="0" t="inlineStr">
        <is>
          <t>N/A</t>
        </is>
      </c>
      <c r="Z1454" s="0" t="inlineStr">
        <is>
          <t>N/A</t>
        </is>
      </c>
      <c r="AA1454" s="0" t="inlineStr">
        <is>
          <t>N/A</t>
        </is>
      </c>
    </row>
    <row r="1455" ht="15.75" customHeight="1" s="51">
      <c r="A1455" s="47" t="inlineStr">
        <is>
          <t>THE-145-03</t>
        </is>
      </c>
      <c r="B1455" s="47" t="inlineStr">
        <is>
          <t>Themis</t>
        </is>
      </c>
      <c r="C1455" s="47" t="inlineStr">
        <is>
          <t>Computer Hardware</t>
        </is>
      </c>
      <c r="D1455" s="47" t="inlineStr">
        <is>
          <t>Webcam</t>
        </is>
      </c>
      <c r="E1455" s="48" t="inlineStr">
        <is>
          <t>Themis Nova SE 4K Webcam</t>
        </is>
      </c>
      <c r="F1455" s="49" t="n">
        <v>114.99</v>
      </c>
      <c r="G1455" s="47" t="inlineStr">
        <is>
          <t>the Nova SE; Themis Nova SE; Tehmis Nova SE; Nova SE webcam</t>
        </is>
      </c>
      <c r="H1455" s="47" t="inlineStr">
        <is>
          <t>2 year limited</t>
        </is>
      </c>
      <c r="I1455" s="47" t="inlineStr">
        <is>
          <t>FCC, CE, RoHS, USB-IF Certified</t>
        </is>
      </c>
      <c r="J1455" s="47" t="inlineStr">
        <is>
          <t>N/A</t>
        </is>
      </c>
      <c r="K1455" s="47" t="inlineStr">
        <is>
          <t>N/A</t>
        </is>
      </c>
      <c r="L1455" s="47" t="inlineStr">
        <is>
          <t>N/A</t>
        </is>
      </c>
      <c r="M1455" s="47" t="inlineStr">
        <is>
          <t>3840x2160 @ 30fps, 1080p @ 60fps</t>
        </is>
      </c>
      <c r="N1455" s="47" t="inlineStr">
        <is>
          <t>USB-C (USB 3.0)</t>
        </is>
      </c>
      <c r="O1455" s="47" t="inlineStr">
        <is>
          <t>N/A</t>
        </is>
      </c>
      <c r="P1455" s="47" t="inlineStr">
        <is>
          <t>N/A</t>
        </is>
      </c>
      <c r="Q1455" s="50" t="n">
        <v>165</v>
      </c>
      <c r="R1455" s="47" t="inlineStr">
        <is>
          <t>Lower price than Hermes Lumen SE 4K Webcam [HER-103-07] ($114.99 vs $227.99); Lighter than Hestia Titan Pro 4K Webcam [HES-116-01] (165 g vs 168 g)</t>
        </is>
      </c>
      <c r="S1455" s="47" t="inlineStr">
        <is>
          <t>video calls, streaming, remote work</t>
        </is>
      </c>
      <c r="T1455" s="0" t="inlineStr">
        <is>
          <t>in_stock</t>
        </is>
      </c>
      <c r="U1455" s="0" t="n">
        <v>30</v>
      </c>
      <c r="V1455" s="52" t="n">
        <v>119.99</v>
      </c>
      <c r="W1455" s="0" t="inlineStr">
        <is>
          <t>2026-08-06</t>
        </is>
      </c>
      <c r="X1455" s="0" t="inlineStr">
        <is>
          <t>N/A</t>
        </is>
      </c>
      <c r="Y1455" s="0" t="inlineStr">
        <is>
          <t>N/A</t>
        </is>
      </c>
      <c r="Z1455" s="0" t="inlineStr">
        <is>
          <t>N/A</t>
        </is>
      </c>
      <c r="AA1455" s="0" t="inlineStr">
        <is>
          <t>N/A</t>
        </is>
      </c>
    </row>
    <row r="1456" ht="15.75" customHeight="1" s="51">
      <c r="A1456" s="47" t="inlineStr">
        <is>
          <t>THE-145-04</t>
        </is>
      </c>
      <c r="B1456" s="47" t="inlineStr">
        <is>
          <t>Themis</t>
        </is>
      </c>
      <c r="C1456" s="47" t="inlineStr">
        <is>
          <t>Computer Hardware</t>
        </is>
      </c>
      <c r="D1456" s="47" t="inlineStr">
        <is>
          <t>Processor</t>
        </is>
      </c>
      <c r="E1456" s="48" t="inlineStr">
        <is>
          <t>Themis Spark Desktop CPU</t>
        </is>
      </c>
      <c r="F1456" s="49" t="n">
        <v>156.99</v>
      </c>
      <c r="G1456" s="47" t="inlineStr">
        <is>
          <t>the Spark; Themis Spark; Themiis Spark; Spark processor</t>
        </is>
      </c>
      <c r="H1456" s="47" t="inlineStr">
        <is>
          <t>3 year limited</t>
        </is>
      </c>
      <c r="I1456" s="47" t="inlineStr">
        <is>
          <t>FCC, CE, RoHS</t>
        </is>
      </c>
      <c r="J1456" s="47" t="inlineStr">
        <is>
          <t>Themis Spark 6-core / 12-thread, up to 4.7 GHz</t>
        </is>
      </c>
      <c r="K1456" s="47" t="inlineStr">
        <is>
          <t>None (discrete GPU required)</t>
        </is>
      </c>
      <c r="L1456" s="47" t="inlineStr">
        <is>
          <t>N/A</t>
        </is>
      </c>
      <c r="M1456" s="47" t="inlineStr">
        <is>
          <t>N/A</t>
        </is>
      </c>
      <c r="N1456" s="47" t="inlineStr">
        <is>
          <t>N/A</t>
        </is>
      </c>
      <c r="O1456" s="47" t="inlineStr">
        <is>
          <t>N/A</t>
        </is>
      </c>
      <c r="P1456" s="47" t="inlineStr">
        <is>
          <t>N/A</t>
        </is>
      </c>
      <c r="Q1456" s="50" t="n">
        <v>46</v>
      </c>
      <c r="R1456" s="47" t="inlineStr">
        <is>
          <t>Lower price than Eurybia Arc Desktop CPU [EUR-104-08] ($156.99 vs $342.99); Lighter than Hyperion Volt Desktop CPU [HYP-123-09] (46 g vs 50 g)</t>
        </is>
      </c>
      <c r="S1456" s="47" t="inlineStr">
        <is>
          <t>gaming, content creation, workstation builds</t>
        </is>
      </c>
      <c r="T1456" s="0" t="inlineStr">
        <is>
          <t>in_stock</t>
        </is>
      </c>
      <c r="U1456" s="0" t="n">
        <v>30</v>
      </c>
      <c r="V1456" s="52" t="n">
        <v>169.99</v>
      </c>
      <c r="W1456" s="0" t="inlineStr">
        <is>
          <t>2026-08-13</t>
        </is>
      </c>
      <c r="X1456" s="0" t="inlineStr">
        <is>
          <t>N/A</t>
        </is>
      </c>
      <c r="Y1456" s="0" t="inlineStr">
        <is>
          <t>N/A</t>
        </is>
      </c>
      <c r="Z1456" s="0" t="inlineStr">
        <is>
          <t>N/A</t>
        </is>
      </c>
      <c r="AA1456" s="0" t="inlineStr">
        <is>
          <t>N/A</t>
        </is>
      </c>
    </row>
    <row r="1457" ht="15.75" customHeight="1" s="51">
      <c r="A1457" s="47" t="inlineStr">
        <is>
          <t>THE-145-05</t>
        </is>
      </c>
      <c r="B1457" s="47" t="inlineStr">
        <is>
          <t>Themis</t>
        </is>
      </c>
      <c r="C1457" s="47" t="inlineStr">
        <is>
          <t>Computer Hardware</t>
        </is>
      </c>
      <c r="D1457" s="47" t="inlineStr">
        <is>
          <t>Keyboard</t>
        </is>
      </c>
      <c r="E1457" s="48" t="inlineStr">
        <is>
          <t>Themis Onyx Pro Mechanical Keyboard</t>
        </is>
      </c>
      <c r="F1457" s="49" t="n">
        <v>171.99</v>
      </c>
      <c r="G1457" s="47" t="inlineStr">
        <is>
          <t>the Onyx Pro; Themis Onyx Pro; Themmis Onyx Pro; Onyx Pro keyboard</t>
        </is>
      </c>
      <c r="H1457" s="47" t="inlineStr">
        <is>
          <t>2 year limited</t>
        </is>
      </c>
      <c r="I1457" s="47" t="inlineStr">
        <is>
          <t>FCC, CE, RoHS, Bluetooth SIG Qualified</t>
        </is>
      </c>
      <c r="J1457" s="47" t="inlineStr">
        <is>
          <t>N/A</t>
        </is>
      </c>
      <c r="K1457" s="47" t="inlineStr">
        <is>
          <t>N/A</t>
        </is>
      </c>
      <c r="L1457" s="47" t="inlineStr">
        <is>
          <t>N/A</t>
        </is>
      </c>
      <c r="M1457" s="47" t="inlineStr">
        <is>
          <t>N/A</t>
        </is>
      </c>
      <c r="N1457" s="47" t="inlineStr">
        <is>
          <t>USB-C, 2.4GHz dongle, Bluetooth 5.1</t>
        </is>
      </c>
      <c r="O1457" s="47" t="inlineStr">
        <is>
          <t>N/A</t>
        </is>
      </c>
      <c r="P1457" s="47" t="n">
        <v>394</v>
      </c>
      <c r="Q1457" s="50" t="n">
        <v>950</v>
      </c>
      <c r="R1457" s="47" t="inlineStr">
        <is>
          <t>Longer battery than Urania Volt Air Mechanical Keyboard [URA-136-05] (394 vs 391 hrs); Lighter than Iris Prism Mechanical Keyboard [IRI-130-07] (950 g vs 1,019 g)</t>
        </is>
      </c>
      <c r="S1457" s="47" t="inlineStr">
        <is>
          <t>gaming, typing, office</t>
        </is>
      </c>
      <c r="T1457" s="0" t="inlineStr">
        <is>
          <t>low_stock</t>
        </is>
      </c>
      <c r="U1457" s="0" t="n">
        <v>30</v>
      </c>
      <c r="V1457" s="52" t="n">
        <v>191.99</v>
      </c>
      <c r="W1457" s="0" t="inlineStr">
        <is>
          <t>2026-09-16</t>
        </is>
      </c>
      <c r="X1457" s="0" t="inlineStr">
        <is>
          <t>N/A</t>
        </is>
      </c>
      <c r="Y1457" s="0" t="inlineStr">
        <is>
          <t>N/A</t>
        </is>
      </c>
      <c r="Z1457" s="0" t="inlineStr">
        <is>
          <t>N/A</t>
        </is>
      </c>
      <c r="AA1457" s="0" t="inlineStr">
        <is>
          <t>N/A</t>
        </is>
      </c>
    </row>
    <row r="1458" ht="15.75" customHeight="1" s="51">
      <c r="A1458" s="47" t="inlineStr">
        <is>
          <t>THE-145-06</t>
        </is>
      </c>
      <c r="B1458" s="47" t="inlineStr">
        <is>
          <t>Themis</t>
        </is>
      </c>
      <c r="C1458" s="47" t="inlineStr">
        <is>
          <t>Computer Hardware</t>
        </is>
      </c>
      <c r="D1458" s="47" t="inlineStr">
        <is>
          <t>Docking Station</t>
        </is>
      </c>
      <c r="E1458" s="48" t="inlineStr">
        <is>
          <t>Themis Apex Pro USB-C Docking Station</t>
        </is>
      </c>
      <c r="F1458" s="49" t="n">
        <v>190.99</v>
      </c>
      <c r="G1458" s="47" t="inlineStr">
        <is>
          <t>the Apex Pro; Themis Apex Pro; Themmis Apex Pro; Apex Pro docking station</t>
        </is>
      </c>
      <c r="H1458" s="47" t="inlineStr">
        <is>
          <t>2 year limited</t>
        </is>
      </c>
      <c r="I1458" s="47" t="inlineStr">
        <is>
          <t>FCC, CE, RoHS, USB-IF Certified, UL Listed</t>
        </is>
      </c>
      <c r="J1458" s="47" t="inlineStr">
        <is>
          <t>N/A</t>
        </is>
      </c>
      <c r="K1458" s="47" t="inlineStr">
        <is>
          <t>N/A</t>
        </is>
      </c>
      <c r="L1458" s="47" t="inlineStr">
        <is>
          <t>N/A</t>
        </is>
      </c>
      <c r="M1458" s="47" t="inlineStr">
        <is>
          <t>N/A</t>
        </is>
      </c>
      <c r="N1458" s="47" t="inlineStr">
        <is>
          <t>2x HDMI 2.0, 1x DisplayPort 1.4, 3x USB-A 3.2, 2x USB-C, 2.5GbE, SD card, 100W PD</t>
        </is>
      </c>
      <c r="O1458" s="47" t="inlineStr">
        <is>
          <t>N/A</t>
        </is>
      </c>
      <c r="P1458" s="47" t="inlineStr">
        <is>
          <t>N/A</t>
        </is>
      </c>
      <c r="Q1458" s="50" t="n">
        <v>445</v>
      </c>
      <c r="R1458" s="47" t="inlineStr">
        <is>
          <t>Lower price than Eileithyia Aria USB-C Docking Station [EIL-149-08] ($190.99 vs $321.99); Lighter than Hestia Lumen Lite USB-C Docking Station [HES-116-04] (445 g vs 476 g)</t>
        </is>
      </c>
      <c r="S1458" s="47" t="inlineStr">
        <is>
          <t>office, remote work, multi-monitor</t>
        </is>
      </c>
      <c r="T1458" s="0" t="inlineStr">
        <is>
          <t>in_stock</t>
        </is>
      </c>
      <c r="U1458" s="0" t="n">
        <v>30</v>
      </c>
      <c r="V1458" s="52" t="n">
        <v>210.99</v>
      </c>
      <c r="W1458" s="0" t="inlineStr">
        <is>
          <t>2026-08-22</t>
        </is>
      </c>
      <c r="X1458" s="0" t="inlineStr">
        <is>
          <t>N/A</t>
        </is>
      </c>
      <c r="Y1458" s="0" t="inlineStr">
        <is>
          <t>N/A</t>
        </is>
      </c>
      <c r="Z1458" s="0" t="inlineStr">
        <is>
          <t>N/A</t>
        </is>
      </c>
      <c r="AA1458" s="0" t="inlineStr">
        <is>
          <t>N/A</t>
        </is>
      </c>
    </row>
    <row r="1459" ht="15.75" customHeight="1" s="51">
      <c r="A1459" s="47" t="inlineStr">
        <is>
          <t>THE-145-07</t>
        </is>
      </c>
      <c r="B1459" s="47" t="inlineStr">
        <is>
          <t>Themis</t>
        </is>
      </c>
      <c r="C1459" s="47" t="inlineStr">
        <is>
          <t>Computer Hardware</t>
        </is>
      </c>
      <c r="D1459" s="47" t="inlineStr">
        <is>
          <t>Power Supply</t>
        </is>
      </c>
      <c r="E1459" s="48" t="inlineStr">
        <is>
          <t>Themis Quanta X 850W Power Supply</t>
        </is>
      </c>
      <c r="F1459" s="49" t="n">
        <v>205.99</v>
      </c>
      <c r="G1459" s="47" t="inlineStr">
        <is>
          <t>the Quanta X; Themis Quanta X; Temis Quanta X; Quanta X power supply</t>
        </is>
      </c>
      <c r="H1459" s="47" t="inlineStr">
        <is>
          <t>7 year limited</t>
        </is>
      </c>
      <c r="I1459" s="47" t="inlineStr">
        <is>
          <t>FCC, CE, RoHS, 80 PLUS Titanium, UL Listed</t>
        </is>
      </c>
      <c r="J1459" s="47" t="inlineStr">
        <is>
          <t>N/A</t>
        </is>
      </c>
      <c r="K1459" s="47" t="inlineStr">
        <is>
          <t>N/A</t>
        </is>
      </c>
      <c r="L1459" s="47" t="inlineStr">
        <is>
          <t>N/A</t>
        </is>
      </c>
      <c r="M1459" s="47" t="inlineStr">
        <is>
          <t>N/A</t>
        </is>
      </c>
      <c r="N1459" s="47" t="inlineStr">
        <is>
          <t>ATX 3.1, native 12V-2x6 (600W) connector, fully modular</t>
        </is>
      </c>
      <c r="O1459" s="47" t="inlineStr">
        <is>
          <t>N/A</t>
        </is>
      </c>
      <c r="P1459" s="47" t="inlineStr">
        <is>
          <t>N/A</t>
        </is>
      </c>
      <c r="Q1459" s="50" t="n">
        <v>1842</v>
      </c>
      <c r="R1459" s="47" t="inlineStr">
        <is>
          <t>Lighter than Kairos Halo Air 850W Power Supply [KAI-142-06] (1,842 g vs 1,999 g); Lower price than Nyx Quanta Pro 850W Power Supply [NYX-115-05] ($205.99 vs $208.99)</t>
        </is>
      </c>
      <c r="S1459" s="47" t="inlineStr">
        <is>
          <t>PC building, high-end gaming</t>
        </is>
      </c>
      <c r="T1459" s="0" t="inlineStr">
        <is>
          <t>low_stock</t>
        </is>
      </c>
      <c r="U1459" s="0" t="n">
        <v>30</v>
      </c>
      <c r="V1459" s="52" t="n">
        <v>236.99</v>
      </c>
      <c r="W1459" s="0" t="inlineStr">
        <is>
          <t>2026-08-12</t>
        </is>
      </c>
      <c r="X1459" s="0" t="inlineStr">
        <is>
          <t>N/A</t>
        </is>
      </c>
      <c r="Y1459" s="0" t="inlineStr">
        <is>
          <t>N/A</t>
        </is>
      </c>
      <c r="Z1459" s="0" t="inlineStr">
        <is>
          <t>N/A</t>
        </is>
      </c>
      <c r="AA1459" s="0" t="inlineStr">
        <is>
          <t>N/A</t>
        </is>
      </c>
    </row>
    <row r="1460" ht="15.75" customHeight="1" s="51">
      <c r="A1460" s="47" t="inlineStr">
        <is>
          <t>THE-145-08</t>
        </is>
      </c>
      <c r="B1460" s="47" t="inlineStr">
        <is>
          <t>Themis</t>
        </is>
      </c>
      <c r="C1460" s="47" t="inlineStr">
        <is>
          <t>Computer Hardware</t>
        </is>
      </c>
      <c r="D1460" s="47" t="inlineStr">
        <is>
          <t>Storage</t>
        </is>
      </c>
      <c r="E1460" s="48" t="inlineStr">
        <is>
          <t>Themis Zen Ultra 2TB NVMe SSD</t>
        </is>
      </c>
      <c r="F1460" s="49" t="n">
        <v>291.99</v>
      </c>
      <c r="G1460" s="47" t="inlineStr">
        <is>
          <t>the Zen Ultra; Themis Zen Ultra; Tehmis Zen Ultra; Zen Ultra storage</t>
        </is>
      </c>
      <c r="H1460" s="47" t="inlineStr">
        <is>
          <t>5 year limited</t>
        </is>
      </c>
      <c r="I1460" s="47" t="inlineStr">
        <is>
          <t>FCC, CE, RoHS</t>
        </is>
      </c>
      <c r="J1460" s="47" t="inlineStr">
        <is>
          <t>Controller: Phison E26</t>
        </is>
      </c>
      <c r="K1460" s="47" t="inlineStr">
        <is>
          <t>N/A</t>
        </is>
      </c>
      <c r="L1460" s="47" t="inlineStr">
        <is>
          <t>N/A</t>
        </is>
      </c>
      <c r="M1460" s="47" t="inlineStr">
        <is>
          <t>N/A</t>
        </is>
      </c>
      <c r="N1460" s="47" t="inlineStr">
        <is>
          <t>M.2 2280, PCIe 5.0 x4 NVMe</t>
        </is>
      </c>
      <c r="O1460" s="47" t="inlineStr">
        <is>
          <t>N/A</t>
        </is>
      </c>
      <c r="P1460" s="47" t="inlineStr">
        <is>
          <t>N/A</t>
        </is>
      </c>
      <c r="Q1460" s="50" t="n">
        <v>14</v>
      </c>
      <c r="R1460" s="47" t="inlineStr">
        <is>
          <t>Lighter than Dionysus Orbit Max 2TB NVMe SSD [DIO-118-08] (14 g vs 23 g); Lower price than Crius Wave X 2TB NVMe SSD [CRI-139-07] ($291.99 vs $294.99)</t>
        </is>
      </c>
      <c r="S1460" s="47" t="inlineStr">
        <is>
          <t>gaming, fast boot, content creation</t>
        </is>
      </c>
      <c r="T1460" s="0" t="inlineStr">
        <is>
          <t>in_stock</t>
        </is>
      </c>
      <c r="U1460" s="0" t="n">
        <v>30</v>
      </c>
      <c r="V1460" s="52" t="n">
        <v>316.99</v>
      </c>
      <c r="W1460" s="0" t="inlineStr">
        <is>
          <t>2026-08-04</t>
        </is>
      </c>
      <c r="X1460" s="0" t="inlineStr">
        <is>
          <t>N/A</t>
        </is>
      </c>
      <c r="Y1460" s="0" t="inlineStr">
        <is>
          <t>N/A</t>
        </is>
      </c>
      <c r="Z1460" s="0" t="inlineStr">
        <is>
          <t>N/A</t>
        </is>
      </c>
      <c r="AA1460" s="0" t="inlineStr">
        <is>
          <t>N/A</t>
        </is>
      </c>
    </row>
    <row r="1461" ht="15.75" customHeight="1" s="51">
      <c r="A1461" s="47" t="inlineStr">
        <is>
          <t>THE-145-09</t>
        </is>
      </c>
      <c r="B1461" s="47" t="inlineStr">
        <is>
          <t>Themis</t>
        </is>
      </c>
      <c r="C1461" s="47" t="inlineStr">
        <is>
          <t>Computer Hardware</t>
        </is>
      </c>
      <c r="D1461" s="47" t="inlineStr">
        <is>
          <t>Motherboard</t>
        </is>
      </c>
      <c r="E1461" s="48" t="inlineStr">
        <is>
          <t>Themis Nimbus X ATX Motherboard</t>
        </is>
      </c>
      <c r="F1461" s="49" t="n">
        <v>374.99</v>
      </c>
      <c r="G1461" s="47" t="inlineStr">
        <is>
          <t>the Nimbus X; Themis Nimbus X; Theemis Nimbus X; Nimbus X motherboard</t>
        </is>
      </c>
      <c r="H1461" s="47" t="inlineStr">
        <is>
          <t>3 year limited</t>
        </is>
      </c>
      <c r="I1461" s="47" t="inlineStr">
        <is>
          <t>FCC, CE, RoHS</t>
        </is>
      </c>
      <c r="J1461" s="47" t="inlineStr">
        <is>
          <t>Supports Intel Core 12th-14th Gen (LGA1700)</t>
        </is>
      </c>
      <c r="K1461" s="47" t="inlineStr">
        <is>
          <t>N/A</t>
        </is>
      </c>
      <c r="L1461" s="47" t="inlineStr">
        <is>
          <t>N/A</t>
        </is>
      </c>
      <c r="M1461" s="47" t="inlineStr">
        <is>
          <t>N/A</t>
        </is>
      </c>
      <c r="N1461" s="47" t="inlineStr">
        <is>
          <t>Rear I/O: 1x HDMI, 1x DisplayPort, 8x USB-A, 2x USB-C 20Gbps, 2.5GbE, Wi-Fi 7</t>
        </is>
      </c>
      <c r="O1461" s="47" t="inlineStr">
        <is>
          <t>N/A</t>
        </is>
      </c>
      <c r="P1461" s="47" t="inlineStr">
        <is>
          <t>N/A</t>
        </is>
      </c>
      <c r="Q1461" s="50" t="n">
        <v>1339</v>
      </c>
      <c r="R1461" s="47" t="inlineStr">
        <is>
          <t>Lighter than Hestia Crest SE ATX Motherboard [HES-116-08] (1,339 g vs 1,340 g); Lower price than Aidos Aeon Plus ATX Motherboard [AID-135-08] ($374.99 vs $384.99)</t>
        </is>
      </c>
      <c r="S1461" s="47" t="inlineStr">
        <is>
          <t>PC building, gaming, workstation builds</t>
        </is>
      </c>
      <c r="T1461" s="0" t="inlineStr">
        <is>
          <t>in_stock</t>
        </is>
      </c>
      <c r="U1461" s="0" t="n">
        <v>30</v>
      </c>
      <c r="V1461" s="52" t="n">
        <v>391.99</v>
      </c>
      <c r="W1461" s="0" t="inlineStr">
        <is>
          <t>2026-08-14</t>
        </is>
      </c>
      <c r="X1461" s="0" t="inlineStr">
        <is>
          <t>N/A</t>
        </is>
      </c>
      <c r="Y1461" s="0" t="inlineStr">
        <is>
          <t>N/A</t>
        </is>
      </c>
      <c r="Z1461" s="0" t="inlineStr">
        <is>
          <t>N/A</t>
        </is>
      </c>
      <c r="AA1461" s="0" t="inlineStr">
        <is>
          <t>N/A</t>
        </is>
      </c>
    </row>
    <row r="1462" ht="15.75" customHeight="1" s="51">
      <c r="A1462" s="47" t="inlineStr">
        <is>
          <t>THE-145-10</t>
        </is>
      </c>
      <c r="B1462" s="47" t="inlineStr">
        <is>
          <t>Themis</t>
        </is>
      </c>
      <c r="C1462" s="47" t="inlineStr">
        <is>
          <t>Computer Hardware</t>
        </is>
      </c>
      <c r="D1462" s="47" t="inlineStr">
        <is>
          <t>Monitor</t>
        </is>
      </c>
      <c r="E1462" s="48" t="inlineStr">
        <is>
          <t>Themis Zen SE 27" 1440p Monitor</t>
        </is>
      </c>
      <c r="F1462" s="49" t="n">
        <v>607.99</v>
      </c>
      <c r="G1462" s="47" t="inlineStr">
        <is>
          <t>the Zen SE; Themis Zen SE; Themi Zen SE; Zen SE monitor</t>
        </is>
      </c>
      <c r="H1462" s="47" t="inlineStr">
        <is>
          <t>3 year limited</t>
        </is>
      </c>
      <c r="I1462" s="47" t="inlineStr">
        <is>
          <t>FCC, CE, RoHS, Energy Star, TUV Rheinland Low Blue Light, VESA DisplayHDR True Black 400</t>
        </is>
      </c>
      <c r="J1462" s="47" t="inlineStr">
        <is>
          <t>N/A</t>
        </is>
      </c>
      <c r="K1462" s="47" t="inlineStr">
        <is>
          <t>N/A</t>
        </is>
      </c>
      <c r="L1462" s="47" t="inlineStr">
        <is>
          <t>QD-OLED, 360Hz</t>
        </is>
      </c>
      <c r="M1462" s="47" t="inlineStr">
        <is>
          <t>2560x1440</t>
        </is>
      </c>
      <c r="N1462" s="47" t="inlineStr">
        <is>
          <t>2x HDMI 2.1, 1x DisplayPort 1.4, USB-C 90W, USB hub</t>
        </is>
      </c>
      <c r="O1462" s="47" t="inlineStr">
        <is>
          <t>N/A</t>
        </is>
      </c>
      <c r="P1462" s="47" t="inlineStr">
        <is>
          <t>N/A</t>
        </is>
      </c>
      <c r="Q1462" s="50" t="n">
        <v>7033</v>
      </c>
      <c r="R1462" s="47" t="inlineStr">
        <is>
          <t>Lower price than Astraeus Core Pro 27" 1440p Monitor [AST-146-10] ($607.99 vs $644.99); Lighter than Notus Core Air 27" 1440p Monitor [NOT-108-09] (7,033 g vs 7,125 g)</t>
        </is>
      </c>
      <c r="S1462" s="47" t="inlineStr">
        <is>
          <t>gaming, office, content creation</t>
        </is>
      </c>
      <c r="T1462" s="0" t="inlineStr">
        <is>
          <t>in_stock</t>
        </is>
      </c>
      <c r="U1462" s="0" t="n">
        <v>30</v>
      </c>
      <c r="V1462" s="52" t="n">
        <v>668.99</v>
      </c>
      <c r="W1462" s="0" t="inlineStr">
        <is>
          <t>2026-08-01</t>
        </is>
      </c>
      <c r="X1462" s="0" t="inlineStr">
        <is>
          <t>N/A</t>
        </is>
      </c>
      <c r="Y1462" s="0" t="inlineStr">
        <is>
          <t>N/A</t>
        </is>
      </c>
      <c r="Z1462" s="0" t="inlineStr">
        <is>
          <t>N/A</t>
        </is>
      </c>
      <c r="AA1462" s="0" t="inlineStr">
        <is>
          <t>N/A</t>
        </is>
      </c>
    </row>
    <row r="1463" ht="15.75" customHeight="1" s="51">
      <c r="A1463" s="47" t="inlineStr">
        <is>
          <t>AST-146-01</t>
        </is>
      </c>
      <c r="B1463" s="47" t="inlineStr">
        <is>
          <t>Astraeus</t>
        </is>
      </c>
      <c r="C1463" s="47" t="inlineStr">
        <is>
          <t>Computer Hardware</t>
        </is>
      </c>
      <c r="D1463" s="47" t="inlineStr">
        <is>
          <t>Keyboard</t>
        </is>
      </c>
      <c r="E1463" s="48" t="inlineStr">
        <is>
          <t>Astraeus Rift Mechanical Keyboard</t>
        </is>
      </c>
      <c r="F1463" s="49" t="n">
        <v>78.98999999999999</v>
      </c>
      <c r="G1463" s="47" t="inlineStr">
        <is>
          <t>the Rift; Astraeus Rift; Astraeu Rift; Rift keyboard</t>
        </is>
      </c>
      <c r="H1463" s="47" t="inlineStr">
        <is>
          <t>2 year limited</t>
        </is>
      </c>
      <c r="I1463" s="47" t="inlineStr">
        <is>
          <t>FCC, CE, RoHS</t>
        </is>
      </c>
      <c r="J1463" s="47" t="inlineStr">
        <is>
          <t>N/A</t>
        </is>
      </c>
      <c r="K1463" s="47" t="inlineStr">
        <is>
          <t>N/A</t>
        </is>
      </c>
      <c r="L1463" s="47" t="inlineStr">
        <is>
          <t>N/A</t>
        </is>
      </c>
      <c r="M1463" s="47" t="inlineStr">
        <is>
          <t>N/A</t>
        </is>
      </c>
      <c r="N1463" s="47" t="inlineStr">
        <is>
          <t>USB-C wired</t>
        </is>
      </c>
      <c r="O1463" s="47" t="inlineStr">
        <is>
          <t>N/A</t>
        </is>
      </c>
      <c r="P1463" s="47" t="inlineStr">
        <is>
          <t>N/A</t>
        </is>
      </c>
      <c r="Q1463" s="50" t="n">
        <v>896</v>
      </c>
      <c r="R1463" s="47" t="inlineStr">
        <is>
          <t>Lower price than Eris Aeon Lite Mechanical Keyboard [ERI-148-02] ($78.99 vs $119.99); Lighter than Thalassa Titan Plus Mechanical Keyboard [THA-126-05] (896 g vs 1,167 g)</t>
        </is>
      </c>
      <c r="S1463" s="47" t="inlineStr">
        <is>
          <t>gaming, typing, office</t>
        </is>
      </c>
      <c r="T1463" s="0" t="inlineStr">
        <is>
          <t>in_stock</t>
        </is>
      </c>
      <c r="U1463" s="0" t="n">
        <v>60</v>
      </c>
      <c r="V1463" s="52" t="n">
        <v>82.98999999999999</v>
      </c>
      <c r="W1463" s="0" t="inlineStr">
        <is>
          <t>2026-09-04</t>
        </is>
      </c>
      <c r="X1463" s="0" t="inlineStr">
        <is>
          <t>N/A</t>
        </is>
      </c>
      <c r="Y1463" s="0" t="inlineStr">
        <is>
          <t>N/A</t>
        </is>
      </c>
      <c r="Z1463" s="0" t="inlineStr">
        <is>
          <t>N/A</t>
        </is>
      </c>
      <c r="AA1463" s="0" t="inlineStr">
        <is>
          <t>N/A</t>
        </is>
      </c>
    </row>
    <row r="1464" ht="15.75" customHeight="1" s="51">
      <c r="A1464" s="47" t="inlineStr">
        <is>
          <t>AST-146-02</t>
        </is>
      </c>
      <c r="B1464" s="47" t="inlineStr">
        <is>
          <t>Astraeus</t>
        </is>
      </c>
      <c r="C1464" s="47" t="inlineStr">
        <is>
          <t>Computer Hardware</t>
        </is>
      </c>
      <c r="D1464" s="47" t="inlineStr">
        <is>
          <t>PC Case</t>
        </is>
      </c>
      <c r="E1464" s="48" t="inlineStr">
        <is>
          <t>Astraeus Blaze Pro Mid-Tower PC Case</t>
        </is>
      </c>
      <c r="F1464" s="49" t="n">
        <v>118.99</v>
      </c>
      <c r="G1464" s="47" t="inlineStr">
        <is>
          <t>the Blaze Pro; Astraeus Blaze Pro; Astraeuus Blaze Pro; Blaze Pro pc case</t>
        </is>
      </c>
      <c r="H1464" s="47" t="inlineStr">
        <is>
          <t>2 year limited</t>
        </is>
      </c>
      <c r="I1464" s="47" t="inlineStr">
        <is>
          <t>FCC, CE, RoHS, UL 94 V-0 (materials)</t>
        </is>
      </c>
      <c r="J1464" s="47" t="inlineStr">
        <is>
          <t>N/A</t>
        </is>
      </c>
      <c r="K1464" s="47" t="inlineStr">
        <is>
          <t>N/A</t>
        </is>
      </c>
      <c r="L1464" s="47" t="inlineStr">
        <is>
          <t>N/A</t>
        </is>
      </c>
      <c r="M1464" s="47" t="inlineStr">
        <is>
          <t>N/A</t>
        </is>
      </c>
      <c r="N1464" s="47" t="inlineStr">
        <is>
          <t>Front I/O: 1x USB-C 10Gbps, 2x USB-A 3.0, 3.5mm combo audio</t>
        </is>
      </c>
      <c r="O1464" s="47" t="inlineStr">
        <is>
          <t>N/A</t>
        </is>
      </c>
      <c r="P1464" s="47" t="inlineStr">
        <is>
          <t>N/A</t>
        </is>
      </c>
      <c r="Q1464" s="50" t="n">
        <v>8422</v>
      </c>
      <c r="R1464" s="47" t="inlineStr">
        <is>
          <t>Lower price than Artemis Aeon Lite Mid-Tower PC Case [ART-150-04] ($118.99 vs $131.99); Lighter than Apollo Crest SE Mid-Tower PC Case [APO-109-08] (8,422 g vs 8,765 g)</t>
        </is>
      </c>
      <c r="S1464" s="47" t="inlineStr">
        <is>
          <t>PC building, gaming</t>
        </is>
      </c>
      <c r="T1464" s="0" t="inlineStr">
        <is>
          <t>in_stock</t>
        </is>
      </c>
      <c r="U1464" s="0" t="n">
        <v>60</v>
      </c>
      <c r="V1464" s="52" t="n">
        <v>123.99</v>
      </c>
      <c r="W1464" s="0" t="inlineStr">
        <is>
          <t>2026-09-19</t>
        </is>
      </c>
      <c r="X1464" s="0" t="inlineStr">
        <is>
          <t>N/A</t>
        </is>
      </c>
      <c r="Y1464" s="0" t="inlineStr">
        <is>
          <t>N/A</t>
        </is>
      </c>
      <c r="Z1464" s="0" t="inlineStr">
        <is>
          <t>N/A</t>
        </is>
      </c>
      <c r="AA1464" s="0" t="inlineStr">
        <is>
          <t>N/A</t>
        </is>
      </c>
    </row>
    <row r="1465" ht="15.75" customHeight="1" s="51">
      <c r="A1465" s="47" t="inlineStr">
        <is>
          <t>AST-146-03</t>
        </is>
      </c>
      <c r="B1465" s="47" t="inlineStr">
        <is>
          <t>Astraeus</t>
        </is>
      </c>
      <c r="C1465" s="47" t="inlineStr">
        <is>
          <t>Computer Hardware</t>
        </is>
      </c>
      <c r="D1465" s="47" t="inlineStr">
        <is>
          <t>Power Supply</t>
        </is>
      </c>
      <c r="E1465" s="48" t="inlineStr">
        <is>
          <t>Astraeus Halo Pro 850W Power Supply</t>
        </is>
      </c>
      <c r="F1465" s="49" t="n">
        <v>146.99</v>
      </c>
      <c r="G1465" s="47" t="inlineStr">
        <is>
          <t>the Halo Pro; Astraeus Halo Pro; Astareus Halo Pro; Halo Pro power supply</t>
        </is>
      </c>
      <c r="H1465" s="47" t="inlineStr">
        <is>
          <t>7 year limited</t>
        </is>
      </c>
      <c r="I1465" s="47" t="inlineStr">
        <is>
          <t>FCC, CE, RoHS, 80 PLUS Gold, UL Listed</t>
        </is>
      </c>
      <c r="J1465" s="47" t="inlineStr">
        <is>
          <t>N/A</t>
        </is>
      </c>
      <c r="K1465" s="47" t="inlineStr">
        <is>
          <t>N/A</t>
        </is>
      </c>
      <c r="L1465" s="47" t="inlineStr">
        <is>
          <t>N/A</t>
        </is>
      </c>
      <c r="M1465" s="47" t="inlineStr">
        <is>
          <t>N/A</t>
        </is>
      </c>
      <c r="N1465" s="47" t="inlineStr">
        <is>
          <t>ATX 3.1, native 12V-2x6 (600W) connector, fully modular</t>
        </is>
      </c>
      <c r="O1465" s="47" t="inlineStr">
        <is>
          <t>N/A</t>
        </is>
      </c>
      <c r="P1465" s="47" t="inlineStr">
        <is>
          <t>N/A</t>
        </is>
      </c>
      <c r="Q1465" s="50" t="n">
        <v>2197</v>
      </c>
      <c r="R1465" s="47" t="inlineStr">
        <is>
          <t>Lower price than Artemis Spark Ultra 850W Power Supply [ART-150-07] ($146.99 vs $218.99); Lighter than Hera Sable X 850W Power Supply [HER-129-05] (2,197 g vs 2,198 g)</t>
        </is>
      </c>
      <c r="S1465" s="47" t="inlineStr">
        <is>
          <t>PC building, high-end gaming</t>
        </is>
      </c>
      <c r="T1465" s="0" t="inlineStr">
        <is>
          <t>low_stock</t>
        </is>
      </c>
      <c r="U1465" s="0" t="n">
        <v>60</v>
      </c>
      <c r="V1465" s="52" t="n">
        <v>154.99</v>
      </c>
      <c r="W1465" s="0" t="inlineStr">
        <is>
          <t>2026-08-06</t>
        </is>
      </c>
      <c r="X1465" s="0" t="inlineStr">
        <is>
          <t>N/A</t>
        </is>
      </c>
      <c r="Y1465" s="0" t="inlineStr">
        <is>
          <t>N/A</t>
        </is>
      </c>
      <c r="Z1465" s="0" t="inlineStr">
        <is>
          <t>N/A</t>
        </is>
      </c>
      <c r="AA1465" s="0" t="inlineStr">
        <is>
          <t>N/A</t>
        </is>
      </c>
    </row>
    <row r="1466" ht="15.75" customHeight="1" s="51">
      <c r="A1466" s="47" t="inlineStr">
        <is>
          <t>AST-146-04</t>
        </is>
      </c>
      <c r="B1466" s="47" t="inlineStr">
        <is>
          <t>Astraeus</t>
        </is>
      </c>
      <c r="C1466" s="47" t="inlineStr">
        <is>
          <t>Computer Hardware</t>
        </is>
      </c>
      <c r="D1466" s="47" t="inlineStr">
        <is>
          <t>Cooling</t>
        </is>
      </c>
      <c r="E1466" s="48" t="inlineStr">
        <is>
          <t>Astraeus Volt Pro 360mm AIO CPU Cooler</t>
        </is>
      </c>
      <c r="F1466" s="49" t="n">
        <v>168.99</v>
      </c>
      <c r="G1466" s="47" t="inlineStr">
        <is>
          <t>the Volt Pro; Astraeus Volt Pro; Astraues Volt Pro; Volt Pro cooling</t>
        </is>
      </c>
      <c r="H1466" s="47" t="inlineStr">
        <is>
          <t>6 year limited</t>
        </is>
      </c>
      <c r="I1466" s="47" t="inlineStr">
        <is>
          <t>FCC, CE, RoHS</t>
        </is>
      </c>
      <c r="J1466" s="47" t="inlineStr">
        <is>
          <t>N/A</t>
        </is>
      </c>
      <c r="K1466" s="47" t="inlineStr">
        <is>
          <t>N/A</t>
        </is>
      </c>
      <c r="L1466" s="47" t="inlineStr">
        <is>
          <t>N/A</t>
        </is>
      </c>
      <c r="M1466" s="47" t="inlineStr">
        <is>
          <t>N/A</t>
        </is>
      </c>
      <c r="N1466" s="47" t="inlineStr">
        <is>
          <t>3x 4-pin PWM fans, 3-pin pump header, ARGB 5V; LGA1700/LGA1851/AM5 mounts</t>
        </is>
      </c>
      <c r="O1466" s="47" t="inlineStr">
        <is>
          <t>N/A</t>
        </is>
      </c>
      <c r="P1466" s="47" t="inlineStr">
        <is>
          <t>N/A</t>
        </is>
      </c>
      <c r="Q1466" s="50" t="n">
        <v>1517</v>
      </c>
      <c r="R1466" s="47" t="inlineStr">
        <is>
          <t>Lighter than Gaia Quanta Plus 360mm AIO CPU Cooler [GAI-125-08] (1,517 g vs 1,824 g); Lower price than Ares Crest 360mm AIO CPU Cooler [ARE-140-09] ($168.99 vs $245.99)</t>
        </is>
      </c>
      <c r="S1466" s="47" t="inlineStr">
        <is>
          <t>overclocking, gaming, quiet builds</t>
        </is>
      </c>
      <c r="T1466" s="0" t="inlineStr">
        <is>
          <t>in_stock</t>
        </is>
      </c>
      <c r="U1466" s="0" t="n">
        <v>60</v>
      </c>
      <c r="V1466" s="52" t="n">
        <v>194.99</v>
      </c>
      <c r="W1466" s="0" t="inlineStr">
        <is>
          <t>2026-09-15</t>
        </is>
      </c>
      <c r="X1466" s="0" t="inlineStr">
        <is>
          <t>N/A</t>
        </is>
      </c>
      <c r="Y1466" s="0" t="inlineStr">
        <is>
          <t>N/A</t>
        </is>
      </c>
      <c r="Z1466" s="0" t="inlineStr">
        <is>
          <t>N/A</t>
        </is>
      </c>
      <c r="AA1466" s="0" t="inlineStr">
        <is>
          <t>N/A</t>
        </is>
      </c>
    </row>
    <row r="1467" ht="15.75" customHeight="1" s="51">
      <c r="A1467" s="47" t="inlineStr">
        <is>
          <t>AST-146-05</t>
        </is>
      </c>
      <c r="B1467" s="47" t="inlineStr">
        <is>
          <t>Astraeus</t>
        </is>
      </c>
      <c r="C1467" s="47" t="inlineStr">
        <is>
          <t>Computer Hardware</t>
        </is>
      </c>
      <c r="D1467" s="47" t="inlineStr">
        <is>
          <t>Memory</t>
        </is>
      </c>
      <c r="E1467" s="48" t="inlineStr">
        <is>
          <t>Astraeus Pulse Air 32GB DDR5 RAM Kit</t>
        </is>
      </c>
      <c r="F1467" s="49" t="n">
        <v>235.99</v>
      </c>
      <c r="G1467" s="47" t="inlineStr">
        <is>
          <t>the Pulse Air; Astraeus Pulse Air; Astrraeus Pulse Air; Pulse Air memory</t>
        </is>
      </c>
      <c r="H1467" s="47" t="inlineStr">
        <is>
          <t>Limited lifetime</t>
        </is>
      </c>
      <c r="I1467" s="47" t="inlineStr">
        <is>
          <t>FCC, CE, RoHS</t>
        </is>
      </c>
      <c r="J1467" s="47" t="inlineStr">
        <is>
          <t>N/A</t>
        </is>
      </c>
      <c r="K1467" s="47" t="inlineStr">
        <is>
          <t>N/A</t>
        </is>
      </c>
      <c r="L1467" s="47" t="inlineStr">
        <is>
          <t>N/A</t>
        </is>
      </c>
      <c r="M1467" s="47" t="inlineStr">
        <is>
          <t>N/A</t>
        </is>
      </c>
      <c r="N1467" s="47" t="inlineStr">
        <is>
          <t>2x 16GB DDR5 288-pin DIMM, 7200 MT/s</t>
        </is>
      </c>
      <c r="O1467" s="47" t="inlineStr">
        <is>
          <t>N/A</t>
        </is>
      </c>
      <c r="P1467" s="47" t="inlineStr">
        <is>
          <t>N/A</t>
        </is>
      </c>
      <c r="Q1467" s="50" t="n">
        <v>87</v>
      </c>
      <c r="R1467" s="47" t="inlineStr">
        <is>
          <t>Lighter than Eucleia Volt 32GB DDR5 RAM Kit [EUC-124-08] (87 g vs 90 g); Lower price than Phanes Aria SE 32GB DDR5 RAM Kit [PHA-138-07] ($235.99 vs $243.99)</t>
        </is>
      </c>
      <c r="S1467" s="47" t="inlineStr">
        <is>
          <t>gaming, multitasking, PC building</t>
        </is>
      </c>
      <c r="T1467" s="0" t="inlineStr">
        <is>
          <t>in_stock</t>
        </is>
      </c>
      <c r="U1467" s="0" t="n">
        <v>60</v>
      </c>
      <c r="V1467" s="52" t="n">
        <v>244.99</v>
      </c>
      <c r="W1467" s="0" t="inlineStr">
        <is>
          <t>2026-09-21</t>
        </is>
      </c>
      <c r="X1467" s="0" t="inlineStr">
        <is>
          <t>N/A</t>
        </is>
      </c>
      <c r="Y1467" s="0" t="inlineStr">
        <is>
          <t>N/A</t>
        </is>
      </c>
      <c r="Z1467" s="0" t="inlineStr">
        <is>
          <t>N/A</t>
        </is>
      </c>
      <c r="AA1467" s="0" t="inlineStr">
        <is>
          <t>N/A</t>
        </is>
      </c>
    </row>
    <row r="1468" ht="15.75" customHeight="1" s="51">
      <c r="A1468" s="47" t="inlineStr">
        <is>
          <t>AST-146-06</t>
        </is>
      </c>
      <c r="B1468" s="47" t="inlineStr">
        <is>
          <t>Astraeus</t>
        </is>
      </c>
      <c r="C1468" s="47" t="inlineStr">
        <is>
          <t>Computer Hardware</t>
        </is>
      </c>
      <c r="D1468" s="47" t="inlineStr">
        <is>
          <t>Storage</t>
        </is>
      </c>
      <c r="E1468" s="48" t="inlineStr">
        <is>
          <t>Astraeus Core Lite 2TB NVMe SSD</t>
        </is>
      </c>
      <c r="F1468" s="49" t="n">
        <v>244.99</v>
      </c>
      <c r="G1468" s="47" t="inlineStr">
        <is>
          <t>the Core Lite; Astraeus Core Lite; Astareus Core Lite; Core Lite storage</t>
        </is>
      </c>
      <c r="H1468" s="47" t="inlineStr">
        <is>
          <t>5 year limited</t>
        </is>
      </c>
      <c r="I1468" s="47" t="inlineStr">
        <is>
          <t>FCC, CE, RoHS</t>
        </is>
      </c>
      <c r="J1468" s="47" t="inlineStr">
        <is>
          <t>Controller: Phison E26</t>
        </is>
      </c>
      <c r="K1468" s="47" t="inlineStr">
        <is>
          <t>N/A</t>
        </is>
      </c>
      <c r="L1468" s="47" t="inlineStr">
        <is>
          <t>N/A</t>
        </is>
      </c>
      <c r="M1468" s="47" t="inlineStr">
        <is>
          <t>N/A</t>
        </is>
      </c>
      <c r="N1468" s="47" t="inlineStr">
        <is>
          <t>M.2 2280, PCIe 5.0 x4 NVMe</t>
        </is>
      </c>
      <c r="O1468" s="47" t="inlineStr">
        <is>
          <t>N/A</t>
        </is>
      </c>
      <c r="P1468" s="47" t="inlineStr">
        <is>
          <t>N/A</t>
        </is>
      </c>
      <c r="Q1468" s="50" t="n">
        <v>21</v>
      </c>
      <c r="R1468" s="47" t="inlineStr">
        <is>
          <t>Lower price than Perses Lumen Pro 2TB NVMe SSD [PER-101-08] ($244.99 vs $294.99); Lighter than Kairos Apex SE 2TB NVMe SSD [KAI-142-07] (21 g vs 25 g)</t>
        </is>
      </c>
      <c r="S1468" s="47" t="inlineStr">
        <is>
          <t>gaming, fast boot, content creation</t>
        </is>
      </c>
      <c r="T1468" s="0" t="inlineStr">
        <is>
          <t>in_stock</t>
        </is>
      </c>
      <c r="U1468" s="0" t="n">
        <v>60</v>
      </c>
      <c r="V1468" s="52" t="n">
        <v>274.99</v>
      </c>
      <c r="W1468" s="0" t="inlineStr">
        <is>
          <t>2026-09-14</t>
        </is>
      </c>
      <c r="X1468" s="0" t="inlineStr">
        <is>
          <t>N/A</t>
        </is>
      </c>
      <c r="Y1468" s="0" t="inlineStr">
        <is>
          <t>N/A</t>
        </is>
      </c>
      <c r="Z1468" s="0" t="inlineStr">
        <is>
          <t>N/A</t>
        </is>
      </c>
      <c r="AA1468" s="0" t="inlineStr">
        <is>
          <t>N/A</t>
        </is>
      </c>
    </row>
    <row r="1469" ht="15.75" customHeight="1" s="51">
      <c r="A1469" s="47" t="inlineStr">
        <is>
          <t>AST-146-07</t>
        </is>
      </c>
      <c r="B1469" s="47" t="inlineStr">
        <is>
          <t>Astraeus</t>
        </is>
      </c>
      <c r="C1469" s="47" t="inlineStr">
        <is>
          <t>Computer Hardware</t>
        </is>
      </c>
      <c r="D1469" s="47" t="inlineStr">
        <is>
          <t>Docking Station</t>
        </is>
      </c>
      <c r="E1469" s="48" t="inlineStr">
        <is>
          <t>Astraeus Vibe USB-C Docking Station</t>
        </is>
      </c>
      <c r="F1469" s="49" t="n">
        <v>260.99</v>
      </c>
      <c r="G1469" s="47" t="inlineStr">
        <is>
          <t>the Vibe; Astraeus Vibe; Asstraeus Vibe; Vibe docking station</t>
        </is>
      </c>
      <c r="H1469" s="47" t="inlineStr">
        <is>
          <t>2 year limited</t>
        </is>
      </c>
      <c r="I1469" s="47" t="inlineStr">
        <is>
          <t>FCC, CE, RoHS, USB-IF Certified, UL Listed</t>
        </is>
      </c>
      <c r="J1469" s="47" t="inlineStr">
        <is>
          <t>N/A</t>
        </is>
      </c>
      <c r="K1469" s="47" t="inlineStr">
        <is>
          <t>N/A</t>
        </is>
      </c>
      <c r="L1469" s="47" t="inlineStr">
        <is>
          <t>N/A</t>
        </is>
      </c>
      <c r="M1469" s="47" t="inlineStr">
        <is>
          <t>N/A</t>
        </is>
      </c>
      <c r="N1469" s="47" t="inlineStr">
        <is>
          <t>Thunderbolt 4 host, 2x HDMI 2.1, 4x USB-A, 3x USB-C, 2.5GbE, SD/microSD, 96W PD</t>
        </is>
      </c>
      <c r="O1469" s="47" t="inlineStr">
        <is>
          <t>N/A</t>
        </is>
      </c>
      <c r="P1469" s="47" t="inlineStr">
        <is>
          <t>N/A</t>
        </is>
      </c>
      <c r="Q1469" s="50" t="n">
        <v>309</v>
      </c>
      <c r="R1469" s="47" t="inlineStr">
        <is>
          <t>Lighter than Kratos Onyx X USB-C Docking Station [KRA-147-07] (309 g vs 429 g); Lower price than Kairos Sable Plus USB-C Docking Station [KAI-142-09] ($260.99 vs $283.99)</t>
        </is>
      </c>
      <c r="S1469" s="47" t="inlineStr">
        <is>
          <t>office, remote work, multi-monitor</t>
        </is>
      </c>
      <c r="T1469" s="0" t="inlineStr">
        <is>
          <t>out_of_stock</t>
        </is>
      </c>
      <c r="U1469" s="0" t="n">
        <v>60</v>
      </c>
      <c r="V1469" s="52" t="n">
        <v>292.99</v>
      </c>
      <c r="W1469" s="0" t="inlineStr">
        <is>
          <t>2026-08-09</t>
        </is>
      </c>
      <c r="X1469" s="0" t="inlineStr">
        <is>
          <t>N/A</t>
        </is>
      </c>
      <c r="Y1469" s="0" t="inlineStr">
        <is>
          <t>N/A</t>
        </is>
      </c>
      <c r="Z1469" s="0" t="inlineStr">
        <is>
          <t>N/A</t>
        </is>
      </c>
      <c r="AA1469" s="0" t="inlineStr">
        <is>
          <t>N/A</t>
        </is>
      </c>
    </row>
    <row r="1470" ht="15.75" customHeight="1" s="51">
      <c r="A1470" s="47" t="inlineStr">
        <is>
          <t>AST-146-08</t>
        </is>
      </c>
      <c r="B1470" s="47" t="inlineStr">
        <is>
          <t>Astraeus</t>
        </is>
      </c>
      <c r="C1470" s="47" t="inlineStr">
        <is>
          <t>Computer Hardware</t>
        </is>
      </c>
      <c r="D1470" s="47" t="inlineStr">
        <is>
          <t>Processor</t>
        </is>
      </c>
      <c r="E1470" s="48" t="inlineStr">
        <is>
          <t>Astraeus Spark Pro Desktop CPU</t>
        </is>
      </c>
      <c r="F1470" s="49" t="n">
        <v>322.99</v>
      </c>
      <c r="G1470" s="47" t="inlineStr">
        <is>
          <t>the Spark Pro; Astraeus Spark Pro; Astareus Spark Pro; Spark Pro processor</t>
        </is>
      </c>
      <c r="H1470" s="47" t="inlineStr">
        <is>
          <t>3 year limited</t>
        </is>
      </c>
      <c r="I1470" s="47" t="inlineStr">
        <is>
          <t>FCC, CE, RoHS</t>
        </is>
      </c>
      <c r="J1470" s="47" t="inlineStr">
        <is>
          <t>Astraeus Spark 8-core / 16-thread, up to 5.0 GHz</t>
        </is>
      </c>
      <c r="K1470" s="47" t="inlineStr">
        <is>
          <t>None (discrete GPU required)</t>
        </is>
      </c>
      <c r="L1470" s="47" t="inlineStr">
        <is>
          <t>N/A</t>
        </is>
      </c>
      <c r="M1470" s="47" t="inlineStr">
        <is>
          <t>N/A</t>
        </is>
      </c>
      <c r="N1470" s="47" t="inlineStr">
        <is>
          <t>N/A</t>
        </is>
      </c>
      <c r="O1470" s="47" t="inlineStr">
        <is>
          <t>N/A</t>
        </is>
      </c>
      <c r="P1470" s="47" t="inlineStr">
        <is>
          <t>N/A</t>
        </is>
      </c>
      <c r="Q1470" s="50" t="n">
        <v>52</v>
      </c>
      <c r="R1470" s="47" t="inlineStr">
        <is>
          <t>Lower price than Eos Volt Plus Desktop CPU [EOS-111-09] ($322.99 vs $692.99); Lighter than Hemera Arc Pro Desktop CPU [HEM-117-04] (52 g vs 57 g)</t>
        </is>
      </c>
      <c r="S1470" s="47" t="inlineStr">
        <is>
          <t>gaming, content creation, workstation builds</t>
        </is>
      </c>
      <c r="T1470" s="0" t="inlineStr">
        <is>
          <t>in_stock</t>
        </is>
      </c>
      <c r="U1470" s="0" t="n">
        <v>60</v>
      </c>
      <c r="V1470" s="52" t="n">
        <v>335.99</v>
      </c>
      <c r="W1470" s="0" t="inlineStr">
        <is>
          <t>2026-08-21</t>
        </is>
      </c>
      <c r="X1470" s="0" t="inlineStr">
        <is>
          <t>N/A</t>
        </is>
      </c>
      <c r="Y1470" s="0" t="inlineStr">
        <is>
          <t>N/A</t>
        </is>
      </c>
      <c r="Z1470" s="0" t="inlineStr">
        <is>
          <t>N/A</t>
        </is>
      </c>
      <c r="AA1470" s="0" t="inlineStr">
        <is>
          <t>N/A</t>
        </is>
      </c>
    </row>
    <row r="1471" ht="15.75" customHeight="1" s="51">
      <c r="A1471" s="47" t="inlineStr">
        <is>
          <t>AST-146-09</t>
        </is>
      </c>
      <c r="B1471" s="47" t="inlineStr">
        <is>
          <t>Astraeus</t>
        </is>
      </c>
      <c r="C1471" s="47" t="inlineStr">
        <is>
          <t>Computer Hardware</t>
        </is>
      </c>
      <c r="D1471" s="47" t="inlineStr">
        <is>
          <t>Motherboard</t>
        </is>
      </c>
      <c r="E1471" s="48" t="inlineStr">
        <is>
          <t>Astraeus Apex Ultra ATX Motherboard</t>
        </is>
      </c>
      <c r="F1471" s="49" t="n">
        <v>494.99</v>
      </c>
      <c r="G1471" s="47" t="inlineStr">
        <is>
          <t>the Apex Ultra; Astraeus Apex Ultra; Astreus Apex Ultra; Apex Ultra motherboard</t>
        </is>
      </c>
      <c r="H1471" s="47" t="inlineStr">
        <is>
          <t>3 year limited</t>
        </is>
      </c>
      <c r="I1471" s="47" t="inlineStr">
        <is>
          <t>FCC, CE, RoHS</t>
        </is>
      </c>
      <c r="J1471" s="47" t="inlineStr">
        <is>
          <t>Supports Intel Core Ultra 200S (LGA1851)</t>
        </is>
      </c>
      <c r="K1471" s="47" t="inlineStr">
        <is>
          <t>N/A</t>
        </is>
      </c>
      <c r="L1471" s="47" t="inlineStr">
        <is>
          <t>N/A</t>
        </is>
      </c>
      <c r="M1471" s="47" t="inlineStr">
        <is>
          <t>N/A</t>
        </is>
      </c>
      <c r="N1471" s="47" t="inlineStr">
        <is>
          <t>Rear I/O: USB4 (2x USB-C 40Gbps), 10x USB-A, 10GbE + 2.5GbE, Wi-Fi 7</t>
        </is>
      </c>
      <c r="O1471" s="47" t="inlineStr">
        <is>
          <t>N/A</t>
        </is>
      </c>
      <c r="P1471" s="47" t="inlineStr">
        <is>
          <t>N/A</t>
        </is>
      </c>
      <c r="Q1471" s="50" t="n">
        <v>1334</v>
      </c>
      <c r="R1471" s="47" t="inlineStr">
        <is>
          <t>Lighter than Hermes Rift X ATX Motherboard [HER-103-08] (1,334 g vs 1,654 g); Lower price than Bia Nimbus Air ATX Motherboard [BIA-107-10] ($494.99 vs $578.99)</t>
        </is>
      </c>
      <c r="S1471" s="47" t="inlineStr">
        <is>
          <t>PC building, gaming, workstation builds</t>
        </is>
      </c>
      <c r="T1471" s="0" t="inlineStr">
        <is>
          <t>in_stock</t>
        </is>
      </c>
      <c r="U1471" s="0" t="n">
        <v>60</v>
      </c>
      <c r="V1471" s="52" t="n">
        <v>564.99</v>
      </c>
      <c r="W1471" s="0" t="inlineStr">
        <is>
          <t>2026-08-02</t>
        </is>
      </c>
      <c r="X1471" s="0" t="inlineStr">
        <is>
          <t>N/A</t>
        </is>
      </c>
      <c r="Y1471" s="0" t="inlineStr">
        <is>
          <t>N/A</t>
        </is>
      </c>
      <c r="Z1471" s="0" t="inlineStr">
        <is>
          <t>N/A</t>
        </is>
      </c>
      <c r="AA1471" s="0" t="inlineStr">
        <is>
          <t>N/A</t>
        </is>
      </c>
    </row>
    <row r="1472" ht="15.75" customHeight="1" s="51">
      <c r="A1472" s="47" t="inlineStr">
        <is>
          <t>AST-146-10</t>
        </is>
      </c>
      <c r="B1472" s="47" t="inlineStr">
        <is>
          <t>Astraeus</t>
        </is>
      </c>
      <c r="C1472" s="47" t="inlineStr">
        <is>
          <t>Computer Hardware</t>
        </is>
      </c>
      <c r="D1472" s="47" t="inlineStr">
        <is>
          <t>Monitor</t>
        </is>
      </c>
      <c r="E1472" s="48" t="inlineStr">
        <is>
          <t>Astraeus Core Pro 27" 1440p Monitor</t>
        </is>
      </c>
      <c r="F1472" s="49" t="n">
        <v>644.99</v>
      </c>
      <c r="G1472" s="47" t="inlineStr">
        <is>
          <t>the Core Pro; Astraeus Core Pro; Atsraeus Core Pro; Core Pro monitor</t>
        </is>
      </c>
      <c r="H1472" s="47" t="inlineStr">
        <is>
          <t>3 year limited</t>
        </is>
      </c>
      <c r="I1472" s="47" t="inlineStr">
        <is>
          <t>FCC, CE, RoHS, Energy Star, TUV Rheinland Low Blue Light, VESA DisplayHDR True Black 400</t>
        </is>
      </c>
      <c r="J1472" s="47" t="inlineStr">
        <is>
          <t>N/A</t>
        </is>
      </c>
      <c r="K1472" s="47" t="inlineStr">
        <is>
          <t>N/A</t>
        </is>
      </c>
      <c r="L1472" s="47" t="inlineStr">
        <is>
          <t>QD-OLED, 360Hz</t>
        </is>
      </c>
      <c r="M1472" s="47" t="inlineStr">
        <is>
          <t>2560x1440</t>
        </is>
      </c>
      <c r="N1472" s="47" t="inlineStr">
        <is>
          <t>2x HDMI 2.1, 1x DisplayPort 1.4, USB-C 90W, USB hub</t>
        </is>
      </c>
      <c r="O1472" s="47" t="inlineStr">
        <is>
          <t>N/A</t>
        </is>
      </c>
      <c r="P1472" s="47" t="inlineStr">
        <is>
          <t>N/A</t>
        </is>
      </c>
      <c r="Q1472" s="50" t="n">
        <v>5109</v>
      </c>
      <c r="R1472" s="47" t="inlineStr">
        <is>
          <t>Lighter than Ceto Drift Pro 27" 1440p Monitor [CET-131-10] (5,109 g vs 5,181 g); Lower price than Phoebe Nimbus X 27" 1440p Monitor [PHO-143-09] ($644.99 vs $674.99)</t>
        </is>
      </c>
      <c r="S1472" s="47" t="inlineStr">
        <is>
          <t>gaming, office, content creation</t>
        </is>
      </c>
      <c r="T1472" s="0" t="inlineStr">
        <is>
          <t>in_stock</t>
        </is>
      </c>
      <c r="U1472" s="0" t="n">
        <v>60</v>
      </c>
      <c r="V1472" s="52" t="n">
        <v>665.99</v>
      </c>
      <c r="W1472" s="0" t="inlineStr">
        <is>
          <t>2026-08-22</t>
        </is>
      </c>
      <c r="X1472" s="0" t="inlineStr">
        <is>
          <t>N/A</t>
        </is>
      </c>
      <c r="Y1472" s="0" t="inlineStr">
        <is>
          <t>N/A</t>
        </is>
      </c>
      <c r="Z1472" s="0" t="inlineStr">
        <is>
          <t>N/A</t>
        </is>
      </c>
      <c r="AA1472" s="0" t="inlineStr">
        <is>
          <t>N/A</t>
        </is>
      </c>
    </row>
    <row r="1473" ht="15.75" customHeight="1" s="51">
      <c r="A1473" s="47" t="inlineStr">
        <is>
          <t>KRA-147-01</t>
        </is>
      </c>
      <c r="B1473" s="47" t="inlineStr">
        <is>
          <t>Kratos</t>
        </is>
      </c>
      <c r="C1473" s="47" t="inlineStr">
        <is>
          <t>Computer Hardware</t>
        </is>
      </c>
      <c r="D1473" s="47" t="inlineStr">
        <is>
          <t>Mouse</t>
        </is>
      </c>
      <c r="E1473" s="48" t="inlineStr">
        <is>
          <t>Kratos Orbit Plus Gaming Mouse</t>
        </is>
      </c>
      <c r="F1473" s="49" t="n">
        <v>26.99</v>
      </c>
      <c r="G1473" s="47" t="inlineStr">
        <is>
          <t>the Orbit Plus; Kratos Orbit Plus; Krato Orbit Plus; Orbit Plus mouse</t>
        </is>
      </c>
      <c r="H1473" s="47" t="inlineStr">
        <is>
          <t>2 year limited</t>
        </is>
      </c>
      <c r="I1473" s="47" t="inlineStr">
        <is>
          <t>FCC, CE, RoHS</t>
        </is>
      </c>
      <c r="J1473" s="47" t="inlineStr">
        <is>
          <t>Sensor: 12K DPI optical</t>
        </is>
      </c>
      <c r="K1473" s="47" t="inlineStr">
        <is>
          <t>N/A</t>
        </is>
      </c>
      <c r="L1473" s="47" t="inlineStr">
        <is>
          <t>N/A</t>
        </is>
      </c>
      <c r="M1473" s="47" t="inlineStr">
        <is>
          <t>N/A</t>
        </is>
      </c>
      <c r="N1473" s="47" t="inlineStr">
        <is>
          <t>USB-C wired</t>
        </is>
      </c>
      <c r="O1473" s="47" t="inlineStr">
        <is>
          <t>N/A</t>
        </is>
      </c>
      <c r="P1473" s="47" t="inlineStr">
        <is>
          <t>N/A</t>
        </is>
      </c>
      <c r="Q1473" s="50" t="n">
        <v>56</v>
      </c>
      <c r="R1473" s="47" t="inlineStr">
        <is>
          <t>Lighter than Hades Vibe Gaming Mouse [HAD-119-04] (56 g vs 63 g); Lower price than Euterpe Axis Ultra Gaming Mouse [EUT-120-03] ($26.99 vs $116.99)</t>
        </is>
      </c>
      <c r="S1473" s="47" t="inlineStr">
        <is>
          <t>gaming, esports</t>
        </is>
      </c>
      <c r="T1473" s="0" t="inlineStr">
        <is>
          <t>in_stock</t>
        </is>
      </c>
      <c r="U1473" s="0" t="n">
        <v>60</v>
      </c>
      <c r="V1473" s="52" t="n">
        <v>30.99</v>
      </c>
      <c r="W1473" s="0" t="inlineStr">
        <is>
          <t>2026-08-30</t>
        </is>
      </c>
      <c r="X1473" s="0" t="inlineStr">
        <is>
          <t>N/A</t>
        </is>
      </c>
      <c r="Y1473" s="0" t="inlineStr">
        <is>
          <t>N/A</t>
        </is>
      </c>
      <c r="Z1473" s="0" t="inlineStr">
        <is>
          <t>N/A</t>
        </is>
      </c>
      <c r="AA1473" s="0" t="inlineStr">
        <is>
          <t>N/A</t>
        </is>
      </c>
    </row>
    <row r="1474" ht="15.75" customHeight="1" s="51">
      <c r="A1474" s="47" t="inlineStr">
        <is>
          <t>KRA-147-02</t>
        </is>
      </c>
      <c r="B1474" s="47" t="inlineStr">
        <is>
          <t>Kratos</t>
        </is>
      </c>
      <c r="C1474" s="47" t="inlineStr">
        <is>
          <t>Computer Hardware</t>
        </is>
      </c>
      <c r="D1474" s="47" t="inlineStr">
        <is>
          <t>Networking</t>
        </is>
      </c>
      <c r="E1474" s="48" t="inlineStr">
        <is>
          <t>Kratos Apex Pro Wi-Fi 7 PCIe Card</t>
        </is>
      </c>
      <c r="F1474" s="49" t="n">
        <v>39.99</v>
      </c>
      <c r="G1474" s="47" t="inlineStr">
        <is>
          <t>the Apex Pro; Kratos Apex Pro; Krato Apex Pro; Apex Pro networking</t>
        </is>
      </c>
      <c r="H1474" s="47" t="inlineStr">
        <is>
          <t>2 year limited</t>
        </is>
      </c>
      <c r="I1474" s="47" t="inlineStr">
        <is>
          <t>FCC, CE, RoHS, Wi-Fi CERTIFIED 7, Bluetooth SIG Qualified</t>
        </is>
      </c>
      <c r="J1474" s="47" t="inlineStr">
        <is>
          <t>Chipset: Intel BE200</t>
        </is>
      </c>
      <c r="K1474" s="47" t="inlineStr">
        <is>
          <t>N/A</t>
        </is>
      </c>
      <c r="L1474" s="47" t="inlineStr">
        <is>
          <t>N/A</t>
        </is>
      </c>
      <c r="M1474" s="47" t="inlineStr">
        <is>
          <t>N/A</t>
        </is>
      </c>
      <c r="N1474" s="47" t="inlineStr">
        <is>
          <t>PCIe x1, internal USB 2.0 header (Bluetooth 5.4), 2x external antennas</t>
        </is>
      </c>
      <c r="O1474" s="47" t="inlineStr">
        <is>
          <t>N/A</t>
        </is>
      </c>
      <c r="P1474" s="47" t="inlineStr">
        <is>
          <t>N/A</t>
        </is>
      </c>
      <c r="Q1474" s="50" t="n">
        <v>64</v>
      </c>
      <c r="R1474" s="47" t="inlineStr">
        <is>
          <t>Lower price than Perses Arc X Wi-Fi 7 PCIe Card [PER-101-01] ($39.99 vs $60.99); Lighter than Aidos Quanta Air Wi-Fi 7 PCIe Card [AID-135-01] (64 g vs 102 g)</t>
        </is>
      </c>
      <c r="S1474" s="47" t="inlineStr">
        <is>
          <t>gaming, streaming, PC building</t>
        </is>
      </c>
      <c r="T1474" s="0" t="inlineStr">
        <is>
          <t>in_stock</t>
        </is>
      </c>
      <c r="U1474" s="0" t="n">
        <v>60</v>
      </c>
      <c r="V1474" s="52" t="n">
        <v>42.99</v>
      </c>
      <c r="W1474" s="0" t="inlineStr">
        <is>
          <t>2026-09-22</t>
        </is>
      </c>
      <c r="X1474" s="0" t="inlineStr">
        <is>
          <t>N/A</t>
        </is>
      </c>
      <c r="Y1474" s="0" t="inlineStr">
        <is>
          <t>N/A</t>
        </is>
      </c>
      <c r="Z1474" s="0" t="inlineStr">
        <is>
          <t>N/A</t>
        </is>
      </c>
      <c r="AA1474" s="0" t="inlineStr">
        <is>
          <t>N/A</t>
        </is>
      </c>
    </row>
    <row r="1475" ht="15.75" customHeight="1" s="51">
      <c r="A1475" s="47" t="inlineStr">
        <is>
          <t>KRA-147-03</t>
        </is>
      </c>
      <c r="B1475" s="47" t="inlineStr">
        <is>
          <t>Kratos</t>
        </is>
      </c>
      <c r="C1475" s="47" t="inlineStr">
        <is>
          <t>Computer Hardware</t>
        </is>
      </c>
      <c r="D1475" s="47" t="inlineStr">
        <is>
          <t>Case Fans</t>
        </is>
      </c>
      <c r="E1475" s="48" t="inlineStr">
        <is>
          <t>Kratos Lumen RGB Case Fan 3-Pack</t>
        </is>
      </c>
      <c r="F1475" s="49" t="n">
        <v>76.98999999999999</v>
      </c>
      <c r="G1475" s="47" t="inlineStr">
        <is>
          <t>the Lumen; Kratos Lumen; Kartos Lumen; Lumen case fans</t>
        </is>
      </c>
      <c r="H1475" s="47" t="inlineStr">
        <is>
          <t>2 year limited</t>
        </is>
      </c>
      <c r="I1475" s="47" t="inlineStr">
        <is>
          <t>FCC, CE, RoHS</t>
        </is>
      </c>
      <c r="J1475" s="47" t="inlineStr">
        <is>
          <t>N/A</t>
        </is>
      </c>
      <c r="K1475" s="47" t="inlineStr">
        <is>
          <t>N/A</t>
        </is>
      </c>
      <c r="L1475" s="47" t="inlineStr">
        <is>
          <t>N/A</t>
        </is>
      </c>
      <c r="M1475" s="47" t="inlineStr">
        <is>
          <t>N/A</t>
        </is>
      </c>
      <c r="N1475" s="47" t="inlineStr">
        <is>
          <t>4-pin PWM, 3-pin 5V ARGB, daisy-chain connectors</t>
        </is>
      </c>
      <c r="O1475" s="47" t="inlineStr">
        <is>
          <t>N/A</t>
        </is>
      </c>
      <c r="P1475" s="47" t="inlineStr">
        <is>
          <t>N/A</t>
        </is>
      </c>
      <c r="Q1475" s="50" t="n">
        <v>514</v>
      </c>
      <c r="R1475" s="47" t="inlineStr">
        <is>
          <t>Lower price than Eris Strata SE RGB Case Fan 3-Pack [ERI-148-01] ($76.99 vs $83.99); Lighter than Eurybia Core RGB Case Fan 3-Pack [EUR-104-01] (514 g vs 516 g)</t>
        </is>
      </c>
      <c r="S1475" s="47" t="inlineStr">
        <is>
          <t>PC building, cooling, RGB builds</t>
        </is>
      </c>
      <c r="T1475" s="0" t="inlineStr">
        <is>
          <t>in_stock</t>
        </is>
      </c>
      <c r="U1475" s="0" t="n">
        <v>60</v>
      </c>
      <c r="V1475" s="52" t="n">
        <v>81.98999999999999</v>
      </c>
      <c r="W1475" s="0" t="inlineStr">
        <is>
          <t>2026-09-05</t>
        </is>
      </c>
      <c r="X1475" s="0" t="inlineStr">
        <is>
          <t>N/A</t>
        </is>
      </c>
      <c r="Y1475" s="0" t="inlineStr">
        <is>
          <t>N/A</t>
        </is>
      </c>
      <c r="Z1475" s="0" t="inlineStr">
        <is>
          <t>N/A</t>
        </is>
      </c>
      <c r="AA1475" s="0" t="inlineStr">
        <is>
          <t>N/A</t>
        </is>
      </c>
    </row>
    <row r="1476" ht="15.75" customHeight="1" s="51">
      <c r="A1476" s="47" t="inlineStr">
        <is>
          <t>KRA-147-04</t>
        </is>
      </c>
      <c r="B1476" s="47" t="inlineStr">
        <is>
          <t>Kratos</t>
        </is>
      </c>
      <c r="C1476" s="47" t="inlineStr">
        <is>
          <t>Computer Hardware</t>
        </is>
      </c>
      <c r="D1476" s="47" t="inlineStr">
        <is>
          <t>Cooling</t>
        </is>
      </c>
      <c r="E1476" s="48" t="inlineStr">
        <is>
          <t>Kratos Echo Air 360mm AIO CPU Cooler</t>
        </is>
      </c>
      <c r="F1476" s="49" t="n">
        <v>120.99</v>
      </c>
      <c r="G1476" s="47" t="inlineStr">
        <is>
          <t>the Echo Air; Kratos Echo Air; Krtaos Echo Air; Echo Air cooling</t>
        </is>
      </c>
      <c r="H1476" s="47" t="inlineStr">
        <is>
          <t>5 year limited</t>
        </is>
      </c>
      <c r="I1476" s="47" t="inlineStr">
        <is>
          <t>FCC, CE, RoHS</t>
        </is>
      </c>
      <c r="J1476" s="47" t="inlineStr">
        <is>
          <t>N/A</t>
        </is>
      </c>
      <c r="K1476" s="47" t="inlineStr">
        <is>
          <t>N/A</t>
        </is>
      </c>
      <c r="L1476" s="47" t="inlineStr">
        <is>
          <t>N/A</t>
        </is>
      </c>
      <c r="M1476" s="47" t="inlineStr">
        <is>
          <t>N/A</t>
        </is>
      </c>
      <c r="N1476" s="47" t="inlineStr">
        <is>
          <t>3x 4-pin PWM fans, 3-pin pump header, ARGB 5V; LGA1700/LGA1851/AM5 mounts</t>
        </is>
      </c>
      <c r="O1476" s="47" t="inlineStr">
        <is>
          <t>N/A</t>
        </is>
      </c>
      <c r="P1476" s="47" t="inlineStr">
        <is>
          <t>N/A</t>
        </is>
      </c>
      <c r="Q1476" s="50" t="n">
        <v>1565</v>
      </c>
      <c r="R1476" s="47" t="inlineStr">
        <is>
          <t>Lighter than Psyche Onyx SE 360mm AIO CPU Cooler [PSY-144-06] (1,565 g vs 1,615 g); Lower price than Gaia Quanta Plus 360mm AIO CPU Cooler [GAI-125-08] ($120.99 vs $243.99)</t>
        </is>
      </c>
      <c r="S1476" s="47" t="inlineStr">
        <is>
          <t>overclocking, gaming, quiet builds</t>
        </is>
      </c>
      <c r="T1476" s="0" t="inlineStr">
        <is>
          <t>in_stock</t>
        </is>
      </c>
      <c r="U1476" s="0" t="n">
        <v>60</v>
      </c>
      <c r="V1476" s="52" t="n">
        <v>129.99</v>
      </c>
      <c r="W1476" s="0" t="inlineStr">
        <is>
          <t>2026-08-16</t>
        </is>
      </c>
      <c r="X1476" s="0" t="inlineStr">
        <is>
          <t>N/A</t>
        </is>
      </c>
      <c r="Y1476" s="0" t="inlineStr">
        <is>
          <t>N/A</t>
        </is>
      </c>
      <c r="Z1476" s="0" t="inlineStr">
        <is>
          <t>N/A</t>
        </is>
      </c>
      <c r="AA1476" s="0" t="inlineStr">
        <is>
          <t>N/A</t>
        </is>
      </c>
    </row>
    <row r="1477" ht="15.75" customHeight="1" s="51">
      <c r="A1477" s="47" t="inlineStr">
        <is>
          <t>KRA-147-05</t>
        </is>
      </c>
      <c r="B1477" s="47" t="inlineStr">
        <is>
          <t>Kratos</t>
        </is>
      </c>
      <c r="C1477" s="47" t="inlineStr">
        <is>
          <t>Computer Hardware</t>
        </is>
      </c>
      <c r="D1477" s="47" t="inlineStr">
        <is>
          <t>Storage</t>
        </is>
      </c>
      <c r="E1477" s="48" t="inlineStr">
        <is>
          <t>Kratos Strata Lite 4TB External Hard Drive</t>
        </is>
      </c>
      <c r="F1477" s="49" t="n">
        <v>138.99</v>
      </c>
      <c r="G1477" s="47" t="inlineStr">
        <is>
          <t>the Strata Lite; Kratos Strata Lite; Kratoos Strata Lite; Strata Lite storage</t>
        </is>
      </c>
      <c r="H1477" s="47" t="inlineStr">
        <is>
          <t>2 year limited</t>
        </is>
      </c>
      <c r="I1477" s="47" t="inlineStr">
        <is>
          <t>FCC, CE, RoHS, USB-IF Certified</t>
        </is>
      </c>
      <c r="J1477" s="47" t="inlineStr">
        <is>
          <t>N/A</t>
        </is>
      </c>
      <c r="K1477" s="47" t="inlineStr">
        <is>
          <t>N/A</t>
        </is>
      </c>
      <c r="L1477" s="47" t="inlineStr">
        <is>
          <t>N/A</t>
        </is>
      </c>
      <c r="M1477" s="47" t="inlineStr">
        <is>
          <t>N/A</t>
        </is>
      </c>
      <c r="N1477" s="47" t="inlineStr">
        <is>
          <t>USB-C (USB 3.2 Gen 1)</t>
        </is>
      </c>
      <c r="O1477" s="47" t="inlineStr">
        <is>
          <t>N/A</t>
        </is>
      </c>
      <c r="P1477" s="47" t="inlineStr">
        <is>
          <t>N/A</t>
        </is>
      </c>
      <c r="Q1477" s="50" t="n">
        <v>245</v>
      </c>
      <c r="R1477" s="47" t="inlineStr">
        <is>
          <t>Lower price than Ares Apex SE 4TB External Hard Drive [ARE-140-06] ($138.99 vs $187.99); Lighter than Dione Axis Plus 4TB External Hard Drive [DIO-128-06] (245 g vs 247 g)</t>
        </is>
      </c>
      <c r="S1477" s="47" t="inlineStr">
        <is>
          <t>backup, media storage</t>
        </is>
      </c>
      <c r="T1477" s="0" t="inlineStr">
        <is>
          <t>in_stock</t>
        </is>
      </c>
      <c r="U1477" s="0" t="n">
        <v>60</v>
      </c>
      <c r="V1477" s="52" t="n">
        <v>158.99</v>
      </c>
      <c r="W1477" s="0" t="inlineStr">
        <is>
          <t>2026-09-03</t>
        </is>
      </c>
      <c r="X1477" s="0" t="inlineStr">
        <is>
          <t>N/A</t>
        </is>
      </c>
      <c r="Y1477" s="0" t="inlineStr">
        <is>
          <t>N/A</t>
        </is>
      </c>
      <c r="Z1477" s="0" t="inlineStr">
        <is>
          <t>N/A</t>
        </is>
      </c>
      <c r="AA1477" s="0" t="inlineStr">
        <is>
          <t>N/A</t>
        </is>
      </c>
    </row>
    <row r="1478" ht="15.75" customHeight="1" s="51">
      <c r="A1478" s="47" t="inlineStr">
        <is>
          <t>KRA-147-06</t>
        </is>
      </c>
      <c r="B1478" s="47" t="inlineStr">
        <is>
          <t>Kratos</t>
        </is>
      </c>
      <c r="C1478" s="47" t="inlineStr">
        <is>
          <t>Computer Hardware</t>
        </is>
      </c>
      <c r="D1478" s="47" t="inlineStr">
        <is>
          <t>Webcam</t>
        </is>
      </c>
      <c r="E1478" s="48" t="inlineStr">
        <is>
          <t>Kratos Flux Air 4K Webcam</t>
        </is>
      </c>
      <c r="F1478" s="49" t="n">
        <v>165.99</v>
      </c>
      <c r="G1478" s="47" t="inlineStr">
        <is>
          <t>the Flux Air; Kratos Flux Air; Kratoos Flux Air; Flux Air webcam</t>
        </is>
      </c>
      <c r="H1478" s="47" t="inlineStr">
        <is>
          <t>2 year limited</t>
        </is>
      </c>
      <c r="I1478" s="47" t="inlineStr">
        <is>
          <t>FCC, CE, RoHS, USB-IF Certified</t>
        </is>
      </c>
      <c r="J1478" s="47" t="inlineStr">
        <is>
          <t>N/A</t>
        </is>
      </c>
      <c r="K1478" s="47" t="inlineStr">
        <is>
          <t>N/A</t>
        </is>
      </c>
      <c r="L1478" s="47" t="inlineStr">
        <is>
          <t>N/A</t>
        </is>
      </c>
      <c r="M1478" s="47" t="inlineStr">
        <is>
          <t>3840x2160 @ 30fps, 1080p @ 60fps</t>
        </is>
      </c>
      <c r="N1478" s="47" t="inlineStr">
        <is>
          <t>USB-C (USB 3.0)</t>
        </is>
      </c>
      <c r="O1478" s="47" t="inlineStr">
        <is>
          <t>N/A</t>
        </is>
      </c>
      <c r="P1478" s="47" t="inlineStr">
        <is>
          <t>N/A</t>
        </is>
      </c>
      <c r="Q1478" s="50" t="n">
        <v>145</v>
      </c>
      <c r="R1478" s="47" t="inlineStr">
        <is>
          <t>Lighter than Eileithyia Nimbus 4K Webcam [EIL-149-01] (145 g vs 163 g); Lower price than Phoebe Spark Ultra 4K Webcam [PHO-143-06] ($165.99 vs $211.99)</t>
        </is>
      </c>
      <c r="S1478" s="47" t="inlineStr">
        <is>
          <t>video calls, streaming, remote work</t>
        </is>
      </c>
      <c r="T1478" s="0" t="inlineStr">
        <is>
          <t>in_stock</t>
        </is>
      </c>
      <c r="U1478" s="0" t="n">
        <v>60</v>
      </c>
      <c r="V1478" s="52" t="n">
        <v>184.99</v>
      </c>
      <c r="W1478" s="0" t="inlineStr">
        <is>
          <t>2026-08-06</t>
        </is>
      </c>
      <c r="X1478" s="0" t="inlineStr">
        <is>
          <t>N/A</t>
        </is>
      </c>
      <c r="Y1478" s="0" t="inlineStr">
        <is>
          <t>N/A</t>
        </is>
      </c>
      <c r="Z1478" s="0" t="inlineStr">
        <is>
          <t>N/A</t>
        </is>
      </c>
      <c r="AA1478" s="0" t="inlineStr">
        <is>
          <t>N/A</t>
        </is>
      </c>
    </row>
    <row r="1479" ht="15.75" customHeight="1" s="51">
      <c r="A1479" s="47" t="inlineStr">
        <is>
          <t>KRA-147-07</t>
        </is>
      </c>
      <c r="B1479" s="47" t="inlineStr">
        <is>
          <t>Kratos</t>
        </is>
      </c>
      <c r="C1479" s="47" t="inlineStr">
        <is>
          <t>Computer Hardware</t>
        </is>
      </c>
      <c r="D1479" s="47" t="inlineStr">
        <is>
          <t>Docking Station</t>
        </is>
      </c>
      <c r="E1479" s="48" t="inlineStr">
        <is>
          <t>Kratos Onyx X USB-C Docking Station</t>
        </is>
      </c>
      <c r="F1479" s="49" t="n">
        <v>191.99</v>
      </c>
      <c r="G1479" s="47" t="inlineStr">
        <is>
          <t>the Onyx X; Kratos Onyx X; Kratoos Onyx X; Onyx X docking station</t>
        </is>
      </c>
      <c r="H1479" s="47" t="inlineStr">
        <is>
          <t>2 year limited</t>
        </is>
      </c>
      <c r="I1479" s="47" t="inlineStr">
        <is>
          <t>FCC, CE, RoHS, USB-IF Certified, UL Listed</t>
        </is>
      </c>
      <c r="J1479" s="47" t="inlineStr">
        <is>
          <t>N/A</t>
        </is>
      </c>
      <c r="K1479" s="47" t="inlineStr">
        <is>
          <t>N/A</t>
        </is>
      </c>
      <c r="L1479" s="47" t="inlineStr">
        <is>
          <t>N/A</t>
        </is>
      </c>
      <c r="M1479" s="47" t="inlineStr">
        <is>
          <t>N/A</t>
        </is>
      </c>
      <c r="N1479" s="47" t="inlineStr">
        <is>
          <t>2x HDMI 2.0, 1x DisplayPort 1.4, 3x USB-A 3.2, 2x USB-C, 2.5GbE, SD card, 100W PD</t>
        </is>
      </c>
      <c r="O1479" s="47" t="inlineStr">
        <is>
          <t>N/A</t>
        </is>
      </c>
      <c r="P1479" s="47" t="inlineStr">
        <is>
          <t>N/A</t>
        </is>
      </c>
      <c r="Q1479" s="50" t="n">
        <v>429</v>
      </c>
      <c r="R1479" s="47" t="inlineStr">
        <is>
          <t>Lower price than Astraeus Vibe USB-C Docking Station [AST-146-07] ($191.99 vs $260.99); Lighter than Eris Sable Pro USB-C Docking Station [ERI-148-07] (429 g vs 464 g)</t>
        </is>
      </c>
      <c r="S1479" s="47" t="inlineStr">
        <is>
          <t>office, remote work, multi-monitor</t>
        </is>
      </c>
      <c r="T1479" s="0" t="inlineStr">
        <is>
          <t>low_stock</t>
        </is>
      </c>
      <c r="U1479" s="0" t="n">
        <v>60</v>
      </c>
      <c r="V1479" s="52" t="n">
        <v>200.99</v>
      </c>
      <c r="W1479" s="0" t="inlineStr">
        <is>
          <t>2026-09-23</t>
        </is>
      </c>
      <c r="X1479" s="0" t="inlineStr">
        <is>
          <t>N/A</t>
        </is>
      </c>
      <c r="Y1479" s="0" t="inlineStr">
        <is>
          <t>N/A</t>
        </is>
      </c>
      <c r="Z1479" s="0" t="inlineStr">
        <is>
          <t>N/A</t>
        </is>
      </c>
      <c r="AA1479" s="0" t="inlineStr">
        <is>
          <t>N/A</t>
        </is>
      </c>
    </row>
    <row r="1480" ht="15.75" customHeight="1" s="51">
      <c r="A1480" s="47" t="inlineStr">
        <is>
          <t>KRA-147-08</t>
        </is>
      </c>
      <c r="B1480" s="47" t="inlineStr">
        <is>
          <t>Kratos</t>
        </is>
      </c>
      <c r="C1480" s="47" t="inlineStr">
        <is>
          <t>Computer Hardware</t>
        </is>
      </c>
      <c r="D1480" s="47" t="inlineStr">
        <is>
          <t>Power Supply</t>
        </is>
      </c>
      <c r="E1480" s="48" t="inlineStr">
        <is>
          <t>Kratos Spark Air 850W Power Supply</t>
        </is>
      </c>
      <c r="F1480" s="49" t="n">
        <v>196.99</v>
      </c>
      <c r="G1480" s="47" t="inlineStr">
        <is>
          <t>the Spark Air; Kratos Spark Air; Kraots Spark Air; Spark Air power supply</t>
        </is>
      </c>
      <c r="H1480" s="47" t="inlineStr">
        <is>
          <t>7 year limited</t>
        </is>
      </c>
      <c r="I1480" s="47" t="inlineStr">
        <is>
          <t>FCC, CE, RoHS, 80 PLUS Titanium, UL Listed</t>
        </is>
      </c>
      <c r="J1480" s="47" t="inlineStr">
        <is>
          <t>N/A</t>
        </is>
      </c>
      <c r="K1480" s="47" t="inlineStr">
        <is>
          <t>N/A</t>
        </is>
      </c>
      <c r="L1480" s="47" t="inlineStr">
        <is>
          <t>N/A</t>
        </is>
      </c>
      <c r="M1480" s="47" t="inlineStr">
        <is>
          <t>N/A</t>
        </is>
      </c>
      <c r="N1480" s="47" t="inlineStr">
        <is>
          <t>ATX 3.1, native 12V-2x6 (600W) connector, fully modular</t>
        </is>
      </c>
      <c r="O1480" s="47" t="inlineStr">
        <is>
          <t>N/A</t>
        </is>
      </c>
      <c r="P1480" s="47" t="inlineStr">
        <is>
          <t>N/A</t>
        </is>
      </c>
      <c r="Q1480" s="50" t="n">
        <v>1696</v>
      </c>
      <c r="R1480" s="47" t="inlineStr">
        <is>
          <t>Lighter than Thalassa Apex Air 850W Power Supply [THA-126-07] (1,696 g vs 1,995 g); Lower price than Perses Aria 850W Power Supply [PER-101-06] ($196.99 vs $224.99)</t>
        </is>
      </c>
      <c r="S1480" s="47" t="inlineStr">
        <is>
          <t>PC building, high-end gaming</t>
        </is>
      </c>
      <c r="T1480" s="0" t="inlineStr">
        <is>
          <t>in_stock</t>
        </is>
      </c>
      <c r="U1480" s="0" t="n">
        <v>60</v>
      </c>
      <c r="V1480" s="52" t="n">
        <v>203.99</v>
      </c>
      <c r="W1480" s="0" t="inlineStr">
        <is>
          <t>2026-08-17</t>
        </is>
      </c>
      <c r="X1480" s="0" t="inlineStr">
        <is>
          <t>N/A</t>
        </is>
      </c>
      <c r="Y1480" s="0" t="inlineStr">
        <is>
          <t>N/A</t>
        </is>
      </c>
      <c r="Z1480" s="0" t="inlineStr">
        <is>
          <t>N/A</t>
        </is>
      </c>
      <c r="AA1480" s="0" t="inlineStr">
        <is>
          <t>N/A</t>
        </is>
      </c>
    </row>
    <row r="1481" ht="15.75" customHeight="1" s="51">
      <c r="A1481" s="47" t="inlineStr">
        <is>
          <t>KRA-147-09</t>
        </is>
      </c>
      <c r="B1481" s="47" t="inlineStr">
        <is>
          <t>Kratos</t>
        </is>
      </c>
      <c r="C1481" s="47" t="inlineStr">
        <is>
          <t>Computer Hardware</t>
        </is>
      </c>
      <c r="D1481" s="47" t="inlineStr">
        <is>
          <t>Storage</t>
        </is>
      </c>
      <c r="E1481" s="48" t="inlineStr">
        <is>
          <t>Kratos Zen 2TB NVMe SSD</t>
        </is>
      </c>
      <c r="F1481" s="49" t="n">
        <v>215.99</v>
      </c>
      <c r="G1481" s="47" t="inlineStr">
        <is>
          <t>the Zen; Kratos Zen; Kraatos Zen; Zen storage</t>
        </is>
      </c>
      <c r="H1481" s="47" t="inlineStr">
        <is>
          <t>5 year limited</t>
        </is>
      </c>
      <c r="I1481" s="47" t="inlineStr">
        <is>
          <t>FCC, CE, RoHS</t>
        </is>
      </c>
      <c r="J1481" s="47" t="inlineStr">
        <is>
          <t>Controller: Phison E27T</t>
        </is>
      </c>
      <c r="K1481" s="47" t="inlineStr">
        <is>
          <t>N/A</t>
        </is>
      </c>
      <c r="L1481" s="47" t="inlineStr">
        <is>
          <t>N/A</t>
        </is>
      </c>
      <c r="M1481" s="47" t="inlineStr">
        <is>
          <t>N/A</t>
        </is>
      </c>
      <c r="N1481" s="47" t="inlineStr">
        <is>
          <t>M.2 2280, PCIe 4.0 x4 NVMe</t>
        </is>
      </c>
      <c r="O1481" s="47" t="inlineStr">
        <is>
          <t>N/A</t>
        </is>
      </c>
      <c r="P1481" s="47" t="inlineStr">
        <is>
          <t>N/A</t>
        </is>
      </c>
      <c r="Q1481" s="50" t="n">
        <v>29</v>
      </c>
      <c r="R1481" s="47" t="inlineStr">
        <is>
          <t>Lower price than Eris Onyx Plus 2TB NVMe SSD [ERI-148-08] ($215.99 vs $277.99); Lighter than Eos Arc 2TB NVMe SSD [EOS-111-03] (29 g vs 30 g)</t>
        </is>
      </c>
      <c r="S1481" s="47" t="inlineStr">
        <is>
          <t>gaming, fast boot, content creation</t>
        </is>
      </c>
      <c r="T1481" s="0" t="inlineStr">
        <is>
          <t>in_stock</t>
        </is>
      </c>
      <c r="U1481" s="0" t="n">
        <v>60</v>
      </c>
      <c r="V1481" s="52" t="n">
        <v>239.99</v>
      </c>
      <c r="W1481" s="0" t="inlineStr">
        <is>
          <t>2026-09-13</t>
        </is>
      </c>
      <c r="X1481" s="0" t="inlineStr">
        <is>
          <t>N/A</t>
        </is>
      </c>
      <c r="Y1481" s="0" t="inlineStr">
        <is>
          <t>N/A</t>
        </is>
      </c>
      <c r="Z1481" s="0" t="inlineStr">
        <is>
          <t>N/A</t>
        </is>
      </c>
      <c r="AA1481" s="0" t="inlineStr">
        <is>
          <t>N/A</t>
        </is>
      </c>
    </row>
    <row r="1482" ht="15.75" customHeight="1" s="51">
      <c r="A1482" s="47" t="inlineStr">
        <is>
          <t>KRA-147-10</t>
        </is>
      </c>
      <c r="B1482" s="47" t="inlineStr">
        <is>
          <t>Kratos</t>
        </is>
      </c>
      <c r="C1482" s="47" t="inlineStr">
        <is>
          <t>Computer Hardware</t>
        </is>
      </c>
      <c r="D1482" s="47" t="inlineStr">
        <is>
          <t>Processor</t>
        </is>
      </c>
      <c r="E1482" s="48" t="inlineStr">
        <is>
          <t>Kratos Core SE Desktop CPU</t>
        </is>
      </c>
      <c r="F1482" s="49" t="n">
        <v>651.99</v>
      </c>
      <c r="G1482" s="47" t="inlineStr">
        <is>
          <t>the Core SE; Kratos Core SE; Krtaos Core SE; Core SE processor</t>
        </is>
      </c>
      <c r="H1482" s="47" t="inlineStr">
        <is>
          <t>3 year limited</t>
        </is>
      </c>
      <c r="I1482" s="47" t="inlineStr">
        <is>
          <t>FCC, CE, RoHS</t>
        </is>
      </c>
      <c r="J1482" s="47" t="inlineStr">
        <is>
          <t>Kratos Core 24-core / 48-thread, up to 5.7 GHz</t>
        </is>
      </c>
      <c r="K1482" s="47" t="inlineStr">
        <is>
          <t>Integrated graphics</t>
        </is>
      </c>
      <c r="L1482" s="47" t="inlineStr">
        <is>
          <t>N/A</t>
        </is>
      </c>
      <c r="M1482" s="47" t="inlineStr">
        <is>
          <t>N/A</t>
        </is>
      </c>
      <c r="N1482" s="47" t="inlineStr">
        <is>
          <t>N/A</t>
        </is>
      </c>
      <c r="O1482" s="47" t="inlineStr">
        <is>
          <t>N/A</t>
        </is>
      </c>
      <c r="P1482" s="47" t="inlineStr">
        <is>
          <t>N/A</t>
        </is>
      </c>
      <c r="Q1482" s="50" t="n">
        <v>55</v>
      </c>
      <c r="R1482" s="47" t="inlineStr">
        <is>
          <t>Lighter than Ceto Pulse Ultra Desktop CPU [CET-131-09] (55 g vs 59 g); Lower price than Eos Volt Plus Desktop CPU [EOS-111-09] ($651.99 vs $692.99)</t>
        </is>
      </c>
      <c r="S1482" s="47" t="inlineStr">
        <is>
          <t>gaming, content creation, workstation builds</t>
        </is>
      </c>
      <c r="T1482" s="0" t="inlineStr">
        <is>
          <t>in_stock</t>
        </is>
      </c>
      <c r="U1482" s="0" t="n">
        <v>60</v>
      </c>
      <c r="V1482" s="52" t="n">
        <v>723.99</v>
      </c>
      <c r="W1482" s="0" t="inlineStr">
        <is>
          <t>2026-08-25</t>
        </is>
      </c>
      <c r="X1482" s="0" t="inlineStr">
        <is>
          <t>N/A</t>
        </is>
      </c>
      <c r="Y1482" s="0" t="inlineStr">
        <is>
          <t>N/A</t>
        </is>
      </c>
      <c r="Z1482" s="0" t="inlineStr">
        <is>
          <t>N/A</t>
        </is>
      </c>
      <c r="AA1482" s="0" t="inlineStr">
        <is>
          <t>N/A</t>
        </is>
      </c>
    </row>
    <row r="1483" ht="15.75" customHeight="1" s="51">
      <c r="A1483" s="47" t="inlineStr">
        <is>
          <t>ERI-148-01</t>
        </is>
      </c>
      <c r="B1483" s="47" t="inlineStr">
        <is>
          <t>Eris</t>
        </is>
      </c>
      <c r="C1483" s="47" t="inlineStr">
        <is>
          <t>Computer Hardware</t>
        </is>
      </c>
      <c r="D1483" s="47" t="inlineStr">
        <is>
          <t>Case Fans</t>
        </is>
      </c>
      <c r="E1483" s="48" t="inlineStr">
        <is>
          <t>Eris Strata SE RGB Case Fan 3-Pack</t>
        </is>
      </c>
      <c r="F1483" s="49" t="n">
        <v>83.98999999999999</v>
      </c>
      <c r="G1483" s="47" t="inlineStr">
        <is>
          <t>the Strata SE; Eris Strata SE; Eriss Strata SE; Strata SE case fans</t>
        </is>
      </c>
      <c r="H1483" s="47" t="inlineStr">
        <is>
          <t>2 year limited</t>
        </is>
      </c>
      <c r="I1483" s="47" t="inlineStr">
        <is>
          <t>FCC, CE, RoHS</t>
        </is>
      </c>
      <c r="J1483" s="47" t="inlineStr">
        <is>
          <t>N/A</t>
        </is>
      </c>
      <c r="K1483" s="47" t="inlineStr">
        <is>
          <t>N/A</t>
        </is>
      </c>
      <c r="L1483" s="47" t="inlineStr">
        <is>
          <t>N/A</t>
        </is>
      </c>
      <c r="M1483" s="47" t="inlineStr">
        <is>
          <t>N/A</t>
        </is>
      </c>
      <c r="N1483" s="47" t="inlineStr">
        <is>
          <t>4-pin PWM, 3-pin 5V ARGB, daisy-chain connectors</t>
        </is>
      </c>
      <c r="O1483" s="47" t="inlineStr">
        <is>
          <t>N/A</t>
        </is>
      </c>
      <c r="P1483" s="47" t="inlineStr">
        <is>
          <t>N/A</t>
        </is>
      </c>
      <c r="Q1483" s="50" t="n">
        <v>457</v>
      </c>
      <c r="R1483" s="47" t="inlineStr">
        <is>
          <t>Lighter than Palaemon Halo Air RGB Case Fan 3-Pack [PAL-127-01] (457 g vs 491 g); Lower price than Eileithyia Blaze Plus RGB Case Fan 3-Pack [EIL-149-03] ($83.99 vs $85.99)</t>
        </is>
      </c>
      <c r="S1483" s="47" t="inlineStr">
        <is>
          <t>PC building, cooling, RGB builds</t>
        </is>
      </c>
      <c r="T1483" s="0" t="inlineStr">
        <is>
          <t>low_stock</t>
        </is>
      </c>
      <c r="U1483" s="0" t="n">
        <v>30</v>
      </c>
      <c r="V1483" s="52" t="n">
        <v>91.98999999999999</v>
      </c>
      <c r="W1483" s="0" t="inlineStr">
        <is>
          <t>2026-08-09</t>
        </is>
      </c>
      <c r="X1483" s="0" t="inlineStr">
        <is>
          <t>N/A</t>
        </is>
      </c>
      <c r="Y1483" s="0" t="inlineStr">
        <is>
          <t>N/A</t>
        </is>
      </c>
      <c r="Z1483" s="0" t="inlineStr">
        <is>
          <t>N/A</t>
        </is>
      </c>
      <c r="AA1483" s="0" t="inlineStr">
        <is>
          <t>N/A</t>
        </is>
      </c>
    </row>
    <row r="1484" ht="15.75" customHeight="1" s="51">
      <c r="A1484" s="47" t="inlineStr">
        <is>
          <t>ERI-148-02</t>
        </is>
      </c>
      <c r="B1484" s="47" t="inlineStr">
        <is>
          <t>Eris</t>
        </is>
      </c>
      <c r="C1484" s="47" t="inlineStr">
        <is>
          <t>Computer Hardware</t>
        </is>
      </c>
      <c r="D1484" s="47" t="inlineStr">
        <is>
          <t>Keyboard</t>
        </is>
      </c>
      <c r="E1484" s="48" t="inlineStr">
        <is>
          <t>Eris Aeon Lite Mechanical Keyboard</t>
        </is>
      </c>
      <c r="F1484" s="49" t="n">
        <v>119.99</v>
      </c>
      <c r="G1484" s="47" t="inlineStr">
        <is>
          <t>the Aeon Lite; Eris Aeon Lite; Eriss Aeon Lite; Aeon Lite keyboard</t>
        </is>
      </c>
      <c r="H1484" s="47" t="inlineStr">
        <is>
          <t>2 year limited</t>
        </is>
      </c>
      <c r="I1484" s="47" t="inlineStr">
        <is>
          <t>FCC, CE, RoHS, Bluetooth SIG Qualified</t>
        </is>
      </c>
      <c r="J1484" s="47" t="inlineStr">
        <is>
          <t>N/A</t>
        </is>
      </c>
      <c r="K1484" s="47" t="inlineStr">
        <is>
          <t>N/A</t>
        </is>
      </c>
      <c r="L1484" s="47" t="inlineStr">
        <is>
          <t>N/A</t>
        </is>
      </c>
      <c r="M1484" s="47" t="inlineStr">
        <is>
          <t>N/A</t>
        </is>
      </c>
      <c r="N1484" s="47" t="inlineStr">
        <is>
          <t>USB-C, 2.4GHz dongle, Bluetooth 5.1</t>
        </is>
      </c>
      <c r="O1484" s="47" t="inlineStr">
        <is>
          <t>N/A</t>
        </is>
      </c>
      <c r="P1484" s="47" t="n">
        <v>233</v>
      </c>
      <c r="Q1484" s="50" t="n">
        <v>1090</v>
      </c>
      <c r="R1484" s="47" t="inlineStr">
        <is>
          <t>Lower price than Kairos Vibe Mechanical Keyboard [KAI-142-08] ($119.99 vs $236.99); Longer battery than Eos Halo Max Mechanical Keyboard [EOS-111-06] (233 vs 230 hrs)</t>
        </is>
      </c>
      <c r="S1484" s="47" t="inlineStr">
        <is>
          <t>gaming, typing, office</t>
        </is>
      </c>
      <c r="T1484" s="0" t="inlineStr">
        <is>
          <t>low_stock</t>
        </is>
      </c>
      <c r="U1484" s="0" t="n">
        <v>30</v>
      </c>
      <c r="V1484" s="52" t="n">
        <v>131.99</v>
      </c>
      <c r="W1484" s="0" t="inlineStr">
        <is>
          <t>2026-08-13</t>
        </is>
      </c>
      <c r="X1484" s="0" t="inlineStr">
        <is>
          <t>N/A</t>
        </is>
      </c>
      <c r="Y1484" s="0" t="inlineStr">
        <is>
          <t>N/A</t>
        </is>
      </c>
      <c r="Z1484" s="0" t="inlineStr">
        <is>
          <t>N/A</t>
        </is>
      </c>
      <c r="AA1484" s="0" t="inlineStr">
        <is>
          <t>N/A</t>
        </is>
      </c>
    </row>
    <row r="1485" ht="15.75" customHeight="1" s="51">
      <c r="A1485" s="47" t="inlineStr">
        <is>
          <t>ERI-148-03</t>
        </is>
      </c>
      <c r="B1485" s="47" t="inlineStr">
        <is>
          <t>Eris</t>
        </is>
      </c>
      <c r="C1485" s="47" t="inlineStr">
        <is>
          <t>Computer Hardware</t>
        </is>
      </c>
      <c r="D1485" s="47" t="inlineStr">
        <is>
          <t>Mouse</t>
        </is>
      </c>
      <c r="E1485" s="48" t="inlineStr">
        <is>
          <t>Eris Halo SE Gaming Mouse</t>
        </is>
      </c>
      <c r="F1485" s="49" t="n">
        <v>126.99</v>
      </c>
      <c r="G1485" s="47" t="inlineStr">
        <is>
          <t>the Halo SE; Eris Halo SE; Eri Halo SE; Halo SE mouse</t>
        </is>
      </c>
      <c r="H1485" s="47" t="inlineStr">
        <is>
          <t>2 year limited</t>
        </is>
      </c>
      <c r="I1485" s="47" t="inlineStr">
        <is>
          <t>FCC, CE, RoHS, Bluetooth SIG Qualified</t>
        </is>
      </c>
      <c r="J1485" s="47" t="inlineStr">
        <is>
          <t>Sensor: 36K DPI optical</t>
        </is>
      </c>
      <c r="K1485" s="47" t="inlineStr">
        <is>
          <t>N/A</t>
        </is>
      </c>
      <c r="L1485" s="47" t="inlineStr">
        <is>
          <t>N/A</t>
        </is>
      </c>
      <c r="M1485" s="47" t="inlineStr">
        <is>
          <t>N/A</t>
        </is>
      </c>
      <c r="N1485" s="47" t="inlineStr">
        <is>
          <t>USB-C, 2.4GHz dongle, Bluetooth 5.1</t>
        </is>
      </c>
      <c r="O1485" s="47" t="inlineStr">
        <is>
          <t>N/A</t>
        </is>
      </c>
      <c r="P1485" s="47" t="n">
        <v>74</v>
      </c>
      <c r="Q1485" s="50" t="n">
        <v>60</v>
      </c>
      <c r="R1485" s="47" t="inlineStr">
        <is>
          <t>Lighter than Aphrodite Volt Gaming Mouse [APH-141-05] (60 g vs 93 g); Lower price than Harmonia Strata Gaming Mouse [HAR-106-03] ($126.99 vs $139.99)</t>
        </is>
      </c>
      <c r="S1485" s="47" t="inlineStr">
        <is>
          <t>gaming, esports</t>
        </is>
      </c>
      <c r="T1485" s="0" t="inlineStr">
        <is>
          <t>in_stock</t>
        </is>
      </c>
      <c r="U1485" s="0" t="n">
        <v>30</v>
      </c>
      <c r="V1485" s="52" t="n">
        <v>132.99</v>
      </c>
      <c r="W1485" s="0" t="inlineStr">
        <is>
          <t>2026-08-15</t>
        </is>
      </c>
      <c r="X1485" s="0" t="inlineStr">
        <is>
          <t>N/A</t>
        </is>
      </c>
      <c r="Y1485" s="0" t="inlineStr">
        <is>
          <t>N/A</t>
        </is>
      </c>
      <c r="Z1485" s="0" t="inlineStr">
        <is>
          <t>N/A</t>
        </is>
      </c>
      <c r="AA1485" s="0" t="inlineStr">
        <is>
          <t>N/A</t>
        </is>
      </c>
    </row>
    <row r="1486" ht="15.75" customHeight="1" s="51">
      <c r="A1486" s="47" t="inlineStr">
        <is>
          <t>ERI-148-04</t>
        </is>
      </c>
      <c r="B1486" s="47" t="inlineStr">
        <is>
          <t>Eris</t>
        </is>
      </c>
      <c r="C1486" s="47" t="inlineStr">
        <is>
          <t>Computer Hardware</t>
        </is>
      </c>
      <c r="D1486" s="47" t="inlineStr">
        <is>
          <t>Memory</t>
        </is>
      </c>
      <c r="E1486" s="48" t="inlineStr">
        <is>
          <t>Eris Aria 32GB DDR5 RAM Kit</t>
        </is>
      </c>
      <c r="F1486" s="49" t="n">
        <v>136.99</v>
      </c>
      <c r="G1486" s="47" t="inlineStr">
        <is>
          <t>the Aria; Eris Aria; Eirs Aria; Aria memory</t>
        </is>
      </c>
      <c r="H1486" s="47" t="inlineStr">
        <is>
          <t>Limited lifetime</t>
        </is>
      </c>
      <c r="I1486" s="47" t="inlineStr">
        <is>
          <t>FCC, CE, RoHS</t>
        </is>
      </c>
      <c r="J1486" s="47" t="inlineStr">
        <is>
          <t>N/A</t>
        </is>
      </c>
      <c r="K1486" s="47" t="inlineStr">
        <is>
          <t>N/A</t>
        </is>
      </c>
      <c r="L1486" s="47" t="inlineStr">
        <is>
          <t>N/A</t>
        </is>
      </c>
      <c r="M1486" s="47" t="inlineStr">
        <is>
          <t>N/A</t>
        </is>
      </c>
      <c r="N1486" s="47" t="inlineStr">
        <is>
          <t>2x 16GB DDR5 288-pin DIMM, 5600 MT/s</t>
        </is>
      </c>
      <c r="O1486" s="47" t="inlineStr">
        <is>
          <t>N/A</t>
        </is>
      </c>
      <c r="P1486" s="47" t="inlineStr">
        <is>
          <t>N/A</t>
        </is>
      </c>
      <c r="Q1486" s="50" t="n">
        <v>82</v>
      </c>
      <c r="R1486" s="47" t="inlineStr">
        <is>
          <t>Lower price than Enyo Onyx Lite 32GB DDR5 RAM Kit [ENY-114-05] ($136.99 vs $221.99); Lighter than Astraeus Pulse Air 32GB DDR5 RAM Kit [AST-146-05] (82 g vs 87 g)</t>
        </is>
      </c>
      <c r="S1486" s="47" t="inlineStr">
        <is>
          <t>gaming, multitasking, PC building</t>
        </is>
      </c>
      <c r="T1486" s="0" t="inlineStr">
        <is>
          <t>in_stock</t>
        </is>
      </c>
      <c r="U1486" s="0" t="n">
        <v>30</v>
      </c>
      <c r="V1486" s="52" t="n">
        <v>150.99</v>
      </c>
      <c r="W1486" s="0" t="inlineStr">
        <is>
          <t>2026-08-08</t>
        </is>
      </c>
      <c r="X1486" s="0" t="inlineStr">
        <is>
          <t>N/A</t>
        </is>
      </c>
      <c r="Y1486" s="0" t="inlineStr">
        <is>
          <t>N/A</t>
        </is>
      </c>
      <c r="Z1486" s="0" t="inlineStr">
        <is>
          <t>N/A</t>
        </is>
      </c>
      <c r="AA1486" s="0" t="inlineStr">
        <is>
          <t>N/A</t>
        </is>
      </c>
    </row>
    <row r="1487" ht="15.75" customHeight="1" s="51">
      <c r="A1487" s="47" t="inlineStr">
        <is>
          <t>ERI-148-05</t>
        </is>
      </c>
      <c r="B1487" s="47" t="inlineStr">
        <is>
          <t>Eris</t>
        </is>
      </c>
      <c r="C1487" s="47" t="inlineStr">
        <is>
          <t>Computer Hardware</t>
        </is>
      </c>
      <c r="D1487" s="47" t="inlineStr">
        <is>
          <t>Storage</t>
        </is>
      </c>
      <c r="E1487" s="48" t="inlineStr">
        <is>
          <t>Eris Vibe X 4TB External Hard Drive</t>
        </is>
      </c>
      <c r="F1487" s="49" t="n">
        <v>161.99</v>
      </c>
      <c r="G1487" s="47" t="inlineStr">
        <is>
          <t>the Vibe X; Eris Vibe X; Eirs Vibe X; Vibe X storage</t>
        </is>
      </c>
      <c r="H1487" s="47" t="inlineStr">
        <is>
          <t>2 year limited</t>
        </is>
      </c>
      <c r="I1487" s="47" t="inlineStr">
        <is>
          <t>FCC, CE, RoHS, USB-IF Certified</t>
        </is>
      </c>
      <c r="J1487" s="47" t="inlineStr">
        <is>
          <t>N/A</t>
        </is>
      </c>
      <c r="K1487" s="47" t="inlineStr">
        <is>
          <t>N/A</t>
        </is>
      </c>
      <c r="L1487" s="47" t="inlineStr">
        <is>
          <t>N/A</t>
        </is>
      </c>
      <c r="M1487" s="47" t="inlineStr">
        <is>
          <t>N/A</t>
        </is>
      </c>
      <c r="N1487" s="47" t="inlineStr">
        <is>
          <t>USB-C (USB 3.2 Gen 1)</t>
        </is>
      </c>
      <c r="O1487" s="47" t="inlineStr">
        <is>
          <t>N/A</t>
        </is>
      </c>
      <c r="P1487" s="47" t="inlineStr">
        <is>
          <t>N/A</t>
        </is>
      </c>
      <c r="Q1487" s="50" t="n">
        <v>225</v>
      </c>
      <c r="R1487" s="47" t="inlineStr">
        <is>
          <t>Lighter than Themis Axis Max 4TB External Hard Drive [THE-145-01] (225 g vs 227 g); Lower price than Phanes Flux Pro 4TB External Hard Drive [PHA-138-06] ($161.99 vs $192.99)</t>
        </is>
      </c>
      <c r="S1487" s="47" t="inlineStr">
        <is>
          <t>backup, media storage</t>
        </is>
      </c>
      <c r="T1487" s="0" t="inlineStr">
        <is>
          <t>in_stock</t>
        </is>
      </c>
      <c r="U1487" s="0" t="n">
        <v>30</v>
      </c>
      <c r="V1487" s="52" t="n">
        <v>177.99</v>
      </c>
      <c r="W1487" s="0" t="inlineStr">
        <is>
          <t>2026-08-25</t>
        </is>
      </c>
      <c r="X1487" s="0" t="inlineStr">
        <is>
          <t>N/A</t>
        </is>
      </c>
      <c r="Y1487" s="0" t="inlineStr">
        <is>
          <t>N/A</t>
        </is>
      </c>
      <c r="Z1487" s="0" t="inlineStr">
        <is>
          <t>N/A</t>
        </is>
      </c>
      <c r="AA1487" s="0" t="inlineStr">
        <is>
          <t>N/A</t>
        </is>
      </c>
    </row>
    <row r="1488" ht="15.75" customHeight="1" s="51">
      <c r="A1488" s="47" t="inlineStr">
        <is>
          <t>ERI-148-06</t>
        </is>
      </c>
      <c r="B1488" s="47" t="inlineStr">
        <is>
          <t>Eris</t>
        </is>
      </c>
      <c r="C1488" s="47" t="inlineStr">
        <is>
          <t>Computer Hardware</t>
        </is>
      </c>
      <c r="D1488" s="47" t="inlineStr">
        <is>
          <t>Power Supply</t>
        </is>
      </c>
      <c r="E1488" s="48" t="inlineStr">
        <is>
          <t>Eris Wave Ultra 850W Power Supply</t>
        </is>
      </c>
      <c r="F1488" s="49" t="n">
        <v>181.99</v>
      </c>
      <c r="G1488" s="47" t="inlineStr">
        <is>
          <t>the Wave Ultra; Eris Wave Ultra; Eri Wave Ultra; Wave Ultra power supply</t>
        </is>
      </c>
      <c r="H1488" s="47" t="inlineStr">
        <is>
          <t>7 year limited</t>
        </is>
      </c>
      <c r="I1488" s="47" t="inlineStr">
        <is>
          <t>FCC, CE, RoHS, 80 PLUS Platinum, UL Listed</t>
        </is>
      </c>
      <c r="J1488" s="47" t="inlineStr">
        <is>
          <t>N/A</t>
        </is>
      </c>
      <c r="K1488" s="47" t="inlineStr">
        <is>
          <t>N/A</t>
        </is>
      </c>
      <c r="L1488" s="47" t="inlineStr">
        <is>
          <t>N/A</t>
        </is>
      </c>
      <c r="M1488" s="47" t="inlineStr">
        <is>
          <t>N/A</t>
        </is>
      </c>
      <c r="N1488" s="47" t="inlineStr">
        <is>
          <t>ATX 3.1, native 12V-2x6 (600W) connector, fully modular</t>
        </is>
      </c>
      <c r="O1488" s="47" t="inlineStr">
        <is>
          <t>N/A</t>
        </is>
      </c>
      <c r="P1488" s="47" t="inlineStr">
        <is>
          <t>N/A</t>
        </is>
      </c>
      <c r="Q1488" s="50" t="n">
        <v>1867</v>
      </c>
      <c r="R1488" s="47" t="inlineStr">
        <is>
          <t>Lower price than Artemis Spark Ultra 850W Power Supply [ART-150-07] ($181.99 vs $218.99); Lighter than Hermes Wave Air 850W Power Supply [HER-103-06] (1,867 g vs 2,215 g)</t>
        </is>
      </c>
      <c r="S1488" s="47" t="inlineStr">
        <is>
          <t>PC building, high-end gaming</t>
        </is>
      </c>
      <c r="T1488" s="0" t="inlineStr">
        <is>
          <t>out_of_stock</t>
        </is>
      </c>
      <c r="U1488" s="0" t="n">
        <v>30</v>
      </c>
      <c r="V1488" s="52" t="n">
        <v>207.99</v>
      </c>
      <c r="W1488" s="0" t="inlineStr">
        <is>
          <t>2026-09-02</t>
        </is>
      </c>
      <c r="X1488" s="0" t="inlineStr">
        <is>
          <t>N/A</t>
        </is>
      </c>
      <c r="Y1488" s="0" t="inlineStr">
        <is>
          <t>N/A</t>
        </is>
      </c>
      <c r="Z1488" s="0" t="inlineStr">
        <is>
          <t>N/A</t>
        </is>
      </c>
      <c r="AA1488" s="0" t="inlineStr">
        <is>
          <t>N/A</t>
        </is>
      </c>
    </row>
    <row r="1489" ht="15.75" customHeight="1" s="51">
      <c r="A1489" s="47" t="inlineStr">
        <is>
          <t>ERI-148-07</t>
        </is>
      </c>
      <c r="B1489" s="47" t="inlineStr">
        <is>
          <t>Eris</t>
        </is>
      </c>
      <c r="C1489" s="47" t="inlineStr">
        <is>
          <t>Computer Hardware</t>
        </is>
      </c>
      <c r="D1489" s="47" t="inlineStr">
        <is>
          <t>Docking Station</t>
        </is>
      </c>
      <c r="E1489" s="48" t="inlineStr">
        <is>
          <t>Eris Sable Pro USB-C Docking Station</t>
        </is>
      </c>
      <c r="F1489" s="49" t="n">
        <v>216.99</v>
      </c>
      <c r="G1489" s="47" t="inlineStr">
        <is>
          <t>the Sable Pro; Eris Sable Pro; Eirs Sable Pro; Sable Pro docking station</t>
        </is>
      </c>
      <c r="H1489" s="47" t="inlineStr">
        <is>
          <t>2 year limited</t>
        </is>
      </c>
      <c r="I1489" s="47" t="inlineStr">
        <is>
          <t>FCC, CE, RoHS, USB-IF Certified, UL Listed</t>
        </is>
      </c>
      <c r="J1489" s="47" t="inlineStr">
        <is>
          <t>N/A</t>
        </is>
      </c>
      <c r="K1489" s="47" t="inlineStr">
        <is>
          <t>N/A</t>
        </is>
      </c>
      <c r="L1489" s="47" t="inlineStr">
        <is>
          <t>N/A</t>
        </is>
      </c>
      <c r="M1489" s="47" t="inlineStr">
        <is>
          <t>N/A</t>
        </is>
      </c>
      <c r="N1489" s="47" t="inlineStr">
        <is>
          <t>2x HDMI 2.0, 1x DisplayPort 1.4, 3x USB-A 3.2, 2x USB-C, 2.5GbE, SD card, 100W PD</t>
        </is>
      </c>
      <c r="O1489" s="47" t="inlineStr">
        <is>
          <t>N/A</t>
        </is>
      </c>
      <c r="P1489" s="47" t="inlineStr">
        <is>
          <t>N/A</t>
        </is>
      </c>
      <c r="Q1489" s="50" t="n">
        <v>464</v>
      </c>
      <c r="R1489" s="47" t="inlineStr">
        <is>
          <t>Lower price than Hades Zen Pro USB-C Docking Station [HAD-119-10] ($216.99 vs $324.99); Lighter than Eros Blaze X USB-C Docking Station [ERO-134-06] (464 g vs 466 g)</t>
        </is>
      </c>
      <c r="S1489" s="47" t="inlineStr">
        <is>
          <t>office, remote work, multi-monitor</t>
        </is>
      </c>
      <c r="T1489" s="0" t="inlineStr">
        <is>
          <t>low_stock</t>
        </is>
      </c>
      <c r="U1489" s="0" t="n">
        <v>30</v>
      </c>
      <c r="V1489" s="52" t="n">
        <v>233.99</v>
      </c>
      <c r="W1489" s="0" t="inlineStr">
        <is>
          <t>2026-08-27</t>
        </is>
      </c>
      <c r="X1489" s="0" t="inlineStr">
        <is>
          <t>N/A</t>
        </is>
      </c>
      <c r="Y1489" s="0" t="inlineStr">
        <is>
          <t>N/A</t>
        </is>
      </c>
      <c r="Z1489" s="0" t="inlineStr">
        <is>
          <t>N/A</t>
        </is>
      </c>
      <c r="AA1489" s="0" t="inlineStr">
        <is>
          <t>N/A</t>
        </is>
      </c>
    </row>
    <row r="1490" ht="15.75" customHeight="1" s="51">
      <c r="A1490" s="47" t="inlineStr">
        <is>
          <t>ERI-148-08</t>
        </is>
      </c>
      <c r="B1490" s="47" t="inlineStr">
        <is>
          <t>Eris</t>
        </is>
      </c>
      <c r="C1490" s="47" t="inlineStr">
        <is>
          <t>Computer Hardware</t>
        </is>
      </c>
      <c r="D1490" s="47" t="inlineStr">
        <is>
          <t>Storage</t>
        </is>
      </c>
      <c r="E1490" s="48" t="inlineStr">
        <is>
          <t>Eris Onyx Plus 2TB NVMe SSD</t>
        </is>
      </c>
      <c r="F1490" s="49" t="n">
        <v>277.99</v>
      </c>
      <c r="G1490" s="47" t="inlineStr">
        <is>
          <t>the Onyx Plus; Eris Onyx Plus; Eirs Onyx Plus; Onyx Plus storage</t>
        </is>
      </c>
      <c r="H1490" s="47" t="inlineStr">
        <is>
          <t>5 year limited</t>
        </is>
      </c>
      <c r="I1490" s="47" t="inlineStr">
        <is>
          <t>FCC, CE, RoHS</t>
        </is>
      </c>
      <c r="J1490" s="47" t="inlineStr">
        <is>
          <t>Controller: Phison E26</t>
        </is>
      </c>
      <c r="K1490" s="47" t="inlineStr">
        <is>
          <t>N/A</t>
        </is>
      </c>
      <c r="L1490" s="47" t="inlineStr">
        <is>
          <t>N/A</t>
        </is>
      </c>
      <c r="M1490" s="47" t="inlineStr">
        <is>
          <t>N/A</t>
        </is>
      </c>
      <c r="N1490" s="47" t="inlineStr">
        <is>
          <t>M.2 2280, PCIe 5.0 x4 NVMe</t>
        </is>
      </c>
      <c r="O1490" s="47" t="inlineStr">
        <is>
          <t>N/A</t>
        </is>
      </c>
      <c r="P1490" s="47" t="inlineStr">
        <is>
          <t>N/A</t>
        </is>
      </c>
      <c r="Q1490" s="50" t="n">
        <v>16</v>
      </c>
      <c r="R1490" s="47" t="inlineStr">
        <is>
          <t>Lighter than Notus Echo SE 2TB NVMe SSD [NOT-108-05] (16 g vs 18 g); Lower price than Themis Zen Ultra 2TB NVMe SSD [THE-145-08] ($277.99 vs $291.99)</t>
        </is>
      </c>
      <c r="S1490" s="47" t="inlineStr">
        <is>
          <t>gaming, fast boot, content creation</t>
        </is>
      </c>
      <c r="T1490" s="0" t="inlineStr">
        <is>
          <t>low_stock</t>
        </is>
      </c>
      <c r="U1490" s="0" t="n">
        <v>30</v>
      </c>
      <c r="V1490" s="52" t="n">
        <v>294.99</v>
      </c>
      <c r="W1490" s="0" t="inlineStr">
        <is>
          <t>2026-09-21</t>
        </is>
      </c>
      <c r="X1490" s="0" t="inlineStr">
        <is>
          <t>N/A</t>
        </is>
      </c>
      <c r="Y1490" s="0" t="inlineStr">
        <is>
          <t>N/A</t>
        </is>
      </c>
      <c r="Z1490" s="0" t="inlineStr">
        <is>
          <t>N/A</t>
        </is>
      </c>
      <c r="AA1490" s="0" t="inlineStr">
        <is>
          <t>N/A</t>
        </is>
      </c>
    </row>
    <row r="1491" ht="15.75" customHeight="1" s="51">
      <c r="A1491" s="47" t="inlineStr">
        <is>
          <t>ERI-148-09</t>
        </is>
      </c>
      <c r="B1491" s="47" t="inlineStr">
        <is>
          <t>Eris</t>
        </is>
      </c>
      <c r="C1491" s="47" t="inlineStr">
        <is>
          <t>Computer Hardware</t>
        </is>
      </c>
      <c r="D1491" s="47" t="inlineStr">
        <is>
          <t>Motherboard</t>
        </is>
      </c>
      <c r="E1491" s="48" t="inlineStr">
        <is>
          <t>Eris Strata SE ATX Motherboard</t>
        </is>
      </c>
      <c r="F1491" s="49" t="n">
        <v>334.99</v>
      </c>
      <c r="G1491" s="47" t="inlineStr">
        <is>
          <t>the Strata SE; Eris Strata SE; Erris Strata SE; Strata SE motherboard</t>
        </is>
      </c>
      <c r="H1491" s="47" t="inlineStr">
        <is>
          <t>3 year limited</t>
        </is>
      </c>
      <c r="I1491" s="47" t="inlineStr">
        <is>
          <t>FCC, CE, RoHS</t>
        </is>
      </c>
      <c r="J1491" s="47" t="inlineStr">
        <is>
          <t>Supports AMD Ryzen 7000/8000/9000 (Socket AM5)</t>
        </is>
      </c>
      <c r="K1491" s="47" t="inlineStr">
        <is>
          <t>N/A</t>
        </is>
      </c>
      <c r="L1491" s="47" t="inlineStr">
        <is>
          <t>N/A</t>
        </is>
      </c>
      <c r="M1491" s="47" t="inlineStr">
        <is>
          <t>N/A</t>
        </is>
      </c>
      <c r="N1491" s="47" t="inlineStr">
        <is>
          <t>Rear I/O: 1x HDMI, 1x DisplayPort, 8x USB-A, 2x USB-C 20Gbps, 2.5GbE, Wi-Fi 7</t>
        </is>
      </c>
      <c r="O1491" s="47" t="inlineStr">
        <is>
          <t>N/A</t>
        </is>
      </c>
      <c r="P1491" s="47" t="inlineStr">
        <is>
          <t>N/A</t>
        </is>
      </c>
      <c r="Q1491" s="50" t="n">
        <v>1451</v>
      </c>
      <c r="R1491" s="47" t="inlineStr">
        <is>
          <t>Lower price than Hymenaeus Pulse Lite ATX Motherboard [HYM-121-07] ($334.99 vs $461.99); Lighter than Perses Flux Pro ATX Motherboard [PER-101-07] (1,451 g vs 1,609 g)</t>
        </is>
      </c>
      <c r="S1491" s="47" t="inlineStr">
        <is>
          <t>PC building, gaming, workstation builds</t>
        </is>
      </c>
      <c r="T1491" s="0" t="inlineStr">
        <is>
          <t>low_stock</t>
        </is>
      </c>
      <c r="U1491" s="0" t="n">
        <v>30</v>
      </c>
      <c r="V1491" s="52" t="n">
        <v>369.99</v>
      </c>
      <c r="W1491" s="0" t="inlineStr">
        <is>
          <t>2026-09-23</t>
        </is>
      </c>
      <c r="X1491" s="0" t="inlineStr">
        <is>
          <t>N/A</t>
        </is>
      </c>
      <c r="Y1491" s="0" t="inlineStr">
        <is>
          <t>N/A</t>
        </is>
      </c>
      <c r="Z1491" s="0" t="inlineStr">
        <is>
          <t>N/A</t>
        </is>
      </c>
      <c r="AA1491" s="0" t="inlineStr">
        <is>
          <t>N/A</t>
        </is>
      </c>
    </row>
    <row r="1492" ht="15.75" customHeight="1" s="51">
      <c r="A1492" s="47" t="inlineStr">
        <is>
          <t>ERI-148-10</t>
        </is>
      </c>
      <c r="B1492" s="47" t="inlineStr">
        <is>
          <t>Eris</t>
        </is>
      </c>
      <c r="C1492" s="47" t="inlineStr">
        <is>
          <t>Computer Hardware</t>
        </is>
      </c>
      <c r="D1492" s="47" t="inlineStr">
        <is>
          <t>Monitor</t>
        </is>
      </c>
      <c r="E1492" s="48" t="inlineStr">
        <is>
          <t>Eris Crest Plus 27" 1440p Monitor</t>
        </is>
      </c>
      <c r="F1492" s="49" t="n">
        <v>688.99</v>
      </c>
      <c r="G1492" s="47" t="inlineStr">
        <is>
          <t>the Crest Plus; Eris Crest Plus; Eriss Crest Plus; Crest Plus monitor</t>
        </is>
      </c>
      <c r="H1492" s="47" t="inlineStr">
        <is>
          <t>3 year limited</t>
        </is>
      </c>
      <c r="I1492" s="47" t="inlineStr">
        <is>
          <t>FCC, CE, RoHS, Energy Star, TUV Rheinland Low Blue Light, VESA DisplayHDR True Black 400</t>
        </is>
      </c>
      <c r="J1492" s="47" t="inlineStr">
        <is>
          <t>N/A</t>
        </is>
      </c>
      <c r="K1492" s="47" t="inlineStr">
        <is>
          <t>N/A</t>
        </is>
      </c>
      <c r="L1492" s="47" t="inlineStr">
        <is>
          <t>QD-OLED, 360Hz</t>
        </is>
      </c>
      <c r="M1492" s="47" t="inlineStr">
        <is>
          <t>2560x1440</t>
        </is>
      </c>
      <c r="N1492" s="47" t="inlineStr">
        <is>
          <t>2x HDMI 2.1, 1x DisplayPort 1.4, USB-C 90W, USB hub</t>
        </is>
      </c>
      <c r="O1492" s="47" t="inlineStr">
        <is>
          <t>N/A</t>
        </is>
      </c>
      <c r="P1492" s="47" t="inlineStr">
        <is>
          <t>N/A</t>
        </is>
      </c>
      <c r="Q1492" s="50" t="n">
        <v>7023</v>
      </c>
      <c r="R1492" s="47" t="inlineStr">
        <is>
          <t>Lighter than Themis Zen SE 27" 1440p Monitor [THE-145-10] (7,023 g vs 7,033 g)</t>
        </is>
      </c>
      <c r="S1492" s="47" t="inlineStr">
        <is>
          <t>gaming, office, content creation</t>
        </is>
      </c>
      <c r="T1492" s="0" t="inlineStr">
        <is>
          <t>out_of_stock</t>
        </is>
      </c>
      <c r="U1492" s="0" t="n">
        <v>30</v>
      </c>
      <c r="V1492" s="52" t="n">
        <v>788.99</v>
      </c>
      <c r="W1492" s="0" t="inlineStr">
        <is>
          <t>2026-09-24</t>
        </is>
      </c>
      <c r="X1492" s="0" t="inlineStr">
        <is>
          <t>N/A</t>
        </is>
      </c>
      <c r="Y1492" s="0" t="inlineStr">
        <is>
          <t>N/A</t>
        </is>
      </c>
      <c r="Z1492" s="0" t="inlineStr">
        <is>
          <t>N/A</t>
        </is>
      </c>
      <c r="AA1492" s="0" t="inlineStr">
        <is>
          <t>N/A</t>
        </is>
      </c>
    </row>
    <row r="1493" ht="15.75" customHeight="1" s="51">
      <c r="A1493" s="47" t="inlineStr">
        <is>
          <t>EIL-149-01</t>
        </is>
      </c>
      <c r="B1493" s="47" t="inlineStr">
        <is>
          <t>Eileithyia</t>
        </is>
      </c>
      <c r="C1493" s="47" t="inlineStr">
        <is>
          <t>Computer Hardware</t>
        </is>
      </c>
      <c r="D1493" s="47" t="inlineStr">
        <is>
          <t>Webcam</t>
        </is>
      </c>
      <c r="E1493" s="48" t="inlineStr">
        <is>
          <t>Eileithyia Nimbus 4K Webcam</t>
        </is>
      </c>
      <c r="F1493" s="49" t="n">
        <v>60.99</v>
      </c>
      <c r="G1493" s="47" t="inlineStr">
        <is>
          <t>the Nimbus; Eileithyia Nimbus; Eileithyiia Nimbus; Nimbus webcam</t>
        </is>
      </c>
      <c r="H1493" s="47" t="inlineStr">
        <is>
          <t>2 year limited</t>
        </is>
      </c>
      <c r="I1493" s="47" t="inlineStr">
        <is>
          <t>FCC, CE, RoHS, USB-IF Certified</t>
        </is>
      </c>
      <c r="J1493" s="47" t="inlineStr">
        <is>
          <t>N/A</t>
        </is>
      </c>
      <c r="K1493" s="47" t="inlineStr">
        <is>
          <t>N/A</t>
        </is>
      </c>
      <c r="L1493" s="47" t="inlineStr">
        <is>
          <t>N/A</t>
        </is>
      </c>
      <c r="M1493" s="47" t="inlineStr">
        <is>
          <t>3840x2160 @ 30fps, 1080p @ 60fps</t>
        </is>
      </c>
      <c r="N1493" s="47" t="inlineStr">
        <is>
          <t>USB-C (USB 3.0)</t>
        </is>
      </c>
      <c r="O1493" s="47" t="inlineStr">
        <is>
          <t>N/A</t>
        </is>
      </c>
      <c r="P1493" s="47" t="inlineStr">
        <is>
          <t>N/A</t>
        </is>
      </c>
      <c r="Q1493" s="50" t="n">
        <v>163</v>
      </c>
      <c r="R1493" s="47" t="inlineStr">
        <is>
          <t>Lighter than Euterpe Zen SE 4K Webcam [EUT-120-04] (163 g vs 172 g); Lower price than Phoebe Spark Ultra 4K Webcam [PHO-143-06] ($60.99 vs $211.99)</t>
        </is>
      </c>
      <c r="S1493" s="47" t="inlineStr">
        <is>
          <t>video calls, streaming, remote work</t>
        </is>
      </c>
      <c r="T1493" s="0" t="inlineStr">
        <is>
          <t>in_stock</t>
        </is>
      </c>
      <c r="U1493" s="0" t="n">
        <v>60</v>
      </c>
      <c r="V1493" s="52" t="n">
        <v>65.98999999999999</v>
      </c>
      <c r="W1493" s="0" t="inlineStr">
        <is>
          <t>2026-08-16</t>
        </is>
      </c>
      <c r="X1493" s="0" t="inlineStr">
        <is>
          <t>N/A</t>
        </is>
      </c>
      <c r="Y1493" s="0" t="inlineStr">
        <is>
          <t>N/A</t>
        </is>
      </c>
      <c r="Z1493" s="0" t="inlineStr">
        <is>
          <t>N/A</t>
        </is>
      </c>
      <c r="AA1493" s="0" t="inlineStr">
        <is>
          <t>N/A</t>
        </is>
      </c>
    </row>
    <row r="1494" ht="15.75" customHeight="1" s="51">
      <c r="A1494" s="47" t="inlineStr">
        <is>
          <t>EIL-149-02</t>
        </is>
      </c>
      <c r="B1494" s="47" t="inlineStr">
        <is>
          <t>Eileithyia</t>
        </is>
      </c>
      <c r="C1494" s="47" t="inlineStr">
        <is>
          <t>Computer Hardware</t>
        </is>
      </c>
      <c r="D1494" s="47" t="inlineStr">
        <is>
          <t>Networking</t>
        </is>
      </c>
      <c r="E1494" s="48" t="inlineStr">
        <is>
          <t>Eileithyia Titan X Wi-Fi 7 PCIe Card</t>
        </is>
      </c>
      <c r="F1494" s="49" t="n">
        <v>70.98999999999999</v>
      </c>
      <c r="G1494" s="47" t="inlineStr">
        <is>
          <t>the Titan X; Eileithyia Titan X; Eileithyiaa Titan X; Titan X networking</t>
        </is>
      </c>
      <c r="H1494" s="47" t="inlineStr">
        <is>
          <t>2 year limited</t>
        </is>
      </c>
      <c r="I1494" s="47" t="inlineStr">
        <is>
          <t>FCC, CE, RoHS, Wi-Fi CERTIFIED 7, Bluetooth SIG Qualified</t>
        </is>
      </c>
      <c r="J1494" s="47" t="inlineStr">
        <is>
          <t>Chipset: MediaTek MT7927</t>
        </is>
      </c>
      <c r="K1494" s="47" t="inlineStr">
        <is>
          <t>N/A</t>
        </is>
      </c>
      <c r="L1494" s="47" t="inlineStr">
        <is>
          <t>N/A</t>
        </is>
      </c>
      <c r="M1494" s="47" t="inlineStr">
        <is>
          <t>N/A</t>
        </is>
      </c>
      <c r="N1494" s="47" t="inlineStr">
        <is>
          <t>PCIe x1, internal USB 2.0 header (Bluetooth 5.4), 2x external antennas</t>
        </is>
      </c>
      <c r="O1494" s="47" t="inlineStr">
        <is>
          <t>N/A</t>
        </is>
      </c>
      <c r="P1494" s="47" t="inlineStr">
        <is>
          <t>N/A</t>
        </is>
      </c>
      <c r="Q1494" s="50" t="n">
        <v>78</v>
      </c>
      <c r="R1494" s="47" t="inlineStr">
        <is>
          <t>Lighter than Thalassa Volt Lite Wi-Fi 7 PCIe Card [THA-126-03] (78 g vs 79 g); Lower price than Hemera Prism Ultra Wi-Fi 7 PCIe Card [HEM-117-01] ($70.99 vs $76.99)</t>
        </is>
      </c>
      <c r="S1494" s="47" t="inlineStr">
        <is>
          <t>gaming, streaming, PC building</t>
        </is>
      </c>
      <c r="T1494" s="0" t="inlineStr">
        <is>
          <t>in_stock</t>
        </is>
      </c>
      <c r="U1494" s="0" t="n">
        <v>60</v>
      </c>
      <c r="V1494" s="52" t="n">
        <v>79.98999999999999</v>
      </c>
      <c r="W1494" s="0" t="inlineStr">
        <is>
          <t>2026-08-02</t>
        </is>
      </c>
      <c r="X1494" s="0" t="inlineStr">
        <is>
          <t>N/A</t>
        </is>
      </c>
      <c r="Y1494" s="0" t="inlineStr">
        <is>
          <t>N/A</t>
        </is>
      </c>
      <c r="Z1494" s="0" t="inlineStr">
        <is>
          <t>N/A</t>
        </is>
      </c>
      <c r="AA1494" s="0" t="inlineStr">
        <is>
          <t>N/A</t>
        </is>
      </c>
    </row>
    <row r="1495" ht="15.75" customHeight="1" s="51">
      <c r="A1495" s="47" t="inlineStr">
        <is>
          <t>EIL-149-03</t>
        </is>
      </c>
      <c r="B1495" s="47" t="inlineStr">
        <is>
          <t>Eileithyia</t>
        </is>
      </c>
      <c r="C1495" s="47" t="inlineStr">
        <is>
          <t>Computer Hardware</t>
        </is>
      </c>
      <c r="D1495" s="47" t="inlineStr">
        <is>
          <t>Case Fans</t>
        </is>
      </c>
      <c r="E1495" s="48" t="inlineStr">
        <is>
          <t>Eileithyia Blaze Plus RGB Case Fan 3-Pack</t>
        </is>
      </c>
      <c r="F1495" s="49" t="n">
        <v>85.98999999999999</v>
      </c>
      <c r="G1495" s="47" t="inlineStr">
        <is>
          <t>the Blaze Plus; Eileithyia Blaze Plus; Eileithyyia Blaze Plus; Blaze Plus case fans</t>
        </is>
      </c>
      <c r="H1495" s="47" t="inlineStr">
        <is>
          <t>2 year limited</t>
        </is>
      </c>
      <c r="I1495" s="47" t="inlineStr">
        <is>
          <t>FCC, CE, RoHS</t>
        </is>
      </c>
      <c r="J1495" s="47" t="inlineStr">
        <is>
          <t>N/A</t>
        </is>
      </c>
      <c r="K1495" s="47" t="inlineStr">
        <is>
          <t>N/A</t>
        </is>
      </c>
      <c r="L1495" s="47" t="inlineStr">
        <is>
          <t>N/A</t>
        </is>
      </c>
      <c r="M1495" s="47" t="inlineStr">
        <is>
          <t>N/A</t>
        </is>
      </c>
      <c r="N1495" s="47" t="inlineStr">
        <is>
          <t>4-pin PWM, 3-pin 5V ARGB, daisy-chain connectors</t>
        </is>
      </c>
      <c r="O1495" s="47" t="inlineStr">
        <is>
          <t>N/A</t>
        </is>
      </c>
      <c r="P1495" s="47" t="inlineStr">
        <is>
          <t>N/A</t>
        </is>
      </c>
      <c r="Q1495" s="50" t="n">
        <v>457</v>
      </c>
      <c r="R1495" s="47" t="inlineStr">
        <is>
          <t>Lighter than Geras Flux RGB Case Fan 3-Pack [GER-133-01] (457 g vs 517 g); Lower price than Crius Nimbus X RGB Case Fan 3-Pack [CRI-139-02] ($85.99 vs $94.99)</t>
        </is>
      </c>
      <c r="S1495" s="47" t="inlineStr">
        <is>
          <t>PC building, cooling, RGB builds</t>
        </is>
      </c>
      <c r="T1495" s="0" t="inlineStr">
        <is>
          <t>in_stock</t>
        </is>
      </c>
      <c r="U1495" s="0" t="n">
        <v>60</v>
      </c>
      <c r="V1495" s="52" t="n">
        <v>95.98999999999999</v>
      </c>
      <c r="W1495" s="0" t="inlineStr">
        <is>
          <t>2026-08-30</t>
        </is>
      </c>
      <c r="X1495" s="0" t="inlineStr">
        <is>
          <t>N/A</t>
        </is>
      </c>
      <c r="Y1495" s="0" t="inlineStr">
        <is>
          <t>N/A</t>
        </is>
      </c>
      <c r="Z1495" s="0" t="inlineStr">
        <is>
          <t>N/A</t>
        </is>
      </c>
      <c r="AA1495" s="0" t="inlineStr">
        <is>
          <t>N/A</t>
        </is>
      </c>
    </row>
    <row r="1496" ht="15.75" customHeight="1" s="51">
      <c r="A1496" s="47" t="inlineStr">
        <is>
          <t>EIL-149-04</t>
        </is>
      </c>
      <c r="B1496" s="47" t="inlineStr">
        <is>
          <t>Eileithyia</t>
        </is>
      </c>
      <c r="C1496" s="47" t="inlineStr">
        <is>
          <t>Computer Hardware</t>
        </is>
      </c>
      <c r="D1496" s="47" t="inlineStr">
        <is>
          <t>PC Case</t>
        </is>
      </c>
      <c r="E1496" s="48" t="inlineStr">
        <is>
          <t>Eileithyia Quanta Air Mid-Tower PC Case</t>
        </is>
      </c>
      <c r="F1496" s="49" t="n">
        <v>92.98999999999999</v>
      </c>
      <c r="G1496" s="47" t="inlineStr">
        <is>
          <t>the Quanta Air; Eileithyia Quanta Air; Elieithyia Quanta Air; Quanta Air pc case</t>
        </is>
      </c>
      <c r="H1496" s="47" t="inlineStr">
        <is>
          <t>2 year limited</t>
        </is>
      </c>
      <c r="I1496" s="47" t="inlineStr">
        <is>
          <t>FCC, CE, RoHS, UL 94 V-0 (materials)</t>
        </is>
      </c>
      <c r="J1496" s="47" t="inlineStr">
        <is>
          <t>N/A</t>
        </is>
      </c>
      <c r="K1496" s="47" t="inlineStr">
        <is>
          <t>N/A</t>
        </is>
      </c>
      <c r="L1496" s="47" t="inlineStr">
        <is>
          <t>N/A</t>
        </is>
      </c>
      <c r="M1496" s="47" t="inlineStr">
        <is>
          <t>N/A</t>
        </is>
      </c>
      <c r="N1496" s="47" t="inlineStr">
        <is>
          <t>Front I/O: 1x USB-C 10Gbps, 2x USB-A 3.0, 3.5mm combo audio</t>
        </is>
      </c>
      <c r="O1496" s="47" t="inlineStr">
        <is>
          <t>N/A</t>
        </is>
      </c>
      <c r="P1496" s="47" t="inlineStr">
        <is>
          <t>N/A</t>
        </is>
      </c>
      <c r="Q1496" s="50" t="n">
        <v>9190</v>
      </c>
      <c r="R1496" s="47" t="inlineStr">
        <is>
          <t>Lower price than Artemis Aeon Lite Mid-Tower PC Case [ART-150-04] ($92.99 vs $131.99); Lighter than Hermes Blaze Max Mid-Tower PC Case [HER-103-05] (9,190 g vs 9,367 g)</t>
        </is>
      </c>
      <c r="S1496" s="47" t="inlineStr">
        <is>
          <t>PC building, gaming</t>
        </is>
      </c>
      <c r="T1496" s="0" t="inlineStr">
        <is>
          <t>in_stock</t>
        </is>
      </c>
      <c r="U1496" s="0" t="n">
        <v>60</v>
      </c>
      <c r="V1496" s="52" t="n">
        <v>101.99</v>
      </c>
      <c r="W1496" s="0" t="inlineStr">
        <is>
          <t>2026-08-30</t>
        </is>
      </c>
      <c r="X1496" s="0" t="inlineStr">
        <is>
          <t>N/A</t>
        </is>
      </c>
      <c r="Y1496" s="0" t="inlineStr">
        <is>
          <t>N/A</t>
        </is>
      </c>
      <c r="Z1496" s="0" t="inlineStr">
        <is>
          <t>N/A</t>
        </is>
      </c>
      <c r="AA1496" s="0" t="inlineStr">
        <is>
          <t>N/A</t>
        </is>
      </c>
    </row>
    <row r="1497" ht="15.75" customHeight="1" s="51">
      <c r="A1497" s="47" t="inlineStr">
        <is>
          <t>EIL-149-05</t>
        </is>
      </c>
      <c r="B1497" s="47" t="inlineStr">
        <is>
          <t>Eileithyia</t>
        </is>
      </c>
      <c r="C1497" s="47" t="inlineStr">
        <is>
          <t>Computer Hardware</t>
        </is>
      </c>
      <c r="D1497" s="47" t="inlineStr">
        <is>
          <t>Memory</t>
        </is>
      </c>
      <c r="E1497" s="48" t="inlineStr">
        <is>
          <t>Eileithyia Volt Plus 32GB DDR5 RAM Kit</t>
        </is>
      </c>
      <c r="F1497" s="49" t="n">
        <v>144.99</v>
      </c>
      <c r="G1497" s="47" t="inlineStr">
        <is>
          <t>the Volt Plus; Eileithyia Volt Plus; Eileithyi Volt Plus; Volt Plus memory</t>
        </is>
      </c>
      <c r="H1497" s="47" t="inlineStr">
        <is>
          <t>Limited lifetime</t>
        </is>
      </c>
      <c r="I1497" s="47" t="inlineStr">
        <is>
          <t>FCC, CE, RoHS</t>
        </is>
      </c>
      <c r="J1497" s="47" t="inlineStr">
        <is>
          <t>N/A</t>
        </is>
      </c>
      <c r="K1497" s="47" t="inlineStr">
        <is>
          <t>N/A</t>
        </is>
      </c>
      <c r="L1497" s="47" t="inlineStr">
        <is>
          <t>N/A</t>
        </is>
      </c>
      <c r="M1497" s="47" t="inlineStr">
        <is>
          <t>N/A</t>
        </is>
      </c>
      <c r="N1497" s="47" t="inlineStr">
        <is>
          <t>2x 16GB DDR5 288-pin DIMM, 5600 MT/s</t>
        </is>
      </c>
      <c r="O1497" s="47" t="inlineStr">
        <is>
          <t>N/A</t>
        </is>
      </c>
      <c r="P1497" s="47" t="inlineStr">
        <is>
          <t>N/A</t>
        </is>
      </c>
      <c r="Q1497" s="50" t="n">
        <v>72</v>
      </c>
      <c r="R1497" s="47" t="inlineStr">
        <is>
          <t>Lighter than Perses Rift Lite 32GB DDR5 RAM Kit [PER-101-04] (72 g vs 83 g); Lower price than Iris Rift 32GB DDR5 RAM Kit [IRI-130-04] ($144.99 vs $175.99)</t>
        </is>
      </c>
      <c r="S1497" s="47" t="inlineStr">
        <is>
          <t>gaming, multitasking, PC building</t>
        </is>
      </c>
      <c r="T1497" s="0" t="inlineStr">
        <is>
          <t>in_stock</t>
        </is>
      </c>
      <c r="U1497" s="0" t="n">
        <v>60</v>
      </c>
      <c r="V1497" s="52" t="n">
        <v>155.99</v>
      </c>
      <c r="W1497" s="0" t="inlineStr">
        <is>
          <t>2026-09-09</t>
        </is>
      </c>
      <c r="X1497" s="0" t="inlineStr">
        <is>
          <t>N/A</t>
        </is>
      </c>
      <c r="Y1497" s="0" t="inlineStr">
        <is>
          <t>N/A</t>
        </is>
      </c>
      <c r="Z1497" s="0" t="inlineStr">
        <is>
          <t>N/A</t>
        </is>
      </c>
      <c r="AA1497" s="0" t="inlineStr">
        <is>
          <t>N/A</t>
        </is>
      </c>
    </row>
    <row r="1498" ht="15.75" customHeight="1" s="51">
      <c r="A1498" s="47" t="inlineStr">
        <is>
          <t>EIL-149-06</t>
        </is>
      </c>
      <c r="B1498" s="47" t="inlineStr">
        <is>
          <t>Eileithyia</t>
        </is>
      </c>
      <c r="C1498" s="47" t="inlineStr">
        <is>
          <t>Computer Hardware</t>
        </is>
      </c>
      <c r="D1498" s="47" t="inlineStr">
        <is>
          <t>Storage</t>
        </is>
      </c>
      <c r="E1498" s="48" t="inlineStr">
        <is>
          <t>Eileithyia Spark Max 4TB External Hard Drive</t>
        </is>
      </c>
      <c r="F1498" s="49" t="n">
        <v>188.99</v>
      </c>
      <c r="G1498" s="47" t="inlineStr">
        <is>
          <t>the Spark Max; Eileithyia Spark Max; Eiliethyia Spark Max; Spark Max storage</t>
        </is>
      </c>
      <c r="H1498" s="47" t="inlineStr">
        <is>
          <t>2 year limited</t>
        </is>
      </c>
      <c r="I1498" s="47" t="inlineStr">
        <is>
          <t>FCC, CE, RoHS, USB-IF Certified</t>
        </is>
      </c>
      <c r="J1498" s="47" t="inlineStr">
        <is>
          <t>N/A</t>
        </is>
      </c>
      <c r="K1498" s="47" t="inlineStr">
        <is>
          <t>N/A</t>
        </is>
      </c>
      <c r="L1498" s="47" t="inlineStr">
        <is>
          <t>N/A</t>
        </is>
      </c>
      <c r="M1498" s="47" t="inlineStr">
        <is>
          <t>N/A</t>
        </is>
      </c>
      <c r="N1498" s="47" t="inlineStr">
        <is>
          <t>USB-C (USB 3.2 Gen 1)</t>
        </is>
      </c>
      <c r="O1498" s="47" t="inlineStr">
        <is>
          <t>N/A</t>
        </is>
      </c>
      <c r="P1498" s="47" t="inlineStr">
        <is>
          <t>N/A</t>
        </is>
      </c>
      <c r="Q1498" s="50" t="n">
        <v>254</v>
      </c>
      <c r="R1498" s="47" t="inlineStr">
        <is>
          <t>Lower price than Urania Sable X 4TB External Hard Drive [URA-136-07] ($188.99 vs $196.99); Lighter than Thalassa Drift Lite 4TB External Hard Drive [THA-126-06] (254 g vs 257 g)</t>
        </is>
      </c>
      <c r="S1498" s="47" t="inlineStr">
        <is>
          <t>backup, media storage</t>
        </is>
      </c>
      <c r="T1498" s="0" t="inlineStr">
        <is>
          <t>in_stock</t>
        </is>
      </c>
      <c r="U1498" s="0" t="n">
        <v>60</v>
      </c>
      <c r="V1498" s="52" t="n">
        <v>198.99</v>
      </c>
      <c r="W1498" s="0" t="inlineStr">
        <is>
          <t>2026-09-06</t>
        </is>
      </c>
      <c r="X1498" s="0" t="inlineStr">
        <is>
          <t>N/A</t>
        </is>
      </c>
      <c r="Y1498" s="0" t="inlineStr">
        <is>
          <t>N/A</t>
        </is>
      </c>
      <c r="Z1498" s="0" t="inlineStr">
        <is>
          <t>N/A</t>
        </is>
      </c>
      <c r="AA1498" s="0" t="inlineStr">
        <is>
          <t>N/A</t>
        </is>
      </c>
    </row>
    <row r="1499" ht="15.75" customHeight="1" s="51">
      <c r="A1499" s="47" t="inlineStr">
        <is>
          <t>EIL-149-07</t>
        </is>
      </c>
      <c r="B1499" s="47" t="inlineStr">
        <is>
          <t>Eileithyia</t>
        </is>
      </c>
      <c r="C1499" s="47" t="inlineStr">
        <is>
          <t>Computer Hardware</t>
        </is>
      </c>
      <c r="D1499" s="47" t="inlineStr">
        <is>
          <t>Cooling</t>
        </is>
      </c>
      <c r="E1499" s="48" t="inlineStr">
        <is>
          <t>Eileithyia Wave 360mm AIO CPU Cooler</t>
        </is>
      </c>
      <c r="F1499" s="49" t="n">
        <v>264.99</v>
      </c>
      <c r="G1499" s="47" t="inlineStr">
        <is>
          <t>the Wave; Eileithyia Wave; Eileihtyia Wave; Wave cooling</t>
        </is>
      </c>
      <c r="H1499" s="47" t="inlineStr">
        <is>
          <t>6 year limited</t>
        </is>
      </c>
      <c r="I1499" s="47" t="inlineStr">
        <is>
          <t>FCC, CE, RoHS</t>
        </is>
      </c>
      <c r="J1499" s="47" t="inlineStr">
        <is>
          <t>N/A</t>
        </is>
      </c>
      <c r="K1499" s="47" t="inlineStr">
        <is>
          <t>N/A</t>
        </is>
      </c>
      <c r="L1499" s="47" t="inlineStr">
        <is>
          <t>IPS pump-head screen</t>
        </is>
      </c>
      <c r="M1499" s="47" t="inlineStr">
        <is>
          <t>480x480</t>
        </is>
      </c>
      <c r="N1499" s="47" t="inlineStr">
        <is>
          <t>3x 4-pin PWM fans, 3-pin pump header, ARGB 5V; LGA1700/LGA1851/AM5 mounts</t>
        </is>
      </c>
      <c r="O1499" s="47" t="inlineStr">
        <is>
          <t>N/A</t>
        </is>
      </c>
      <c r="P1499" s="47" t="inlineStr">
        <is>
          <t>N/A</t>
        </is>
      </c>
      <c r="Q1499" s="50" t="n">
        <v>1836</v>
      </c>
      <c r="R1499" s="47" t="inlineStr">
        <is>
          <t>Lighter than Apate Aria Ultra 360mm AIO CPU Cooler [APA-110-05] (1,836 g vs 1,987 g); Lower price than Atlas Arc Ultra 360mm AIO CPU Cooler [ATL-122-08] ($264.99 vs $274.99)</t>
        </is>
      </c>
      <c r="S1499" s="47" t="inlineStr">
        <is>
          <t>overclocking, gaming, quiet builds</t>
        </is>
      </c>
      <c r="T1499" s="0" t="inlineStr">
        <is>
          <t>in_stock</t>
        </is>
      </c>
      <c r="U1499" s="0" t="n">
        <v>60</v>
      </c>
      <c r="V1499" s="52" t="n">
        <v>283.99</v>
      </c>
      <c r="W1499" s="0" t="inlineStr">
        <is>
          <t>2026-08-26</t>
        </is>
      </c>
      <c r="X1499" s="0" t="inlineStr">
        <is>
          <t>N/A</t>
        </is>
      </c>
      <c r="Y1499" s="0" t="inlineStr">
        <is>
          <t>N/A</t>
        </is>
      </c>
      <c r="Z1499" s="0" t="inlineStr">
        <is>
          <t>N/A</t>
        </is>
      </c>
      <c r="AA1499" s="0" t="inlineStr">
        <is>
          <t>N/A</t>
        </is>
      </c>
    </row>
    <row r="1500" ht="15.75" customHeight="1" s="51">
      <c r="A1500" s="47" t="inlineStr">
        <is>
          <t>EIL-149-08</t>
        </is>
      </c>
      <c r="B1500" s="47" t="inlineStr">
        <is>
          <t>Eileithyia</t>
        </is>
      </c>
      <c r="C1500" s="47" t="inlineStr">
        <is>
          <t>Computer Hardware</t>
        </is>
      </c>
      <c r="D1500" s="47" t="inlineStr">
        <is>
          <t>Docking Station</t>
        </is>
      </c>
      <c r="E1500" s="48" t="inlineStr">
        <is>
          <t>Eileithyia Aria USB-C Docking Station</t>
        </is>
      </c>
      <c r="F1500" s="49" t="n">
        <v>321.99</v>
      </c>
      <c r="G1500" s="47" t="inlineStr">
        <is>
          <t>the Aria; Eileithyia Aria; Eilleithyia Aria; Aria docking station</t>
        </is>
      </c>
      <c r="H1500" s="47" t="inlineStr">
        <is>
          <t>2 year limited</t>
        </is>
      </c>
      <c r="I1500" s="47" t="inlineStr">
        <is>
          <t>FCC, CE, RoHS, USB-IF Certified, UL Listed</t>
        </is>
      </c>
      <c r="J1500" s="47" t="inlineStr">
        <is>
          <t>N/A</t>
        </is>
      </c>
      <c r="K1500" s="47" t="inlineStr">
        <is>
          <t>N/A</t>
        </is>
      </c>
      <c r="L1500" s="47" t="inlineStr">
        <is>
          <t>N/A</t>
        </is>
      </c>
      <c r="M1500" s="47" t="inlineStr">
        <is>
          <t>N/A</t>
        </is>
      </c>
      <c r="N1500" s="47" t="inlineStr">
        <is>
          <t>Thunderbolt 4 host, 2x HDMI 2.1, 4x USB-A, 3x USB-C, 2.5GbE, SD/microSD, 96W PD</t>
        </is>
      </c>
      <c r="O1500" s="47" t="inlineStr">
        <is>
          <t>N/A</t>
        </is>
      </c>
      <c r="P1500" s="47" t="inlineStr">
        <is>
          <t>N/A</t>
        </is>
      </c>
      <c r="Q1500" s="50" t="n">
        <v>368</v>
      </c>
      <c r="R1500" s="47" t="inlineStr">
        <is>
          <t>Lighter than Cronus Core USB-C Docking Station [CRO-105-07] (368 g vs 418 g); Lower price than Hymenaeus Sable X USB-C Docking Station [HYM-121-06] ($321.99 vs $325.99)</t>
        </is>
      </c>
      <c r="S1500" s="47" t="inlineStr">
        <is>
          <t>office, remote work, multi-monitor</t>
        </is>
      </c>
      <c r="T1500" s="0" t="inlineStr">
        <is>
          <t>low_stock</t>
        </is>
      </c>
      <c r="U1500" s="0" t="n">
        <v>60</v>
      </c>
      <c r="V1500" s="52" t="n">
        <v>340.99</v>
      </c>
      <c r="W1500" s="0" t="inlineStr">
        <is>
          <t>2026-08-20</t>
        </is>
      </c>
      <c r="X1500" s="0" t="inlineStr">
        <is>
          <t>N/A</t>
        </is>
      </c>
      <c r="Y1500" s="0" t="inlineStr">
        <is>
          <t>N/A</t>
        </is>
      </c>
      <c r="Z1500" s="0" t="inlineStr">
        <is>
          <t>N/A</t>
        </is>
      </c>
      <c r="AA1500" s="0" t="inlineStr">
        <is>
          <t>N/A</t>
        </is>
      </c>
    </row>
    <row r="1501" ht="15.75" customHeight="1" s="51">
      <c r="A1501" s="47" t="inlineStr">
        <is>
          <t>EIL-149-09</t>
        </is>
      </c>
      <c r="B1501" s="47" t="inlineStr">
        <is>
          <t>Eileithyia</t>
        </is>
      </c>
      <c r="C1501" s="47" t="inlineStr">
        <is>
          <t>Computer Hardware</t>
        </is>
      </c>
      <c r="D1501" s="47" t="inlineStr">
        <is>
          <t>Motherboard</t>
        </is>
      </c>
      <c r="E1501" s="48" t="inlineStr">
        <is>
          <t>Eileithyia Blaze Plus ATX Motherboard</t>
        </is>
      </c>
      <c r="F1501" s="49" t="n">
        <v>421.99</v>
      </c>
      <c r="G1501" s="47" t="inlineStr">
        <is>
          <t>the Blaze Plus; Eileithyia Blaze Plus; Eiliethyia Blaze Plus; Blaze Plus motherboard</t>
        </is>
      </c>
      <c r="H1501" s="47" t="inlineStr">
        <is>
          <t>3 year limited</t>
        </is>
      </c>
      <c r="I1501" s="47" t="inlineStr">
        <is>
          <t>FCC, CE, RoHS</t>
        </is>
      </c>
      <c r="J1501" s="47" t="inlineStr">
        <is>
          <t>Supports Intel Core 12th-14th Gen (LGA1700)</t>
        </is>
      </c>
      <c r="K1501" s="47" t="inlineStr">
        <is>
          <t>N/A</t>
        </is>
      </c>
      <c r="L1501" s="47" t="inlineStr">
        <is>
          <t>N/A</t>
        </is>
      </c>
      <c r="M1501" s="47" t="inlineStr">
        <is>
          <t>N/A</t>
        </is>
      </c>
      <c r="N1501" s="47" t="inlineStr">
        <is>
          <t>Rear I/O: 1x HDMI, 1x DisplayPort, 8x USB-A, 2x USB-C 20Gbps, 2.5GbE, Wi-Fi 7</t>
        </is>
      </c>
      <c r="O1501" s="47" t="inlineStr">
        <is>
          <t>N/A</t>
        </is>
      </c>
      <c r="P1501" s="47" t="inlineStr">
        <is>
          <t>N/A</t>
        </is>
      </c>
      <c r="Q1501" s="50" t="n">
        <v>1516</v>
      </c>
      <c r="R1501" s="47" t="inlineStr">
        <is>
          <t>Lighter than Pheme Axis Lite ATX Motherboard [PHE-102-09] (1,516 g vs 1,785 g); Lower price than Bia Nimbus Air ATX Motherboard [BIA-107-10] ($421.99 vs $578.99)</t>
        </is>
      </c>
      <c r="S1501" s="47" t="inlineStr">
        <is>
          <t>PC building, gaming, workstation builds</t>
        </is>
      </c>
      <c r="T1501" s="0" t="inlineStr">
        <is>
          <t>low_stock</t>
        </is>
      </c>
      <c r="U1501" s="0" t="n">
        <v>60</v>
      </c>
      <c r="V1501" s="52" t="n">
        <v>465.99</v>
      </c>
      <c r="W1501" s="0" t="inlineStr">
        <is>
          <t>2026-09-22</t>
        </is>
      </c>
      <c r="X1501" s="0" t="inlineStr">
        <is>
          <t>N/A</t>
        </is>
      </c>
      <c r="Y1501" s="0" t="inlineStr">
        <is>
          <t>N/A</t>
        </is>
      </c>
      <c r="Z1501" s="0" t="inlineStr">
        <is>
          <t>N/A</t>
        </is>
      </c>
      <c r="AA1501" s="0" t="inlineStr">
        <is>
          <t>N/A</t>
        </is>
      </c>
    </row>
    <row r="1502" ht="15.75" customHeight="1" s="51">
      <c r="A1502" s="47" t="inlineStr">
        <is>
          <t>EIL-149-10</t>
        </is>
      </c>
      <c r="B1502" s="47" t="inlineStr">
        <is>
          <t>Eileithyia</t>
        </is>
      </c>
      <c r="C1502" s="47" t="inlineStr">
        <is>
          <t>Computer Hardware</t>
        </is>
      </c>
      <c r="D1502" s="47" t="inlineStr">
        <is>
          <t>Graphics Card</t>
        </is>
      </c>
      <c r="E1502" s="48" t="inlineStr">
        <is>
          <t>Eileithyia Aria Max Graphics Card</t>
        </is>
      </c>
      <c r="F1502" s="49" t="n">
        <v>689.99</v>
      </c>
      <c r="G1502" s="47" t="inlineStr">
        <is>
          <t>the Aria Max; Eileithyia Aria Max; Eileithyiaa Aria Max; Aria Max graphics card</t>
        </is>
      </c>
      <c r="H1502" s="47" t="inlineStr">
        <is>
          <t>3 year limited</t>
        </is>
      </c>
      <c r="I1502" s="47" t="inlineStr">
        <is>
          <t>FCC, CE, RoHS</t>
        </is>
      </c>
      <c r="J1502" s="47" t="inlineStr">
        <is>
          <t>N/A</t>
        </is>
      </c>
      <c r="K1502" s="47" t="inlineStr">
        <is>
          <t>NVIDIA GeForce RTX 4070 Ti Super 16GB (Eileithyia Aria edition)</t>
        </is>
      </c>
      <c r="L1502" s="47" t="inlineStr">
        <is>
          <t>N/A</t>
        </is>
      </c>
      <c r="M1502" s="47" t="inlineStr">
        <is>
          <t>N/A</t>
        </is>
      </c>
      <c r="N1502" s="47" t="inlineStr">
        <is>
          <t>3x DisplayPort 1.4a, 1x HDMI 2.1a</t>
        </is>
      </c>
      <c r="O1502" s="47" t="inlineStr">
        <is>
          <t>N/A</t>
        </is>
      </c>
      <c r="P1502" s="47" t="inlineStr">
        <is>
          <t>N/A</t>
        </is>
      </c>
      <c r="Q1502" s="50" t="n">
        <v>2064</v>
      </c>
      <c r="R1502" s="47" t="inlineStr">
        <is>
          <t>Lower price than Apate Apex Graphics Card [APA-110-10] ($689.99 vs $1,673.99); Lighter than Phoebe Orbit Max Graphics Card [PHO-143-10] (2,064 g vs 2,131 g)</t>
        </is>
      </c>
      <c r="S1502" s="47" t="inlineStr">
        <is>
          <t>gaming, 3D rendering, AI workloads</t>
        </is>
      </c>
      <c r="T1502" s="0" t="inlineStr">
        <is>
          <t>in_stock</t>
        </is>
      </c>
      <c r="U1502" s="0" t="n">
        <v>60</v>
      </c>
      <c r="V1502" s="52" t="n">
        <v>730.99</v>
      </c>
      <c r="W1502" s="0" t="inlineStr">
        <is>
          <t>2026-08-20</t>
        </is>
      </c>
      <c r="X1502" s="0" t="inlineStr">
        <is>
          <t>N/A</t>
        </is>
      </c>
      <c r="Y1502" s="0" t="inlineStr">
        <is>
          <t>N/A</t>
        </is>
      </c>
      <c r="Z1502" s="0" t="inlineStr">
        <is>
          <t>N/A</t>
        </is>
      </c>
      <c r="AA1502" s="0" t="inlineStr">
        <is>
          <t>N/A</t>
        </is>
      </c>
    </row>
    <row r="1503" ht="15.75" customHeight="1" s="51">
      <c r="A1503" s="47" t="inlineStr">
        <is>
          <t>ART-150-01</t>
        </is>
      </c>
      <c r="B1503" s="47" t="inlineStr">
        <is>
          <t>Artemis</t>
        </is>
      </c>
      <c r="C1503" s="47" t="inlineStr">
        <is>
          <t>Computer Hardware</t>
        </is>
      </c>
      <c r="D1503" s="47" t="inlineStr">
        <is>
          <t>Memory</t>
        </is>
      </c>
      <c r="E1503" s="48" t="inlineStr">
        <is>
          <t>Artemis Wave Plus 32GB DDR5 RAM Kit</t>
        </is>
      </c>
      <c r="F1503" s="49" t="n">
        <v>98.98999999999999</v>
      </c>
      <c r="G1503" s="47" t="inlineStr">
        <is>
          <t>the Wave Plus; Artemis Wave Plus; Artmeis Wave Plus; Wave Plus memory</t>
        </is>
      </c>
      <c r="H1503" s="47" t="inlineStr">
        <is>
          <t>Limited lifetime</t>
        </is>
      </c>
      <c r="I1503" s="47" t="inlineStr">
        <is>
          <t>FCC, CE, RoHS</t>
        </is>
      </c>
      <c r="J1503" s="47" t="inlineStr">
        <is>
          <t>N/A</t>
        </is>
      </c>
      <c r="K1503" s="47" t="inlineStr">
        <is>
          <t>N/A</t>
        </is>
      </c>
      <c r="L1503" s="47" t="inlineStr">
        <is>
          <t>N/A</t>
        </is>
      </c>
      <c r="M1503" s="47" t="inlineStr">
        <is>
          <t>N/A</t>
        </is>
      </c>
      <c r="N1503" s="47" t="inlineStr">
        <is>
          <t>2x 16GB DDR5 288-pin DIMM, 5200 MT/s</t>
        </is>
      </c>
      <c r="O1503" s="47" t="inlineStr">
        <is>
          <t>N/A</t>
        </is>
      </c>
      <c r="P1503" s="47" t="inlineStr">
        <is>
          <t>N/A</t>
        </is>
      </c>
      <c r="Q1503" s="50" t="n">
        <v>76</v>
      </c>
      <c r="R1503" s="47" t="inlineStr">
        <is>
          <t>Lower price than Uranus Core Max 32GB DDR5 RAM Kit [URA-113-03] ($98.99 vs $148.99); Lighter than Hades Halo Plus 32GB DDR5 RAM Kit [HAD-119-07] (76 g vs 87 g)</t>
        </is>
      </c>
      <c r="S1503" s="47" t="inlineStr">
        <is>
          <t>gaming, multitasking, PC building</t>
        </is>
      </c>
      <c r="T1503" s="0" t="inlineStr">
        <is>
          <t>out_of_stock</t>
        </is>
      </c>
      <c r="U1503" s="0" t="n">
        <v>30</v>
      </c>
      <c r="V1503" s="52" t="n">
        <v>104.99</v>
      </c>
      <c r="W1503" s="0" t="inlineStr">
        <is>
          <t>2026-09-04</t>
        </is>
      </c>
      <c r="X1503" s="0" t="inlineStr">
        <is>
          <t>N/A</t>
        </is>
      </c>
      <c r="Y1503" s="0" t="inlineStr">
        <is>
          <t>N/A</t>
        </is>
      </c>
      <c r="Z1503" s="0" t="inlineStr">
        <is>
          <t>N/A</t>
        </is>
      </c>
      <c r="AA1503" s="0" t="inlineStr">
        <is>
          <t>N/A</t>
        </is>
      </c>
    </row>
    <row r="1504" ht="15.75" customHeight="1" s="51">
      <c r="A1504" s="47" t="inlineStr">
        <is>
          <t>ART-150-02</t>
        </is>
      </c>
      <c r="B1504" s="47" t="inlineStr">
        <is>
          <t>Artemis</t>
        </is>
      </c>
      <c r="C1504" s="47" t="inlineStr">
        <is>
          <t>Computer Hardware</t>
        </is>
      </c>
      <c r="D1504" s="47" t="inlineStr">
        <is>
          <t>Keyboard</t>
        </is>
      </c>
      <c r="E1504" s="48" t="inlineStr">
        <is>
          <t>Artemis Volt Plus Mechanical Keyboard</t>
        </is>
      </c>
      <c r="F1504" s="49" t="n">
        <v>120.99</v>
      </c>
      <c r="G1504" s="47" t="inlineStr">
        <is>
          <t>the Volt Plus; Artemis Volt Plus; Atremis Volt Plus; Volt Plus keyboard</t>
        </is>
      </c>
      <c r="H1504" s="47" t="inlineStr">
        <is>
          <t>2 year limited</t>
        </is>
      </c>
      <c r="I1504" s="47" t="inlineStr">
        <is>
          <t>FCC, CE, RoHS, Bluetooth SIG Qualified</t>
        </is>
      </c>
      <c r="J1504" s="47" t="inlineStr">
        <is>
          <t>N/A</t>
        </is>
      </c>
      <c r="K1504" s="47" t="inlineStr">
        <is>
          <t>N/A</t>
        </is>
      </c>
      <c r="L1504" s="47" t="inlineStr">
        <is>
          <t>N/A</t>
        </is>
      </c>
      <c r="M1504" s="47" t="inlineStr">
        <is>
          <t>N/A</t>
        </is>
      </c>
      <c r="N1504" s="47" t="inlineStr">
        <is>
          <t>USB-C, 2.4GHz dongle, Bluetooth 5.1</t>
        </is>
      </c>
      <c r="O1504" s="47" t="inlineStr">
        <is>
          <t>N/A</t>
        </is>
      </c>
      <c r="P1504" s="47" t="n">
        <v>256</v>
      </c>
      <c r="Q1504" s="50" t="n">
        <v>993</v>
      </c>
      <c r="R1504" s="47" t="inlineStr">
        <is>
          <t>Lower price than Ares Vibe Mechanical Keyboard [ARE-140-03] ($120.99 vs $146.99); Longer battery than Kairos Vibe Mechanical Keyboard [KAI-142-08] (256 vs 237 hrs)</t>
        </is>
      </c>
      <c r="S1504" s="47" t="inlineStr">
        <is>
          <t>gaming, typing, office</t>
        </is>
      </c>
      <c r="T1504" s="0" t="inlineStr">
        <is>
          <t>in_stock</t>
        </is>
      </c>
      <c r="U1504" s="0" t="n">
        <v>30</v>
      </c>
      <c r="V1504" s="52" t="n">
        <v>131.99</v>
      </c>
      <c r="W1504" s="0" t="inlineStr">
        <is>
          <t>2026-08-10</t>
        </is>
      </c>
      <c r="X1504" s="0" t="inlineStr">
        <is>
          <t>N/A</t>
        </is>
      </c>
      <c r="Y1504" s="0" t="inlineStr">
        <is>
          <t>N/A</t>
        </is>
      </c>
      <c r="Z1504" s="0" t="inlineStr">
        <is>
          <t>N/A</t>
        </is>
      </c>
      <c r="AA1504" s="0" t="inlineStr">
        <is>
          <t>N/A</t>
        </is>
      </c>
    </row>
    <row r="1505" ht="15.75" customHeight="1" s="51">
      <c r="A1505" s="47" t="inlineStr">
        <is>
          <t>ART-150-03</t>
        </is>
      </c>
      <c r="B1505" s="47" t="inlineStr">
        <is>
          <t>Artemis</t>
        </is>
      </c>
      <c r="C1505" s="47" t="inlineStr">
        <is>
          <t>Computer Hardware</t>
        </is>
      </c>
      <c r="D1505" s="47" t="inlineStr">
        <is>
          <t>Mouse</t>
        </is>
      </c>
      <c r="E1505" s="48" t="inlineStr">
        <is>
          <t>Artemis Strata Gaming Mouse</t>
        </is>
      </c>
      <c r="F1505" s="49" t="n">
        <v>121.99</v>
      </c>
      <c r="G1505" s="47" t="inlineStr">
        <is>
          <t>the Strata; Artemis Strata; Arteemis Strata; Strata mouse</t>
        </is>
      </c>
      <c r="H1505" s="47" t="inlineStr">
        <is>
          <t>2 year limited</t>
        </is>
      </c>
      <c r="I1505" s="47" t="inlineStr">
        <is>
          <t>FCC, CE, RoHS, Bluetooth SIG Qualified</t>
        </is>
      </c>
      <c r="J1505" s="47" t="inlineStr">
        <is>
          <t>Sensor: 30K DPI optical</t>
        </is>
      </c>
      <c r="K1505" s="47" t="inlineStr">
        <is>
          <t>N/A</t>
        </is>
      </c>
      <c r="L1505" s="47" t="inlineStr">
        <is>
          <t>N/A</t>
        </is>
      </c>
      <c r="M1505" s="47" t="inlineStr">
        <is>
          <t>N/A</t>
        </is>
      </c>
      <c r="N1505" s="47" t="inlineStr">
        <is>
          <t>USB-C, 2.4GHz dongle, Bluetooth 5.1</t>
        </is>
      </c>
      <c r="O1505" s="47" t="inlineStr">
        <is>
          <t>N/A</t>
        </is>
      </c>
      <c r="P1505" s="47" t="n">
        <v>100</v>
      </c>
      <c r="Q1505" s="50" t="n">
        <v>57</v>
      </c>
      <c r="R1505" s="47" t="inlineStr">
        <is>
          <t>Lighter than Palaemon Arc Air Gaming Mouse [PAL-127-03] (57 g vs 71 g); Lower price than Zelus Core SE Gaming Mouse [ZEL-137-04] ($121.99 vs $150.99)</t>
        </is>
      </c>
      <c r="S1505" s="47" t="inlineStr">
        <is>
          <t>gaming, esports</t>
        </is>
      </c>
      <c r="T1505" s="0" t="inlineStr">
        <is>
          <t>in_stock</t>
        </is>
      </c>
      <c r="U1505" s="0" t="n">
        <v>30</v>
      </c>
      <c r="V1505" s="52" t="n">
        <v>135.99</v>
      </c>
      <c r="W1505" s="0" t="inlineStr">
        <is>
          <t>2026-08-16</t>
        </is>
      </c>
      <c r="X1505" s="0" t="inlineStr">
        <is>
          <t>N/A</t>
        </is>
      </c>
      <c r="Y1505" s="0" t="inlineStr">
        <is>
          <t>N/A</t>
        </is>
      </c>
      <c r="Z1505" s="0" t="inlineStr">
        <is>
          <t>N/A</t>
        </is>
      </c>
      <c r="AA1505" s="0" t="inlineStr">
        <is>
          <t>N/A</t>
        </is>
      </c>
    </row>
    <row r="1506" ht="15.75" customHeight="1" s="51">
      <c r="A1506" s="47" t="inlineStr">
        <is>
          <t>ART-150-04</t>
        </is>
      </c>
      <c r="B1506" s="47" t="inlineStr">
        <is>
          <t>Artemis</t>
        </is>
      </c>
      <c r="C1506" s="47" t="inlineStr">
        <is>
          <t>Computer Hardware</t>
        </is>
      </c>
      <c r="D1506" s="47" t="inlineStr">
        <is>
          <t>PC Case</t>
        </is>
      </c>
      <c r="E1506" s="48" t="inlineStr">
        <is>
          <t>Artemis Aeon Lite Mid-Tower PC Case</t>
        </is>
      </c>
      <c r="F1506" s="49" t="n">
        <v>131.99</v>
      </c>
      <c r="G1506" s="47" t="inlineStr">
        <is>
          <t>the Aeon Lite; Artemis Aeon Lite; Artemi Aeon Lite; Aeon Lite pc case</t>
        </is>
      </c>
      <c r="H1506" s="47" t="inlineStr">
        <is>
          <t>2 year limited</t>
        </is>
      </c>
      <c r="I1506" s="47" t="inlineStr">
        <is>
          <t>FCC, CE, RoHS, UL 94 V-0 (materials)</t>
        </is>
      </c>
      <c r="J1506" s="47" t="inlineStr">
        <is>
          <t>N/A</t>
        </is>
      </c>
      <c r="K1506" s="47" t="inlineStr">
        <is>
          <t>N/A</t>
        </is>
      </c>
      <c r="L1506" s="47" t="inlineStr">
        <is>
          <t>N/A</t>
        </is>
      </c>
      <c r="M1506" s="47" t="inlineStr">
        <is>
          <t>N/A</t>
        </is>
      </c>
      <c r="N1506" s="47" t="inlineStr">
        <is>
          <t>Front I/O: 1x USB-C 10Gbps, 2x USB-A 3.0, 3.5mm combo audio</t>
        </is>
      </c>
      <c r="O1506" s="47" t="inlineStr">
        <is>
          <t>N/A</t>
        </is>
      </c>
      <c r="P1506" s="47" t="inlineStr">
        <is>
          <t>N/A</t>
        </is>
      </c>
      <c r="Q1506" s="50" t="n">
        <v>7034</v>
      </c>
      <c r="R1506" s="47" t="inlineStr">
        <is>
          <t>Lighter than Astraeus Blaze Pro Mid-Tower PC Case [AST-146-02] (7,034 g vs 8,422 g); Lower price than Harmonia Pulse SE Mid-Tower PC Case [HAR-106-04] ($131.99 vs $150.99)</t>
        </is>
      </c>
      <c r="S1506" s="47" t="inlineStr">
        <is>
          <t>PC building, gaming</t>
        </is>
      </c>
      <c r="T1506" s="0" t="inlineStr">
        <is>
          <t>in_stock</t>
        </is>
      </c>
      <c r="U1506" s="0" t="n">
        <v>30</v>
      </c>
      <c r="V1506" s="52" t="n">
        <v>142.99</v>
      </c>
      <c r="W1506" s="0" t="inlineStr">
        <is>
          <t>2026-08-09</t>
        </is>
      </c>
      <c r="X1506" s="0" t="inlineStr">
        <is>
          <t>N/A</t>
        </is>
      </c>
      <c r="Y1506" s="0" t="inlineStr">
        <is>
          <t>N/A</t>
        </is>
      </c>
      <c r="Z1506" s="0" t="inlineStr">
        <is>
          <t>N/A</t>
        </is>
      </c>
      <c r="AA1506" s="0" t="inlineStr">
        <is>
          <t>N/A</t>
        </is>
      </c>
    </row>
    <row r="1507" ht="15.75" customHeight="1" s="51">
      <c r="A1507" s="47" t="inlineStr">
        <is>
          <t>ART-150-05</t>
        </is>
      </c>
      <c r="B1507" s="47" t="inlineStr">
        <is>
          <t>Artemis</t>
        </is>
      </c>
      <c r="C1507" s="47" t="inlineStr">
        <is>
          <t>Computer Hardware</t>
        </is>
      </c>
      <c r="D1507" s="47" t="inlineStr">
        <is>
          <t>Webcam</t>
        </is>
      </c>
      <c r="E1507" s="48" t="inlineStr">
        <is>
          <t>Artemis Drift X 4K Webcam</t>
        </is>
      </c>
      <c r="F1507" s="49" t="n">
        <v>155.99</v>
      </c>
      <c r="G1507" s="47" t="inlineStr">
        <is>
          <t>the Drift X; Artemis Drift X; Artemi Drift X; Drift X webcam</t>
        </is>
      </c>
      <c r="H1507" s="47" t="inlineStr">
        <is>
          <t>2 year limited</t>
        </is>
      </c>
      <c r="I1507" s="47" t="inlineStr">
        <is>
          <t>FCC, CE, RoHS, USB-IF Certified</t>
        </is>
      </c>
      <c r="J1507" s="47" t="inlineStr">
        <is>
          <t>N/A</t>
        </is>
      </c>
      <c r="K1507" s="47" t="inlineStr">
        <is>
          <t>N/A</t>
        </is>
      </c>
      <c r="L1507" s="47" t="inlineStr">
        <is>
          <t>N/A</t>
        </is>
      </c>
      <c r="M1507" s="47" t="inlineStr">
        <is>
          <t>3840x2160 @ 30fps, 1080p @ 60fps</t>
        </is>
      </c>
      <c r="N1507" s="47" t="inlineStr">
        <is>
          <t>USB-C (USB 3.0)</t>
        </is>
      </c>
      <c r="O1507" s="47" t="inlineStr">
        <is>
          <t>N/A</t>
        </is>
      </c>
      <c r="P1507" s="47" t="inlineStr">
        <is>
          <t>N/A</t>
        </is>
      </c>
      <c r="Q1507" s="50" t="n">
        <v>128</v>
      </c>
      <c r="R1507" s="47" t="inlineStr">
        <is>
          <t>Lower price than Cronus Quanta SE 4K Webcam [CRO-105-06] ($155.99 vs $203.99); Lighter than Euterpe Zen SE 4K Webcam [EUT-120-04] (128 g vs 172 g)</t>
        </is>
      </c>
      <c r="S1507" s="47" t="inlineStr">
        <is>
          <t>video calls, streaming, remote work</t>
        </is>
      </c>
      <c r="T1507" s="0" t="inlineStr">
        <is>
          <t>in_stock</t>
        </is>
      </c>
      <c r="U1507" s="0" t="n">
        <v>30</v>
      </c>
      <c r="V1507" s="52" t="n">
        <v>165.99</v>
      </c>
      <c r="W1507" s="0" t="inlineStr">
        <is>
          <t>2026-08-08</t>
        </is>
      </c>
      <c r="X1507" s="0" t="inlineStr">
        <is>
          <t>N/A</t>
        </is>
      </c>
      <c r="Y1507" s="0" t="inlineStr">
        <is>
          <t>N/A</t>
        </is>
      </c>
      <c r="Z1507" s="0" t="inlineStr">
        <is>
          <t>N/A</t>
        </is>
      </c>
      <c r="AA1507" s="0" t="inlineStr">
        <is>
          <t>N/A</t>
        </is>
      </c>
    </row>
    <row r="1508" ht="15.75" customHeight="1" s="51">
      <c r="A1508" s="47" t="inlineStr">
        <is>
          <t>ART-150-06</t>
        </is>
      </c>
      <c r="B1508" s="47" t="inlineStr">
        <is>
          <t>Artemis</t>
        </is>
      </c>
      <c r="C1508" s="47" t="inlineStr">
        <is>
          <t>Computer Hardware</t>
        </is>
      </c>
      <c r="D1508" s="47" t="inlineStr">
        <is>
          <t>Storage</t>
        </is>
      </c>
      <c r="E1508" s="48" t="inlineStr">
        <is>
          <t>Artemis Prism Max 4TB External Hard Drive</t>
        </is>
      </c>
      <c r="F1508" s="49" t="n">
        <v>171.99</v>
      </c>
      <c r="G1508" s="47" t="inlineStr">
        <is>
          <t>the Prism Max; Artemis Prism Max; Artmeis Prism Max; Prism Max storage</t>
        </is>
      </c>
      <c r="H1508" s="47" t="inlineStr">
        <is>
          <t>2 year limited</t>
        </is>
      </c>
      <c r="I1508" s="47" t="inlineStr">
        <is>
          <t>FCC, CE, RoHS, USB-IF Certified</t>
        </is>
      </c>
      <c r="J1508" s="47" t="inlineStr">
        <is>
          <t>N/A</t>
        </is>
      </c>
      <c r="K1508" s="47" t="inlineStr">
        <is>
          <t>N/A</t>
        </is>
      </c>
      <c r="L1508" s="47" t="inlineStr">
        <is>
          <t>N/A</t>
        </is>
      </c>
      <c r="M1508" s="47" t="inlineStr">
        <is>
          <t>N/A</t>
        </is>
      </c>
      <c r="N1508" s="47" t="inlineStr">
        <is>
          <t>USB-C (USB 3.2 Gen 1)</t>
        </is>
      </c>
      <c r="O1508" s="47" t="inlineStr">
        <is>
          <t>N/A</t>
        </is>
      </c>
      <c r="P1508" s="47" t="inlineStr">
        <is>
          <t>N/A</t>
        </is>
      </c>
      <c r="Q1508" s="50" t="n">
        <v>202</v>
      </c>
      <c r="R1508" s="47" t="inlineStr">
        <is>
          <t>Lighter than Eros Zen Plus 4TB External Hard Drive [ERO-134-05] (202 g vs 223 g); Lower price than Uranus Strata X 4TB External Hard Drive [URA-113-07] ($171.99 vs $191.99)</t>
        </is>
      </c>
      <c r="S1508" s="47" t="inlineStr">
        <is>
          <t>backup, media storage</t>
        </is>
      </c>
      <c r="T1508" s="0" t="inlineStr">
        <is>
          <t>in_stock</t>
        </is>
      </c>
      <c r="U1508" s="0" t="n">
        <v>30</v>
      </c>
      <c r="V1508" s="52" t="n">
        <v>186.99</v>
      </c>
      <c r="W1508" s="0" t="inlineStr">
        <is>
          <t>2026-08-15</t>
        </is>
      </c>
      <c r="X1508" s="0" t="inlineStr">
        <is>
          <t>N/A</t>
        </is>
      </c>
      <c r="Y1508" s="0" t="inlineStr">
        <is>
          <t>N/A</t>
        </is>
      </c>
      <c r="Z1508" s="0" t="inlineStr">
        <is>
          <t>N/A</t>
        </is>
      </c>
      <c r="AA1508" s="0" t="inlineStr">
        <is>
          <t>N/A</t>
        </is>
      </c>
    </row>
    <row r="1509" ht="15.75" customHeight="1" s="51">
      <c r="A1509" s="47" t="inlineStr">
        <is>
          <t>ART-150-07</t>
        </is>
      </c>
      <c r="B1509" s="47" t="inlineStr">
        <is>
          <t>Artemis</t>
        </is>
      </c>
      <c r="C1509" s="47" t="inlineStr">
        <is>
          <t>Computer Hardware</t>
        </is>
      </c>
      <c r="D1509" s="47" t="inlineStr">
        <is>
          <t>Power Supply</t>
        </is>
      </c>
      <c r="E1509" s="48" t="inlineStr">
        <is>
          <t>Artemis Spark Ultra 850W Power Supply</t>
        </is>
      </c>
      <c r="F1509" s="49" t="n">
        <v>218.99</v>
      </c>
      <c r="G1509" s="47" t="inlineStr">
        <is>
          <t>the Spark Ultra; Artemis Spark Ultra; Arrtemis Spark Ultra; Spark Ultra power supply</t>
        </is>
      </c>
      <c r="H1509" s="47" t="inlineStr">
        <is>
          <t>7 year limited</t>
        </is>
      </c>
      <c r="I1509" s="47" t="inlineStr">
        <is>
          <t>FCC, CE, RoHS, 80 PLUS Titanium, UL Listed</t>
        </is>
      </c>
      <c r="J1509" s="47" t="inlineStr">
        <is>
          <t>N/A</t>
        </is>
      </c>
      <c r="K1509" s="47" t="inlineStr">
        <is>
          <t>N/A</t>
        </is>
      </c>
      <c r="L1509" s="47" t="inlineStr">
        <is>
          <t>N/A</t>
        </is>
      </c>
      <c r="M1509" s="47" t="inlineStr">
        <is>
          <t>N/A</t>
        </is>
      </c>
      <c r="N1509" s="47" t="inlineStr">
        <is>
          <t>ATX 3.1, native 12V-2x6 (600W) connector, fully modular</t>
        </is>
      </c>
      <c r="O1509" s="47" t="inlineStr">
        <is>
          <t>N/A</t>
        </is>
      </c>
      <c r="P1509" s="47" t="inlineStr">
        <is>
          <t>N/A</t>
        </is>
      </c>
      <c r="Q1509" s="50" t="n">
        <v>2209</v>
      </c>
      <c r="R1509" s="47" t="inlineStr">
        <is>
          <t>Lower price than Perses Aria 850W Power Supply [PER-101-06] ($218.99 vs $224.99); Lighter than Hermes Wave Air 850W Power Supply [HER-103-06] (2,209 g vs 2,215 g)</t>
        </is>
      </c>
      <c r="S1509" s="47" t="inlineStr">
        <is>
          <t>PC building, high-end gaming</t>
        </is>
      </c>
      <c r="T1509" s="0" t="inlineStr">
        <is>
          <t>out_of_stock</t>
        </is>
      </c>
      <c r="U1509" s="0" t="n">
        <v>30</v>
      </c>
      <c r="V1509" s="52" t="n">
        <v>228.99</v>
      </c>
      <c r="W1509" s="0" t="inlineStr">
        <is>
          <t>2026-09-14</t>
        </is>
      </c>
      <c r="X1509" s="0" t="inlineStr">
        <is>
          <t>N/A</t>
        </is>
      </c>
      <c r="Y1509" s="0" t="inlineStr">
        <is>
          <t>N/A</t>
        </is>
      </c>
      <c r="Z1509" s="0" t="inlineStr">
        <is>
          <t>N/A</t>
        </is>
      </c>
      <c r="AA1509" s="0" t="inlineStr">
        <is>
          <t>N/A</t>
        </is>
      </c>
    </row>
    <row r="1510" ht="15.75" customHeight="1" s="51">
      <c r="A1510" s="47" t="inlineStr">
        <is>
          <t>ART-150-08</t>
        </is>
      </c>
      <c r="B1510" s="47" t="inlineStr">
        <is>
          <t>Artemis</t>
        </is>
      </c>
      <c r="C1510" s="47" t="inlineStr">
        <is>
          <t>Computer Hardware</t>
        </is>
      </c>
      <c r="D1510" s="47" t="inlineStr">
        <is>
          <t>Motherboard</t>
        </is>
      </c>
      <c r="E1510" s="48" t="inlineStr">
        <is>
          <t>Artemis Zen Plus ATX Motherboard</t>
        </is>
      </c>
      <c r="F1510" s="49" t="n">
        <v>264.99</v>
      </c>
      <c r="G1510" s="47" t="inlineStr">
        <is>
          <t>the Zen Plus; Artemis Zen Plus; Arrtemis Zen Plus; Zen Plus motherboard</t>
        </is>
      </c>
      <c r="H1510" s="47" t="inlineStr">
        <is>
          <t>3 year limited</t>
        </is>
      </c>
      <c r="I1510" s="47" t="inlineStr">
        <is>
          <t>FCC, CE, RoHS</t>
        </is>
      </c>
      <c r="J1510" s="47" t="inlineStr">
        <is>
          <t>Supports Intel Core Ultra 200S (LGA1851)</t>
        </is>
      </c>
      <c r="K1510" s="47" t="inlineStr">
        <is>
          <t>N/A</t>
        </is>
      </c>
      <c r="L1510" s="47" t="inlineStr">
        <is>
          <t>N/A</t>
        </is>
      </c>
      <c r="M1510" s="47" t="inlineStr">
        <is>
          <t>N/A</t>
        </is>
      </c>
      <c r="N1510" s="47" t="inlineStr">
        <is>
          <t>Rear I/O: 1x HDMI, 6x USB-A, 1x USB-C 10Gbps, 2.5GbE, Wi-Fi 6E</t>
        </is>
      </c>
      <c r="O1510" s="47" t="inlineStr">
        <is>
          <t>N/A</t>
        </is>
      </c>
      <c r="P1510" s="47" t="inlineStr">
        <is>
          <t>N/A</t>
        </is>
      </c>
      <c r="Q1510" s="50" t="n">
        <v>1751</v>
      </c>
      <c r="R1510" s="47" t="inlineStr">
        <is>
          <t>Lower price than Eurybia Pulse ATX Motherboard [EUR-104-09] ($264.99 vs $516.99); Lighter than Gaia Nimbus X ATX Motherboard [GAI-125-06] (1,751 g vs 1,780 g)</t>
        </is>
      </c>
      <c r="S1510" s="47" t="inlineStr">
        <is>
          <t>PC building, gaming, workstation builds</t>
        </is>
      </c>
      <c r="T1510" s="0" t="inlineStr">
        <is>
          <t>in_stock</t>
        </is>
      </c>
      <c r="U1510" s="0" t="n">
        <v>30</v>
      </c>
      <c r="V1510" s="52" t="n">
        <v>286.99</v>
      </c>
      <c r="W1510" s="0" t="inlineStr">
        <is>
          <t>2026-08-03</t>
        </is>
      </c>
      <c r="X1510" s="0" t="inlineStr">
        <is>
          <t>N/A</t>
        </is>
      </c>
      <c r="Y1510" s="0" t="inlineStr">
        <is>
          <t>N/A</t>
        </is>
      </c>
      <c r="Z1510" s="0" t="inlineStr">
        <is>
          <t>N/A</t>
        </is>
      </c>
      <c r="AA1510" s="0" t="inlineStr">
        <is>
          <t>N/A</t>
        </is>
      </c>
    </row>
    <row r="1511" ht="15.75" customHeight="1" s="51">
      <c r="A1511" s="47" t="inlineStr">
        <is>
          <t>ART-150-09</t>
        </is>
      </c>
      <c r="B1511" s="47" t="inlineStr">
        <is>
          <t>Artemis</t>
        </is>
      </c>
      <c r="C1511" s="47" t="inlineStr">
        <is>
          <t>Computer Hardware</t>
        </is>
      </c>
      <c r="D1511" s="47" t="inlineStr">
        <is>
          <t>Processor</t>
        </is>
      </c>
      <c r="E1511" s="48" t="inlineStr">
        <is>
          <t>Artemis Drift Plus Desktop CPU</t>
        </is>
      </c>
      <c r="F1511" s="49" t="n">
        <v>299.99</v>
      </c>
      <c r="G1511" s="47" t="inlineStr">
        <is>
          <t>the Drift Plus; Artemis Drift Plus; Atremis Drift Plus; Drift Plus processor</t>
        </is>
      </c>
      <c r="H1511" s="47" t="inlineStr">
        <is>
          <t>3 year limited</t>
        </is>
      </c>
      <c r="I1511" s="47" t="inlineStr">
        <is>
          <t>FCC, CE, RoHS</t>
        </is>
      </c>
      <c r="J1511" s="47" t="inlineStr">
        <is>
          <t>Artemis Drift 8-core / 16-thread, up to 5.0 GHz</t>
        </is>
      </c>
      <c r="K1511" s="47" t="inlineStr">
        <is>
          <t>None (discrete GPU required)</t>
        </is>
      </c>
      <c r="L1511" s="47" t="inlineStr">
        <is>
          <t>N/A</t>
        </is>
      </c>
      <c r="M1511" s="47" t="inlineStr">
        <is>
          <t>N/A</t>
        </is>
      </c>
      <c r="N1511" s="47" t="inlineStr">
        <is>
          <t>N/A</t>
        </is>
      </c>
      <c r="O1511" s="47" t="inlineStr">
        <is>
          <t>N/A</t>
        </is>
      </c>
      <c r="P1511" s="47" t="inlineStr">
        <is>
          <t>N/A</t>
        </is>
      </c>
      <c r="Q1511" s="50" t="n">
        <v>50</v>
      </c>
      <c r="R1511" s="47" t="inlineStr">
        <is>
          <t>Lower price than Hyperion Volt Desktop CPU [HYP-123-09] ($299.99 vs $477.99); Lighter than Aidos Onyx X Desktop CPU [AID-135-09] (50 g vs 55 g)</t>
        </is>
      </c>
      <c r="S1511" s="47" t="inlineStr">
        <is>
          <t>gaming, content creation, workstation builds</t>
        </is>
      </c>
      <c r="T1511" s="0" t="inlineStr">
        <is>
          <t>in_stock</t>
        </is>
      </c>
      <c r="U1511" s="0" t="n">
        <v>30</v>
      </c>
      <c r="V1511" s="52" t="n">
        <v>317.99</v>
      </c>
      <c r="W1511" s="0" t="inlineStr">
        <is>
          <t>2026-08-25</t>
        </is>
      </c>
      <c r="X1511" s="0" t="inlineStr">
        <is>
          <t>N/A</t>
        </is>
      </c>
      <c r="Y1511" s="0" t="inlineStr">
        <is>
          <t>N/A</t>
        </is>
      </c>
      <c r="Z1511" s="0" t="inlineStr">
        <is>
          <t>N/A</t>
        </is>
      </c>
      <c r="AA1511" s="0" t="inlineStr">
        <is>
          <t>N/A</t>
        </is>
      </c>
    </row>
    <row r="1512" ht="15.75" customHeight="1" s="51">
      <c r="A1512" s="47" t="inlineStr">
        <is>
          <t>ART-150-10</t>
        </is>
      </c>
      <c r="B1512" s="47" t="inlineStr">
        <is>
          <t>Artemis</t>
        </is>
      </c>
      <c r="C1512" s="47" t="inlineStr">
        <is>
          <t>Computer Hardware</t>
        </is>
      </c>
      <c r="D1512" s="47" t="inlineStr">
        <is>
          <t>Graphics Card</t>
        </is>
      </c>
      <c r="E1512" s="48" t="inlineStr">
        <is>
          <t>Artemis Nimbus X Graphics Card</t>
        </is>
      </c>
      <c r="F1512" s="49" t="n">
        <v>408.99</v>
      </c>
      <c r="G1512" s="47" t="inlineStr">
        <is>
          <t>the Nimbus X; Artemis Nimbus X; Arteemis Nimbus X; Nimbus X graphics card</t>
        </is>
      </c>
      <c r="H1512" s="47" t="inlineStr">
        <is>
          <t>3 year limited</t>
        </is>
      </c>
      <c r="I1512" s="47" t="inlineStr">
        <is>
          <t>FCC, CE, RoHS</t>
        </is>
      </c>
      <c r="J1512" s="47" t="inlineStr">
        <is>
          <t>N/A</t>
        </is>
      </c>
      <c r="K1512" s="47" t="inlineStr">
        <is>
          <t>NVIDIA GeForce RTX 4070 12GB (Artemis Nimbus edition)</t>
        </is>
      </c>
      <c r="L1512" s="47" t="inlineStr">
        <is>
          <t>N/A</t>
        </is>
      </c>
      <c r="M1512" s="47" t="inlineStr">
        <is>
          <t>N/A</t>
        </is>
      </c>
      <c r="N1512" s="47" t="inlineStr">
        <is>
          <t>3x DisplayPort 1.4a, 1x HDMI 2.1a</t>
        </is>
      </c>
      <c r="O1512" s="47" t="inlineStr">
        <is>
          <t>N/A</t>
        </is>
      </c>
      <c r="P1512" s="47" t="inlineStr">
        <is>
          <t>N/A</t>
        </is>
      </c>
      <c r="Q1512" s="50" t="n">
        <v>842</v>
      </c>
      <c r="R1512" s="47" t="inlineStr">
        <is>
          <t>Lighter than Geras Flux Lite Graphics Card [GER-133-10] (842 g vs 1,196 g); Lower price than Zelus Rift Plus Graphics Card [ZEL-137-10] ($408.99 vs $1,308.99)</t>
        </is>
      </c>
      <c r="S1512" s="47" t="inlineStr">
        <is>
          <t>gaming, 3D rendering, AI workloads</t>
        </is>
      </c>
      <c r="T1512" s="0" t="inlineStr">
        <is>
          <t>in_stock</t>
        </is>
      </c>
      <c r="U1512" s="0" t="n">
        <v>30</v>
      </c>
      <c r="V1512" s="52" t="n">
        <v>450.99</v>
      </c>
      <c r="W1512" s="0" t="inlineStr">
        <is>
          <t>2026-09-13</t>
        </is>
      </c>
      <c r="X1512" s="0" t="inlineStr">
        <is>
          <t>N/A</t>
        </is>
      </c>
      <c r="Y1512" s="0" t="inlineStr">
        <is>
          <t>N/A</t>
        </is>
      </c>
      <c r="Z1512" s="0" t="inlineStr">
        <is>
          <t>N/A</t>
        </is>
      </c>
      <c r="AA1512" s="0" t="inlineStr">
        <is>
          <t>N/A</t>
        </is>
      </c>
    </row>
  </sheetData>
  <autoFilter ref="$A$12:$S$1512"/>
  <pageMargins left="0.75" right="0.75" top="1" bottom="1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ColWidth="14.43" defaultRowHeight="15" customHeight="1"/>
  <cols>
    <col width="24" customWidth="1" style="51" min="1" max="1"/>
    <col width="12" customWidth="1" style="51" min="2" max="3"/>
    <col width="14" customWidth="1" style="51" min="4" max="6"/>
    <col width="8.710000000000001" customWidth="1" style="51" min="7" max="26"/>
  </cols>
  <sheetData>
    <row r="1" ht="31.5" customHeight="1" s="51">
      <c r="A1" s="2" t="inlineStr">
        <is>
          <t>Company Type</t>
        </is>
      </c>
      <c r="B1" s="2" t="inlineStr">
        <is>
          <t>Companies</t>
        </is>
      </c>
      <c r="C1" s="2" t="inlineStr">
        <is>
          <t>Products</t>
        </is>
      </c>
      <c r="D1" s="2" t="inlineStr">
        <is>
          <t>Lowest Price</t>
        </is>
      </c>
      <c r="E1" s="2" t="inlineStr">
        <is>
          <t>Highest Price</t>
        </is>
      </c>
      <c r="F1" s="2" t="inlineStr">
        <is>
          <t>Average Price</t>
        </is>
      </c>
    </row>
    <row r="2">
      <c r="A2" s="4" t="inlineStr">
        <is>
          <t>Headphones &amp; Earbuds</t>
        </is>
      </c>
      <c r="B2" s="4">
        <f>COUNTIF(Companies!$C$14:$C$163,A2)</f>
        <v/>
      </c>
      <c r="C2" s="4">
        <f>COUNTIF('Product Details'!$C$13:$C$1512,A2)</f>
        <v/>
      </c>
      <c r="D2" s="15">
        <f>MINIFS('Product Details'!$F$13:$F$1512,'Product Details'!$C$13:$C$1512,A2)</f>
        <v/>
      </c>
      <c r="E2" s="15">
        <f>MAXIFS('Product Details'!$F$13:$F$1512,'Product Details'!$C$13:$C$1512,A2)</f>
        <v/>
      </c>
      <c r="F2" s="15">
        <f>AVERAGEIF('Product Details'!$C$13:$C$1512,A2,'Product Details'!$F$13:$F$1512)</f>
        <v/>
      </c>
    </row>
    <row r="3">
      <c r="A3" s="19" t="inlineStr">
        <is>
          <t>Laptops</t>
        </is>
      </c>
      <c r="B3" s="19">
        <f>COUNTIF(Companies!$C$14:$C$163,A3)</f>
        <v/>
      </c>
      <c r="C3" s="19">
        <f>COUNTIF('Product Details'!$C$13:$C$1512,A3)</f>
        <v/>
      </c>
      <c r="D3" s="22">
        <f>MINIFS('Product Details'!$F$13:$F$1512,'Product Details'!$C$13:$C$1512,A3)</f>
        <v/>
      </c>
      <c r="E3" s="22">
        <f>MAXIFS('Product Details'!$F$13:$F$1512,'Product Details'!$C$13:$C$1512,A3)</f>
        <v/>
      </c>
      <c r="F3" s="22">
        <f>AVERAGEIF('Product Details'!$C$13:$C$1512,A3,'Product Details'!$F$13:$F$1512)</f>
        <v/>
      </c>
    </row>
    <row r="4">
      <c r="A4" s="26" t="inlineStr">
        <is>
          <t>Smartphones &amp; Tablets</t>
        </is>
      </c>
      <c r="B4" s="26">
        <f>COUNTIF(Companies!$C$14:$C$163,A4)</f>
        <v/>
      </c>
      <c r="C4" s="26">
        <f>COUNTIF('Product Details'!$C$13:$C$1512,A4)</f>
        <v/>
      </c>
      <c r="D4" s="28">
        <f>MINIFS('Product Details'!$F$13:$F$1512,'Product Details'!$C$13:$C$1512,A4)</f>
        <v/>
      </c>
      <c r="E4" s="28">
        <f>MAXIFS('Product Details'!$F$13:$F$1512,'Product Details'!$C$13:$C$1512,A4)</f>
        <v/>
      </c>
      <c r="F4" s="28">
        <f>AVERAGEIF('Product Details'!$C$13:$C$1512,A4,'Product Details'!$F$13:$F$1512)</f>
        <v/>
      </c>
    </row>
    <row r="5">
      <c r="A5" s="30" t="inlineStr">
        <is>
          <t>Computer Hardware</t>
        </is>
      </c>
      <c r="B5" s="30">
        <f>COUNTIF(Companies!$C$14:$C$163,A5)</f>
        <v/>
      </c>
      <c r="C5" s="30">
        <f>COUNTIF('Product Details'!$C$13:$C$1512,A5)</f>
        <v/>
      </c>
      <c r="D5" s="31">
        <f>MINIFS('Product Details'!$F$13:$F$1512,'Product Details'!$C$13:$C$1512,A5)</f>
        <v/>
      </c>
      <c r="E5" s="31">
        <f>MAXIFS('Product Details'!$F$13:$F$1512,'Product Details'!$C$13:$C$1512,A5)</f>
        <v/>
      </c>
      <c r="F5" s="31">
        <f>AVERAGEIF('Product Details'!$C$13:$C$1512,A5,'Product Details'!$F$13:$F$1512)</f>
        <v/>
      </c>
    </row>
    <row r="6">
      <c r="A6" s="17" t="inlineStr">
        <is>
          <t>Total</t>
        </is>
      </c>
      <c r="B6" s="17">
        <f>SUM(B2:B5)</f>
        <v/>
      </c>
      <c r="C6" s="17">
        <f>SUM(C2:C5)</f>
        <v/>
      </c>
    </row>
    <row r="21" ht="15.75" customHeight="1" s="51"/>
    <row r="22" ht="15.75" customHeight="1" s="51"/>
    <row r="23" ht="15.75" customHeight="1" s="51"/>
    <row r="24" ht="15.75" customHeight="1" s="51"/>
    <row r="25" ht="15.75" customHeight="1" s="51"/>
    <row r="26" ht="15.75" customHeight="1" s="51"/>
    <row r="27" ht="15.75" customHeight="1" s="51"/>
    <row r="28" ht="15.75" customHeight="1" s="51"/>
    <row r="29" ht="15.75" customHeight="1" s="51"/>
    <row r="30" ht="15.75" customHeight="1" s="51"/>
    <row r="31" ht="15.75" customHeight="1" s="51"/>
    <row r="32" ht="15.75" customHeight="1" s="51"/>
    <row r="33" ht="15.75" customHeight="1" s="51"/>
    <row r="34" ht="15.75" customHeight="1" s="51"/>
    <row r="35" ht="15.75" customHeight="1" s="51"/>
    <row r="36" ht="15.75" customHeight="1" s="51"/>
    <row r="37" ht="15.75" customHeight="1" s="51"/>
    <row r="38" ht="15.75" customHeight="1" s="51"/>
    <row r="39" ht="15.75" customHeight="1" s="51"/>
    <row r="40" ht="15.75" customHeight="1" s="51"/>
    <row r="41" ht="15.75" customHeight="1" s="51"/>
    <row r="42" ht="15.75" customHeight="1" s="51"/>
    <row r="43" ht="15.75" customHeight="1" s="51"/>
    <row r="44" ht="15.75" customHeight="1" s="51"/>
    <row r="45" ht="15.75" customHeight="1" s="51"/>
    <row r="46" ht="15.75" customHeight="1" s="51"/>
    <row r="47" ht="15.75" customHeight="1" s="51"/>
    <row r="48" ht="15.75" customHeight="1" s="51"/>
    <row r="49" ht="15.75" customHeight="1" s="51"/>
    <row r="50" ht="15.75" customHeight="1" s="51"/>
    <row r="51" ht="15.75" customHeight="1" s="51"/>
    <row r="52" ht="15.75" customHeight="1" s="51"/>
    <row r="53" ht="15.75" customHeight="1" s="51"/>
    <row r="54" ht="15.75" customHeight="1" s="51"/>
    <row r="55" ht="15.75" customHeight="1" s="51"/>
    <row r="56" ht="15.75" customHeight="1" s="51"/>
    <row r="57" ht="15.75" customHeight="1" s="51"/>
    <row r="58" ht="15.75" customHeight="1" s="51"/>
    <row r="59" ht="15.75" customHeight="1" s="51"/>
    <row r="60" ht="15.75" customHeight="1" s="51"/>
    <row r="61" ht="15.75" customHeight="1" s="51"/>
    <row r="62" ht="15.75" customHeight="1" s="51"/>
    <row r="63" ht="15.75" customHeight="1" s="51"/>
    <row r="64" ht="15.75" customHeight="1" s="51"/>
    <row r="65" ht="15.75" customHeight="1" s="51"/>
    <row r="66" ht="15.75" customHeight="1" s="51"/>
    <row r="67" ht="15.75" customHeight="1" s="51"/>
    <row r="68" ht="15.75" customHeight="1" s="51"/>
    <row r="69" ht="15.75" customHeight="1" s="51"/>
    <row r="70" ht="15.75" customHeight="1" s="51"/>
    <row r="71" ht="15.75" customHeight="1" s="51"/>
    <row r="72" ht="15.75" customHeight="1" s="51"/>
    <row r="73" ht="15.75" customHeight="1" s="51"/>
    <row r="74" ht="15.75" customHeight="1" s="51"/>
    <row r="75" ht="15.75" customHeight="1" s="51"/>
    <row r="76" ht="15.75" customHeight="1" s="51"/>
    <row r="77" ht="15.75" customHeight="1" s="51"/>
    <row r="78" ht="15.75" customHeight="1" s="51"/>
    <row r="79" ht="15.75" customHeight="1" s="51"/>
    <row r="80" ht="15.75" customHeight="1" s="51"/>
    <row r="81" ht="15.75" customHeight="1" s="51"/>
    <row r="82" ht="15.75" customHeight="1" s="51"/>
    <row r="83" ht="15.75" customHeight="1" s="51"/>
    <row r="84" ht="15.75" customHeight="1" s="51"/>
    <row r="85" ht="15.75" customHeight="1" s="51"/>
    <row r="86" ht="15.75" customHeight="1" s="51"/>
    <row r="87" ht="15.75" customHeight="1" s="51"/>
    <row r="88" ht="15.75" customHeight="1" s="51"/>
    <row r="89" ht="15.75" customHeight="1" s="51"/>
    <row r="90" ht="15.75" customHeight="1" s="51"/>
    <row r="91" ht="15.75" customHeight="1" s="51"/>
    <row r="92" ht="15.75" customHeight="1" s="51"/>
    <row r="93" ht="15.75" customHeight="1" s="51"/>
    <row r="94" ht="15.75" customHeight="1" s="51"/>
    <row r="95" ht="15.75" customHeight="1" s="51"/>
    <row r="96" ht="15.75" customHeight="1" s="51"/>
    <row r="97" ht="15.75" customHeight="1" s="51"/>
    <row r="98" ht="15.75" customHeight="1" s="51"/>
    <row r="99" ht="15.75" customHeight="1" s="51"/>
    <row r="100" ht="15.75" customHeight="1" s="51"/>
    <row r="101" ht="15.75" customHeight="1" s="51"/>
    <row r="102" ht="15.75" customHeight="1" s="51"/>
    <row r="103" ht="15.75" customHeight="1" s="51"/>
    <row r="104" ht="15.75" customHeight="1" s="51"/>
    <row r="105" ht="15.75" customHeight="1" s="51"/>
    <row r="106" ht="15.75" customHeight="1" s="51"/>
    <row r="107" ht="15.75" customHeight="1" s="51"/>
    <row r="108" ht="15.75" customHeight="1" s="51"/>
    <row r="109" ht="15.75" customHeight="1" s="51"/>
    <row r="110" ht="15.75" customHeight="1" s="51"/>
    <row r="111" ht="15.75" customHeight="1" s="51"/>
    <row r="112" ht="15.75" customHeight="1" s="51"/>
    <row r="113" ht="15.75" customHeight="1" s="51"/>
    <row r="114" ht="15.75" customHeight="1" s="51"/>
    <row r="115" ht="15.75" customHeight="1" s="51"/>
    <row r="116" ht="15.75" customHeight="1" s="51"/>
    <row r="117" ht="15.75" customHeight="1" s="51"/>
    <row r="118" ht="15.75" customHeight="1" s="51"/>
    <row r="119" ht="15.75" customHeight="1" s="51"/>
    <row r="120" ht="15.75" customHeight="1" s="51"/>
    <row r="121" ht="15.75" customHeight="1" s="51"/>
    <row r="122" ht="15.75" customHeight="1" s="51"/>
    <row r="123" ht="15.75" customHeight="1" s="51"/>
    <row r="124" ht="15.75" customHeight="1" s="51"/>
    <row r="125" ht="15.75" customHeight="1" s="51"/>
    <row r="126" ht="15.75" customHeight="1" s="51"/>
    <row r="127" ht="15.75" customHeight="1" s="51"/>
    <row r="128" ht="15.75" customHeight="1" s="51"/>
    <row r="129" ht="15.75" customHeight="1" s="51"/>
    <row r="130" ht="15.75" customHeight="1" s="51"/>
    <row r="131" ht="15.75" customHeight="1" s="51"/>
    <row r="132" ht="15.75" customHeight="1" s="51"/>
    <row r="133" ht="15.75" customHeight="1" s="51"/>
    <row r="134" ht="15.75" customHeight="1" s="51"/>
    <row r="135" ht="15.75" customHeight="1" s="51"/>
    <row r="136" ht="15.75" customHeight="1" s="51"/>
    <row r="137" ht="15.75" customHeight="1" s="51"/>
    <row r="138" ht="15.75" customHeight="1" s="51"/>
    <row r="139" ht="15.75" customHeight="1" s="51"/>
    <row r="140" ht="15.75" customHeight="1" s="51"/>
    <row r="141" ht="15.75" customHeight="1" s="51"/>
    <row r="142" ht="15.75" customHeight="1" s="51"/>
    <row r="143" ht="15.75" customHeight="1" s="51"/>
    <row r="144" ht="15.75" customHeight="1" s="51"/>
    <row r="145" ht="15.75" customHeight="1" s="51"/>
    <row r="146" ht="15.75" customHeight="1" s="51"/>
    <row r="147" ht="15.75" customHeight="1" s="51"/>
    <row r="148" ht="15.75" customHeight="1" s="51"/>
    <row r="149" ht="15.75" customHeight="1" s="51"/>
    <row r="150" ht="15.75" customHeight="1" s="51"/>
    <row r="151" ht="15.75" customHeight="1" s="51"/>
    <row r="152" ht="15.75" customHeight="1" s="51"/>
    <row r="153" ht="15.75" customHeight="1" s="51"/>
    <row r="154" ht="15.75" customHeight="1" s="51"/>
    <row r="155" ht="15.75" customHeight="1" s="51"/>
    <row r="156" ht="15.75" customHeight="1" s="51"/>
    <row r="157" ht="15.75" customHeight="1" s="51"/>
    <row r="158" ht="15.75" customHeight="1" s="51"/>
    <row r="159" ht="15.75" customHeight="1" s="51"/>
    <row r="160" ht="15.75" customHeight="1" s="51"/>
    <row r="161" ht="15.75" customHeight="1" s="51"/>
    <row r="162" ht="15.75" customHeight="1" s="51"/>
    <row r="163" ht="15.75" customHeight="1" s="51"/>
    <row r="164" ht="15.75" customHeight="1" s="51"/>
    <row r="165" ht="15.75" customHeight="1" s="51"/>
    <row r="166" ht="15.75" customHeight="1" s="51"/>
    <row r="167" ht="15.75" customHeight="1" s="51"/>
    <row r="168" ht="15.75" customHeight="1" s="51"/>
    <row r="169" ht="15.75" customHeight="1" s="51"/>
    <row r="170" ht="15.75" customHeight="1" s="51"/>
    <row r="171" ht="15.75" customHeight="1" s="51"/>
    <row r="172" ht="15.75" customHeight="1" s="51"/>
    <row r="173" ht="15.75" customHeight="1" s="51"/>
    <row r="174" ht="15.75" customHeight="1" s="51"/>
    <row r="175" ht="15.75" customHeight="1" s="51"/>
    <row r="176" ht="15.75" customHeight="1" s="51"/>
    <row r="177" ht="15.75" customHeight="1" s="51"/>
    <row r="178" ht="15.75" customHeight="1" s="51"/>
    <row r="179" ht="15.75" customHeight="1" s="51"/>
    <row r="180" ht="15.75" customHeight="1" s="51"/>
    <row r="181" ht="15.75" customHeight="1" s="51"/>
    <row r="182" ht="15.75" customHeight="1" s="51"/>
    <row r="183" ht="15.75" customHeight="1" s="51"/>
    <row r="184" ht="15.75" customHeight="1" s="51"/>
    <row r="185" ht="15.75" customHeight="1" s="51"/>
    <row r="186" ht="15.75" customHeight="1" s="51"/>
    <row r="187" ht="15.75" customHeight="1" s="51"/>
    <row r="188" ht="15.75" customHeight="1" s="51"/>
    <row r="189" ht="15.75" customHeight="1" s="51"/>
    <row r="190" ht="15.75" customHeight="1" s="51"/>
    <row r="191" ht="15.75" customHeight="1" s="51"/>
    <row r="192" ht="15.75" customHeight="1" s="51"/>
    <row r="193" ht="15.75" customHeight="1" s="51"/>
    <row r="194" ht="15.75" customHeight="1" s="51"/>
    <row r="195" ht="15.75" customHeight="1" s="51"/>
    <row r="196" ht="15.75" customHeight="1" s="51"/>
    <row r="197" ht="15.75" customHeight="1" s="51"/>
    <row r="198" ht="15.75" customHeight="1" s="51"/>
    <row r="199" ht="15.75" customHeight="1" s="51"/>
    <row r="200" ht="15.75" customHeight="1" s="51"/>
    <row r="201" ht="15.75" customHeight="1" s="51"/>
    <row r="202" ht="15.75" customHeight="1" s="51"/>
    <row r="203" ht="15.75" customHeight="1" s="51"/>
    <row r="204" ht="15.75" customHeight="1" s="51"/>
    <row r="205" ht="15.75" customHeight="1" s="51"/>
    <row r="206" ht="15.75" customHeight="1" s="51"/>
    <row r="207" ht="15.75" customHeight="1" s="51"/>
    <row r="208" ht="15.75" customHeight="1" s="51"/>
    <row r="209" ht="15.75" customHeight="1" s="51"/>
    <row r="210" ht="15.75" customHeight="1" s="51"/>
    <row r="211" ht="15.75" customHeight="1" s="51"/>
    <row r="212" ht="15.75" customHeight="1" s="51"/>
    <row r="213" ht="15.75" customHeight="1" s="51"/>
    <row r="214" ht="15.75" customHeight="1" s="51"/>
    <row r="215" ht="15.75" customHeight="1" s="51"/>
    <row r="216" ht="15.75" customHeight="1" s="51"/>
    <row r="217" ht="15.75" customHeight="1" s="51"/>
    <row r="218" ht="15.75" customHeight="1" s="51"/>
    <row r="219" ht="15.75" customHeight="1" s="51"/>
    <row r="220" ht="15.75" customHeight="1" s="51"/>
    <row r="221" ht="15.75" customHeight="1" s="51"/>
    <row r="222" ht="15.75" customHeight="1" s="51"/>
    <row r="223" ht="15.75" customHeight="1" s="51"/>
    <row r="224" ht="15.75" customHeight="1" s="51"/>
    <row r="225" ht="15.75" customHeight="1" s="51"/>
    <row r="226" ht="15.75" customHeight="1" s="51"/>
    <row r="227" ht="15.75" customHeight="1" s="51"/>
    <row r="228" ht="15.75" customHeight="1" s="51"/>
    <row r="229" ht="15.75" customHeight="1" s="51"/>
    <row r="230" ht="15.75" customHeight="1" s="51"/>
    <row r="231" ht="15.75" customHeight="1" s="51"/>
    <row r="232" ht="15.75" customHeight="1" s="51"/>
    <row r="233" ht="15.75" customHeight="1" s="51"/>
    <row r="234" ht="15.75" customHeight="1" s="51"/>
    <row r="235" ht="15.75" customHeight="1" s="51"/>
    <row r="236" ht="15.75" customHeight="1" s="51"/>
    <row r="237" ht="15.75" customHeight="1" s="51"/>
    <row r="238" ht="15.75" customHeight="1" s="51"/>
    <row r="239" ht="15.75" customHeight="1" s="51"/>
    <row r="240" ht="15.75" customHeight="1" s="51"/>
    <row r="241" ht="15.75" customHeight="1" s="51"/>
    <row r="242" ht="15.75" customHeight="1" s="51"/>
    <row r="243" ht="15.75" customHeight="1" s="51"/>
    <row r="244" ht="15.75" customHeight="1" s="51"/>
    <row r="245" ht="15.75" customHeight="1" s="51"/>
    <row r="246" ht="15.75" customHeight="1" s="51"/>
    <row r="247" ht="15.75" customHeight="1" s="51"/>
    <row r="248" ht="15.75" customHeight="1" s="51"/>
    <row r="249" ht="15.75" customHeight="1" s="51"/>
    <row r="250" ht="15.75" customHeight="1" s="51"/>
    <row r="251" ht="15.75" customHeight="1" s="51"/>
    <row r="252" ht="15.75" customHeight="1" s="51"/>
    <row r="253" ht="15.75" customHeight="1" s="51"/>
    <row r="254" ht="15.75" customHeight="1" s="51"/>
    <row r="255" ht="15.75" customHeight="1" s="51"/>
    <row r="256" ht="15.75" customHeight="1" s="51"/>
    <row r="257" ht="15.75" customHeight="1" s="51"/>
    <row r="258" ht="15.75" customHeight="1" s="51"/>
    <row r="259" ht="15.75" customHeight="1" s="51"/>
    <row r="260" ht="15.75" customHeight="1" s="51"/>
    <row r="261" ht="15.75" customHeight="1" s="51"/>
    <row r="262" ht="15.75" customHeight="1" s="51"/>
    <row r="263" ht="15.75" customHeight="1" s="51"/>
    <row r="264" ht="15.75" customHeight="1" s="51"/>
    <row r="265" ht="15.75" customHeight="1" s="51"/>
    <row r="266" ht="15.75" customHeight="1" s="51"/>
    <row r="267" ht="15.75" customHeight="1" s="51"/>
    <row r="268" ht="15.75" customHeight="1" s="51"/>
    <row r="269" ht="15.75" customHeight="1" s="51"/>
    <row r="270" ht="15.75" customHeight="1" s="51"/>
    <row r="271" ht="15.75" customHeight="1" s="51"/>
    <row r="272" ht="15.75" customHeight="1" s="51"/>
    <row r="273" ht="15.75" customHeight="1" s="51"/>
    <row r="274" ht="15.75" customHeight="1" s="51"/>
    <row r="275" ht="15.75" customHeight="1" s="51"/>
    <row r="276" ht="15.75" customHeight="1" s="51"/>
    <row r="277" ht="15.75" customHeight="1" s="51"/>
    <row r="278" ht="15.75" customHeight="1" s="51"/>
    <row r="279" ht="15.75" customHeight="1" s="51"/>
    <row r="280" ht="15.75" customHeight="1" s="51"/>
    <row r="281" ht="15.75" customHeight="1" s="51"/>
    <row r="282" ht="15.75" customHeight="1" s="51"/>
    <row r="283" ht="15.75" customHeight="1" s="51"/>
    <row r="284" ht="15.75" customHeight="1" s="51"/>
    <row r="285" ht="15.75" customHeight="1" s="51"/>
    <row r="286" ht="15.75" customHeight="1" s="51"/>
    <row r="287" ht="15.75" customHeight="1" s="51"/>
    <row r="288" ht="15.75" customHeight="1" s="51"/>
    <row r="289" ht="15.75" customHeight="1" s="51"/>
    <row r="290" ht="15.75" customHeight="1" s="51"/>
    <row r="291" ht="15.75" customHeight="1" s="51"/>
    <row r="292" ht="15.75" customHeight="1" s="51"/>
    <row r="293" ht="15.75" customHeight="1" s="51"/>
    <row r="294" ht="15.75" customHeight="1" s="51"/>
    <row r="295" ht="15.75" customHeight="1" s="51"/>
    <row r="296" ht="15.75" customHeight="1" s="51"/>
    <row r="297" ht="15.75" customHeight="1" s="51"/>
    <row r="298" ht="15.75" customHeight="1" s="51"/>
    <row r="299" ht="15.75" customHeight="1" s="51"/>
    <row r="300" ht="15.75" customHeight="1" s="51"/>
    <row r="301" ht="15.75" customHeight="1" s="51"/>
    <row r="302" ht="15.75" customHeight="1" s="51"/>
    <row r="303" ht="15.75" customHeight="1" s="51"/>
    <row r="304" ht="15.75" customHeight="1" s="51"/>
    <row r="305" ht="15.75" customHeight="1" s="51"/>
    <row r="306" ht="15.75" customHeight="1" s="51"/>
    <row r="307" ht="15.75" customHeight="1" s="51"/>
    <row r="308" ht="15.75" customHeight="1" s="51"/>
    <row r="309" ht="15.75" customHeight="1" s="51"/>
    <row r="310" ht="15.75" customHeight="1" s="51"/>
    <row r="311" ht="15.75" customHeight="1" s="51"/>
    <row r="312" ht="15.75" customHeight="1" s="51"/>
    <row r="313" ht="15.75" customHeight="1" s="51"/>
    <row r="314" ht="15.75" customHeight="1" s="51"/>
    <row r="315" ht="15.75" customHeight="1" s="51"/>
    <row r="316" ht="15.75" customHeight="1" s="51"/>
    <row r="317" ht="15.75" customHeight="1" s="51"/>
    <row r="318" ht="15.75" customHeight="1" s="51"/>
    <row r="319" ht="15.75" customHeight="1" s="51"/>
    <row r="320" ht="15.75" customHeight="1" s="51"/>
    <row r="321" ht="15.75" customHeight="1" s="51"/>
    <row r="322" ht="15.75" customHeight="1" s="51"/>
    <row r="323" ht="15.75" customHeight="1" s="51"/>
    <row r="324" ht="15.75" customHeight="1" s="51"/>
    <row r="325" ht="15.75" customHeight="1" s="51"/>
    <row r="326" ht="15.75" customHeight="1" s="51"/>
    <row r="327" ht="15.75" customHeight="1" s="51"/>
    <row r="328" ht="15.75" customHeight="1" s="51"/>
    <row r="329" ht="15.75" customHeight="1" s="51"/>
    <row r="330" ht="15.75" customHeight="1" s="51"/>
    <row r="331" ht="15.75" customHeight="1" s="51"/>
    <row r="332" ht="15.75" customHeight="1" s="51"/>
    <row r="333" ht="15.75" customHeight="1" s="51"/>
    <row r="334" ht="15.75" customHeight="1" s="51"/>
    <row r="335" ht="15.75" customHeight="1" s="51"/>
    <row r="336" ht="15.75" customHeight="1" s="51"/>
    <row r="337" ht="15.75" customHeight="1" s="51"/>
    <row r="338" ht="15.75" customHeight="1" s="51"/>
    <row r="339" ht="15.75" customHeight="1" s="51"/>
    <row r="340" ht="15.75" customHeight="1" s="51"/>
    <row r="341" ht="15.75" customHeight="1" s="51"/>
    <row r="342" ht="15.75" customHeight="1" s="51"/>
    <row r="343" ht="15.75" customHeight="1" s="51"/>
    <row r="344" ht="15.75" customHeight="1" s="51"/>
    <row r="345" ht="15.75" customHeight="1" s="51"/>
    <row r="346" ht="15.75" customHeight="1" s="51"/>
    <row r="347" ht="15.75" customHeight="1" s="51"/>
    <row r="348" ht="15.75" customHeight="1" s="51"/>
    <row r="349" ht="15.75" customHeight="1" s="51"/>
    <row r="350" ht="15.75" customHeight="1" s="51"/>
    <row r="351" ht="15.75" customHeight="1" s="51"/>
    <row r="352" ht="15.75" customHeight="1" s="51"/>
    <row r="353" ht="15.75" customHeight="1" s="51"/>
    <row r="354" ht="15.75" customHeight="1" s="51"/>
    <row r="355" ht="15.75" customHeight="1" s="51"/>
    <row r="356" ht="15.75" customHeight="1" s="51"/>
    <row r="357" ht="15.75" customHeight="1" s="51"/>
    <row r="358" ht="15.75" customHeight="1" s="51"/>
    <row r="359" ht="15.75" customHeight="1" s="51"/>
    <row r="360" ht="15.75" customHeight="1" s="51"/>
    <row r="361" ht="15.75" customHeight="1" s="51"/>
    <row r="362" ht="15.75" customHeight="1" s="51"/>
    <row r="363" ht="15.75" customHeight="1" s="51"/>
    <row r="364" ht="15.75" customHeight="1" s="51"/>
    <row r="365" ht="15.75" customHeight="1" s="51"/>
    <row r="366" ht="15.75" customHeight="1" s="51"/>
    <row r="367" ht="15.75" customHeight="1" s="51"/>
    <row r="368" ht="15.75" customHeight="1" s="51"/>
    <row r="369" ht="15.75" customHeight="1" s="51"/>
    <row r="370" ht="15.75" customHeight="1" s="51"/>
    <row r="371" ht="15.75" customHeight="1" s="51"/>
    <row r="372" ht="15.75" customHeight="1" s="51"/>
    <row r="373" ht="15.75" customHeight="1" s="51"/>
    <row r="374" ht="15.75" customHeight="1" s="51"/>
    <row r="375" ht="15.75" customHeight="1" s="51"/>
    <row r="376" ht="15.75" customHeight="1" s="51"/>
    <row r="377" ht="15.75" customHeight="1" s="51"/>
    <row r="378" ht="15.75" customHeight="1" s="51"/>
    <row r="379" ht="15.75" customHeight="1" s="51"/>
    <row r="380" ht="15.75" customHeight="1" s="51"/>
    <row r="381" ht="15.75" customHeight="1" s="51"/>
    <row r="382" ht="15.75" customHeight="1" s="51"/>
    <row r="383" ht="15.75" customHeight="1" s="51"/>
    <row r="384" ht="15.75" customHeight="1" s="51"/>
    <row r="385" ht="15.75" customHeight="1" s="51"/>
    <row r="386" ht="15.75" customHeight="1" s="51"/>
    <row r="387" ht="15.75" customHeight="1" s="51"/>
    <row r="388" ht="15.75" customHeight="1" s="51"/>
    <row r="389" ht="15.75" customHeight="1" s="51"/>
    <row r="390" ht="15.75" customHeight="1" s="51"/>
    <row r="391" ht="15.75" customHeight="1" s="51"/>
    <row r="392" ht="15.75" customHeight="1" s="51"/>
    <row r="393" ht="15.75" customHeight="1" s="51"/>
    <row r="394" ht="15.75" customHeight="1" s="51"/>
    <row r="395" ht="15.75" customHeight="1" s="51"/>
    <row r="396" ht="15.75" customHeight="1" s="51"/>
    <row r="397" ht="15.75" customHeight="1" s="51"/>
    <row r="398" ht="15.75" customHeight="1" s="51"/>
    <row r="399" ht="15.75" customHeight="1" s="51"/>
    <row r="400" ht="15.75" customHeight="1" s="51"/>
    <row r="401" ht="15.75" customHeight="1" s="51"/>
    <row r="402" ht="15.75" customHeight="1" s="51"/>
    <row r="403" ht="15.75" customHeight="1" s="51"/>
    <row r="404" ht="15.75" customHeight="1" s="51"/>
    <row r="405" ht="15.75" customHeight="1" s="51"/>
    <row r="406" ht="15.75" customHeight="1" s="51"/>
    <row r="407" ht="15.75" customHeight="1" s="51"/>
    <row r="408" ht="15.75" customHeight="1" s="51"/>
    <row r="409" ht="15.75" customHeight="1" s="51"/>
    <row r="410" ht="15.75" customHeight="1" s="51"/>
    <row r="411" ht="15.75" customHeight="1" s="51"/>
    <row r="412" ht="15.75" customHeight="1" s="51"/>
    <row r="413" ht="15.75" customHeight="1" s="51"/>
    <row r="414" ht="15.75" customHeight="1" s="51"/>
    <row r="415" ht="15.75" customHeight="1" s="51"/>
    <row r="416" ht="15.75" customHeight="1" s="51"/>
    <row r="417" ht="15.75" customHeight="1" s="51"/>
    <row r="418" ht="15.75" customHeight="1" s="51"/>
    <row r="419" ht="15.75" customHeight="1" s="51"/>
    <row r="420" ht="15.75" customHeight="1" s="51"/>
    <row r="421" ht="15.75" customHeight="1" s="51"/>
    <row r="422" ht="15.75" customHeight="1" s="51"/>
    <row r="423" ht="15.75" customHeight="1" s="51"/>
    <row r="424" ht="15.75" customHeight="1" s="51"/>
    <row r="425" ht="15.75" customHeight="1" s="51"/>
    <row r="426" ht="15.75" customHeight="1" s="51"/>
    <row r="427" ht="15.75" customHeight="1" s="51"/>
    <row r="428" ht="15.75" customHeight="1" s="51"/>
    <row r="429" ht="15.75" customHeight="1" s="51"/>
    <row r="430" ht="15.75" customHeight="1" s="51"/>
    <row r="431" ht="15.75" customHeight="1" s="51"/>
    <row r="432" ht="15.75" customHeight="1" s="51"/>
    <row r="433" ht="15.75" customHeight="1" s="51"/>
    <row r="434" ht="15.75" customHeight="1" s="51"/>
    <row r="435" ht="15.75" customHeight="1" s="51"/>
    <row r="436" ht="15.75" customHeight="1" s="51"/>
    <row r="437" ht="15.75" customHeight="1" s="51"/>
    <row r="438" ht="15.75" customHeight="1" s="51"/>
    <row r="439" ht="15.75" customHeight="1" s="51"/>
    <row r="440" ht="15.75" customHeight="1" s="51"/>
    <row r="441" ht="15.75" customHeight="1" s="51"/>
    <row r="442" ht="15.75" customHeight="1" s="51"/>
    <row r="443" ht="15.75" customHeight="1" s="51"/>
    <row r="444" ht="15.75" customHeight="1" s="51"/>
    <row r="445" ht="15.75" customHeight="1" s="51"/>
    <row r="446" ht="15.75" customHeight="1" s="51"/>
    <row r="447" ht="15.75" customHeight="1" s="51"/>
    <row r="448" ht="15.75" customHeight="1" s="51"/>
    <row r="449" ht="15.75" customHeight="1" s="51"/>
    <row r="450" ht="15.75" customHeight="1" s="51"/>
    <row r="451" ht="15.75" customHeight="1" s="51"/>
    <row r="452" ht="15.75" customHeight="1" s="51"/>
    <row r="453" ht="15.75" customHeight="1" s="51"/>
    <row r="454" ht="15.75" customHeight="1" s="51"/>
    <row r="455" ht="15.75" customHeight="1" s="51"/>
    <row r="456" ht="15.75" customHeight="1" s="51"/>
    <row r="457" ht="15.75" customHeight="1" s="51"/>
    <row r="458" ht="15.75" customHeight="1" s="51"/>
    <row r="459" ht="15.75" customHeight="1" s="51"/>
    <row r="460" ht="15.75" customHeight="1" s="51"/>
    <row r="461" ht="15.75" customHeight="1" s="51"/>
    <row r="462" ht="15.75" customHeight="1" s="51"/>
    <row r="463" ht="15.75" customHeight="1" s="51"/>
    <row r="464" ht="15.75" customHeight="1" s="51"/>
    <row r="465" ht="15.75" customHeight="1" s="51"/>
    <row r="466" ht="15.75" customHeight="1" s="51"/>
    <row r="467" ht="15.75" customHeight="1" s="51"/>
    <row r="468" ht="15.75" customHeight="1" s="51"/>
    <row r="469" ht="15.75" customHeight="1" s="51"/>
    <row r="470" ht="15.75" customHeight="1" s="51"/>
    <row r="471" ht="15.75" customHeight="1" s="51"/>
    <row r="472" ht="15.75" customHeight="1" s="51"/>
    <row r="473" ht="15.75" customHeight="1" s="51"/>
    <row r="474" ht="15.75" customHeight="1" s="51"/>
    <row r="475" ht="15.75" customHeight="1" s="51"/>
    <row r="476" ht="15.75" customHeight="1" s="51"/>
    <row r="477" ht="15.75" customHeight="1" s="51"/>
    <row r="478" ht="15.75" customHeight="1" s="51"/>
    <row r="479" ht="15.75" customHeight="1" s="51"/>
    <row r="480" ht="15.75" customHeight="1" s="51"/>
    <row r="481" ht="15.75" customHeight="1" s="51"/>
    <row r="482" ht="15.75" customHeight="1" s="51"/>
    <row r="483" ht="15.75" customHeight="1" s="51"/>
    <row r="484" ht="15.75" customHeight="1" s="51"/>
    <row r="485" ht="15.75" customHeight="1" s="51"/>
    <row r="486" ht="15.75" customHeight="1" s="51"/>
    <row r="487" ht="15.75" customHeight="1" s="51"/>
    <row r="488" ht="15.75" customHeight="1" s="51"/>
    <row r="489" ht="15.75" customHeight="1" s="51"/>
    <row r="490" ht="15.75" customHeight="1" s="51"/>
    <row r="491" ht="15.75" customHeight="1" s="51"/>
    <row r="492" ht="15.75" customHeight="1" s="51"/>
    <row r="493" ht="15.75" customHeight="1" s="51"/>
    <row r="494" ht="15.75" customHeight="1" s="51"/>
    <row r="495" ht="15.75" customHeight="1" s="51"/>
    <row r="496" ht="15.75" customHeight="1" s="51"/>
    <row r="497" ht="15.75" customHeight="1" s="51"/>
    <row r="498" ht="15.75" customHeight="1" s="51"/>
    <row r="499" ht="15.75" customHeight="1" s="51"/>
    <row r="500" ht="15.75" customHeight="1" s="51"/>
    <row r="501" ht="15.75" customHeight="1" s="51"/>
    <row r="502" ht="15.75" customHeight="1" s="51"/>
    <row r="503" ht="15.75" customHeight="1" s="51"/>
    <row r="504" ht="15.75" customHeight="1" s="51"/>
    <row r="505" ht="15.75" customHeight="1" s="51"/>
    <row r="506" ht="15.75" customHeight="1" s="51"/>
    <row r="507" ht="15.75" customHeight="1" s="51"/>
    <row r="508" ht="15.75" customHeight="1" s="51"/>
    <row r="509" ht="15.75" customHeight="1" s="51"/>
    <row r="510" ht="15.75" customHeight="1" s="51"/>
    <row r="511" ht="15.75" customHeight="1" s="51"/>
    <row r="512" ht="15.75" customHeight="1" s="51"/>
    <row r="513" ht="15.75" customHeight="1" s="51"/>
    <row r="514" ht="15.75" customHeight="1" s="51"/>
    <row r="515" ht="15.75" customHeight="1" s="51"/>
    <row r="516" ht="15.75" customHeight="1" s="51"/>
    <row r="517" ht="15.75" customHeight="1" s="51"/>
    <row r="518" ht="15.75" customHeight="1" s="51"/>
    <row r="519" ht="15.75" customHeight="1" s="51"/>
    <row r="520" ht="15.75" customHeight="1" s="51"/>
    <row r="521" ht="15.75" customHeight="1" s="51"/>
    <row r="522" ht="15.75" customHeight="1" s="51"/>
    <row r="523" ht="15.75" customHeight="1" s="51"/>
    <row r="524" ht="15.75" customHeight="1" s="51"/>
    <row r="525" ht="15.75" customHeight="1" s="51"/>
    <row r="526" ht="15.75" customHeight="1" s="51"/>
    <row r="527" ht="15.75" customHeight="1" s="51"/>
    <row r="528" ht="15.75" customHeight="1" s="51"/>
    <row r="529" ht="15.75" customHeight="1" s="51"/>
    <row r="530" ht="15.75" customHeight="1" s="51"/>
    <row r="531" ht="15.75" customHeight="1" s="51"/>
    <row r="532" ht="15.75" customHeight="1" s="51"/>
    <row r="533" ht="15.75" customHeight="1" s="51"/>
    <row r="534" ht="15.75" customHeight="1" s="51"/>
    <row r="535" ht="15.75" customHeight="1" s="51"/>
    <row r="536" ht="15.75" customHeight="1" s="51"/>
    <row r="537" ht="15.75" customHeight="1" s="51"/>
    <row r="538" ht="15.75" customHeight="1" s="51"/>
    <row r="539" ht="15.75" customHeight="1" s="51"/>
    <row r="540" ht="15.75" customHeight="1" s="51"/>
    <row r="541" ht="15.75" customHeight="1" s="51"/>
    <row r="542" ht="15.75" customHeight="1" s="51"/>
    <row r="543" ht="15.75" customHeight="1" s="51"/>
    <row r="544" ht="15.75" customHeight="1" s="51"/>
    <row r="545" ht="15.75" customHeight="1" s="51"/>
    <row r="546" ht="15.75" customHeight="1" s="51"/>
    <row r="547" ht="15.75" customHeight="1" s="51"/>
    <row r="548" ht="15.75" customHeight="1" s="51"/>
    <row r="549" ht="15.75" customHeight="1" s="51"/>
    <row r="550" ht="15.75" customHeight="1" s="51"/>
    <row r="551" ht="15.75" customHeight="1" s="51"/>
    <row r="552" ht="15.75" customHeight="1" s="51"/>
    <row r="553" ht="15.75" customHeight="1" s="51"/>
    <row r="554" ht="15.75" customHeight="1" s="51"/>
    <row r="555" ht="15.75" customHeight="1" s="51"/>
    <row r="556" ht="15.75" customHeight="1" s="51"/>
    <row r="557" ht="15.75" customHeight="1" s="51"/>
    <row r="558" ht="15.75" customHeight="1" s="51"/>
    <row r="559" ht="15.75" customHeight="1" s="51"/>
    <row r="560" ht="15.75" customHeight="1" s="51"/>
    <row r="561" ht="15.75" customHeight="1" s="51"/>
    <row r="562" ht="15.75" customHeight="1" s="51"/>
    <row r="563" ht="15.75" customHeight="1" s="51"/>
    <row r="564" ht="15.75" customHeight="1" s="51"/>
    <row r="565" ht="15.75" customHeight="1" s="51"/>
    <row r="566" ht="15.75" customHeight="1" s="51"/>
    <row r="567" ht="15.75" customHeight="1" s="51"/>
    <row r="568" ht="15.75" customHeight="1" s="51"/>
    <row r="569" ht="15.75" customHeight="1" s="51"/>
    <row r="570" ht="15.75" customHeight="1" s="51"/>
    <row r="571" ht="15.75" customHeight="1" s="51"/>
    <row r="572" ht="15.75" customHeight="1" s="51"/>
    <row r="573" ht="15.75" customHeight="1" s="51"/>
    <row r="574" ht="15.75" customHeight="1" s="51"/>
    <row r="575" ht="15.75" customHeight="1" s="51"/>
    <row r="576" ht="15.75" customHeight="1" s="51"/>
    <row r="577" ht="15.75" customHeight="1" s="51"/>
    <row r="578" ht="15.75" customHeight="1" s="51"/>
    <row r="579" ht="15.75" customHeight="1" s="51"/>
    <row r="580" ht="15.75" customHeight="1" s="51"/>
    <row r="581" ht="15.75" customHeight="1" s="51"/>
    <row r="582" ht="15.75" customHeight="1" s="51"/>
    <row r="583" ht="15.75" customHeight="1" s="51"/>
    <row r="584" ht="15.75" customHeight="1" s="51"/>
    <row r="585" ht="15.75" customHeight="1" s="51"/>
    <row r="586" ht="15.75" customHeight="1" s="51"/>
    <row r="587" ht="15.75" customHeight="1" s="51"/>
    <row r="588" ht="15.75" customHeight="1" s="51"/>
    <row r="589" ht="15.75" customHeight="1" s="51"/>
    <row r="590" ht="15.75" customHeight="1" s="51"/>
    <row r="591" ht="15.75" customHeight="1" s="51"/>
    <row r="592" ht="15.75" customHeight="1" s="51"/>
    <row r="593" ht="15.75" customHeight="1" s="51"/>
    <row r="594" ht="15.75" customHeight="1" s="51"/>
    <row r="595" ht="15.75" customHeight="1" s="51"/>
    <row r="596" ht="15.75" customHeight="1" s="51"/>
    <row r="597" ht="15.75" customHeight="1" s="51"/>
    <row r="598" ht="15.75" customHeight="1" s="51"/>
    <row r="599" ht="15.75" customHeight="1" s="51"/>
    <row r="600" ht="15.75" customHeight="1" s="51"/>
    <row r="601" ht="15.75" customHeight="1" s="51"/>
    <row r="602" ht="15.75" customHeight="1" s="51"/>
    <row r="603" ht="15.75" customHeight="1" s="51"/>
    <row r="604" ht="15.75" customHeight="1" s="51"/>
    <row r="605" ht="15.75" customHeight="1" s="51"/>
    <row r="606" ht="15.75" customHeight="1" s="51"/>
    <row r="607" ht="15.75" customHeight="1" s="51"/>
    <row r="608" ht="15.75" customHeight="1" s="51"/>
    <row r="609" ht="15.75" customHeight="1" s="51"/>
    <row r="610" ht="15.75" customHeight="1" s="51"/>
    <row r="611" ht="15.75" customHeight="1" s="51"/>
    <row r="612" ht="15.75" customHeight="1" s="51"/>
    <row r="613" ht="15.75" customHeight="1" s="51"/>
    <row r="614" ht="15.75" customHeight="1" s="51"/>
    <row r="615" ht="15.75" customHeight="1" s="51"/>
    <row r="616" ht="15.75" customHeight="1" s="51"/>
    <row r="617" ht="15.75" customHeight="1" s="51"/>
    <row r="618" ht="15.75" customHeight="1" s="51"/>
    <row r="619" ht="15.75" customHeight="1" s="51"/>
    <row r="620" ht="15.75" customHeight="1" s="51"/>
    <row r="621" ht="15.75" customHeight="1" s="51"/>
    <row r="622" ht="15.75" customHeight="1" s="51"/>
    <row r="623" ht="15.75" customHeight="1" s="51"/>
    <row r="624" ht="15.75" customHeight="1" s="51"/>
    <row r="625" ht="15.75" customHeight="1" s="51"/>
    <row r="626" ht="15.75" customHeight="1" s="51"/>
    <row r="627" ht="15.75" customHeight="1" s="51"/>
    <row r="628" ht="15.75" customHeight="1" s="51"/>
    <row r="629" ht="15.75" customHeight="1" s="51"/>
    <row r="630" ht="15.75" customHeight="1" s="51"/>
    <row r="631" ht="15.75" customHeight="1" s="51"/>
    <row r="632" ht="15.75" customHeight="1" s="51"/>
    <row r="633" ht="15.75" customHeight="1" s="51"/>
    <row r="634" ht="15.75" customHeight="1" s="51"/>
    <row r="635" ht="15.75" customHeight="1" s="51"/>
    <row r="636" ht="15.75" customHeight="1" s="51"/>
    <row r="637" ht="15.75" customHeight="1" s="51"/>
    <row r="638" ht="15.75" customHeight="1" s="51"/>
    <row r="639" ht="15.75" customHeight="1" s="51"/>
    <row r="640" ht="15.75" customHeight="1" s="51"/>
    <row r="641" ht="15.75" customHeight="1" s="51"/>
    <row r="642" ht="15.75" customHeight="1" s="51"/>
    <row r="643" ht="15.75" customHeight="1" s="51"/>
    <row r="644" ht="15.75" customHeight="1" s="51"/>
    <row r="645" ht="15.75" customHeight="1" s="51"/>
    <row r="646" ht="15.75" customHeight="1" s="51"/>
    <row r="647" ht="15.75" customHeight="1" s="51"/>
    <row r="648" ht="15.75" customHeight="1" s="51"/>
    <row r="649" ht="15.75" customHeight="1" s="51"/>
    <row r="650" ht="15.75" customHeight="1" s="51"/>
    <row r="651" ht="15.75" customHeight="1" s="51"/>
    <row r="652" ht="15.75" customHeight="1" s="51"/>
    <row r="653" ht="15.75" customHeight="1" s="51"/>
    <row r="654" ht="15.75" customHeight="1" s="51"/>
    <row r="655" ht="15.75" customHeight="1" s="51"/>
    <row r="656" ht="15.75" customHeight="1" s="51"/>
    <row r="657" ht="15.75" customHeight="1" s="51"/>
    <row r="658" ht="15.75" customHeight="1" s="51"/>
    <row r="659" ht="15.75" customHeight="1" s="51"/>
    <row r="660" ht="15.75" customHeight="1" s="51"/>
    <row r="661" ht="15.75" customHeight="1" s="51"/>
    <row r="662" ht="15.75" customHeight="1" s="51"/>
    <row r="663" ht="15.75" customHeight="1" s="51"/>
    <row r="664" ht="15.75" customHeight="1" s="51"/>
    <row r="665" ht="15.75" customHeight="1" s="51"/>
    <row r="666" ht="15.75" customHeight="1" s="51"/>
    <row r="667" ht="15.75" customHeight="1" s="51"/>
    <row r="668" ht="15.75" customHeight="1" s="51"/>
    <row r="669" ht="15.75" customHeight="1" s="51"/>
    <row r="670" ht="15.75" customHeight="1" s="51"/>
    <row r="671" ht="15.75" customHeight="1" s="51"/>
    <row r="672" ht="15.75" customHeight="1" s="51"/>
    <row r="673" ht="15.75" customHeight="1" s="51"/>
    <row r="674" ht="15.75" customHeight="1" s="51"/>
    <row r="675" ht="15.75" customHeight="1" s="51"/>
    <row r="676" ht="15.75" customHeight="1" s="51"/>
    <row r="677" ht="15.75" customHeight="1" s="51"/>
    <row r="678" ht="15.75" customHeight="1" s="51"/>
    <row r="679" ht="15.75" customHeight="1" s="51"/>
    <row r="680" ht="15.75" customHeight="1" s="51"/>
    <row r="681" ht="15.75" customHeight="1" s="51"/>
    <row r="682" ht="15.75" customHeight="1" s="51"/>
    <row r="683" ht="15.75" customHeight="1" s="51"/>
    <row r="684" ht="15.75" customHeight="1" s="51"/>
    <row r="685" ht="15.75" customHeight="1" s="51"/>
    <row r="686" ht="15.75" customHeight="1" s="51"/>
    <row r="687" ht="15.75" customHeight="1" s="51"/>
    <row r="688" ht="15.75" customHeight="1" s="51"/>
    <row r="689" ht="15.75" customHeight="1" s="51"/>
    <row r="690" ht="15.75" customHeight="1" s="51"/>
    <row r="691" ht="15.75" customHeight="1" s="51"/>
    <row r="692" ht="15.75" customHeight="1" s="51"/>
    <row r="693" ht="15.75" customHeight="1" s="51"/>
    <row r="694" ht="15.75" customHeight="1" s="51"/>
    <row r="695" ht="15.75" customHeight="1" s="51"/>
    <row r="696" ht="15.75" customHeight="1" s="51"/>
    <row r="697" ht="15.75" customHeight="1" s="51"/>
    <row r="698" ht="15.75" customHeight="1" s="51"/>
    <row r="699" ht="15.75" customHeight="1" s="51"/>
    <row r="700" ht="15.75" customHeight="1" s="51"/>
    <row r="701" ht="15.75" customHeight="1" s="51"/>
    <row r="702" ht="15.75" customHeight="1" s="51"/>
    <row r="703" ht="15.75" customHeight="1" s="51"/>
    <row r="704" ht="15.75" customHeight="1" s="51"/>
    <row r="705" ht="15.75" customHeight="1" s="51"/>
    <row r="706" ht="15.75" customHeight="1" s="51"/>
    <row r="707" ht="15.75" customHeight="1" s="51"/>
    <row r="708" ht="15.75" customHeight="1" s="51"/>
    <row r="709" ht="15.75" customHeight="1" s="51"/>
    <row r="710" ht="15.75" customHeight="1" s="51"/>
    <row r="711" ht="15.75" customHeight="1" s="51"/>
    <row r="712" ht="15.75" customHeight="1" s="51"/>
    <row r="713" ht="15.75" customHeight="1" s="51"/>
    <row r="714" ht="15.75" customHeight="1" s="51"/>
    <row r="715" ht="15.75" customHeight="1" s="51"/>
    <row r="716" ht="15.75" customHeight="1" s="51"/>
    <row r="717" ht="15.75" customHeight="1" s="51"/>
    <row r="718" ht="15.75" customHeight="1" s="51"/>
    <row r="719" ht="15.75" customHeight="1" s="51"/>
    <row r="720" ht="15.75" customHeight="1" s="51"/>
    <row r="721" ht="15.75" customHeight="1" s="51"/>
    <row r="722" ht="15.75" customHeight="1" s="51"/>
    <row r="723" ht="15.75" customHeight="1" s="51"/>
    <row r="724" ht="15.75" customHeight="1" s="51"/>
    <row r="725" ht="15.75" customHeight="1" s="51"/>
    <row r="726" ht="15.75" customHeight="1" s="51"/>
    <row r="727" ht="15.75" customHeight="1" s="51"/>
    <row r="728" ht="15.75" customHeight="1" s="51"/>
    <row r="729" ht="15.75" customHeight="1" s="51"/>
    <row r="730" ht="15.75" customHeight="1" s="51"/>
    <row r="731" ht="15.75" customHeight="1" s="51"/>
    <row r="732" ht="15.75" customHeight="1" s="51"/>
    <row r="733" ht="15.75" customHeight="1" s="51"/>
    <row r="734" ht="15.75" customHeight="1" s="51"/>
    <row r="735" ht="15.75" customHeight="1" s="51"/>
    <row r="736" ht="15.75" customHeight="1" s="51"/>
    <row r="737" ht="15.75" customHeight="1" s="51"/>
    <row r="738" ht="15.75" customHeight="1" s="51"/>
    <row r="739" ht="15.75" customHeight="1" s="51"/>
    <row r="740" ht="15.75" customHeight="1" s="51"/>
    <row r="741" ht="15.75" customHeight="1" s="51"/>
    <row r="742" ht="15.75" customHeight="1" s="51"/>
    <row r="743" ht="15.75" customHeight="1" s="51"/>
    <row r="744" ht="15.75" customHeight="1" s="51"/>
    <row r="745" ht="15.75" customHeight="1" s="51"/>
    <row r="746" ht="15.75" customHeight="1" s="51"/>
    <row r="747" ht="15.75" customHeight="1" s="51"/>
    <row r="748" ht="15.75" customHeight="1" s="51"/>
    <row r="749" ht="15.75" customHeight="1" s="51"/>
    <row r="750" ht="15.75" customHeight="1" s="51"/>
    <row r="751" ht="15.75" customHeight="1" s="51"/>
    <row r="752" ht="15.75" customHeight="1" s="51"/>
    <row r="753" ht="15.75" customHeight="1" s="51"/>
    <row r="754" ht="15.75" customHeight="1" s="51"/>
    <row r="755" ht="15.75" customHeight="1" s="51"/>
    <row r="756" ht="15.75" customHeight="1" s="51"/>
    <row r="757" ht="15.75" customHeight="1" s="51"/>
    <row r="758" ht="15.75" customHeight="1" s="51"/>
    <row r="759" ht="15.75" customHeight="1" s="51"/>
    <row r="760" ht="15.75" customHeight="1" s="51"/>
    <row r="761" ht="15.75" customHeight="1" s="51"/>
    <row r="762" ht="15.75" customHeight="1" s="51"/>
    <row r="763" ht="15.75" customHeight="1" s="51"/>
    <row r="764" ht="15.75" customHeight="1" s="51"/>
    <row r="765" ht="15.75" customHeight="1" s="51"/>
    <row r="766" ht="15.75" customHeight="1" s="51"/>
    <row r="767" ht="15.75" customHeight="1" s="51"/>
    <row r="768" ht="15.75" customHeight="1" s="51"/>
    <row r="769" ht="15.75" customHeight="1" s="51"/>
    <row r="770" ht="15.75" customHeight="1" s="51"/>
    <row r="771" ht="15.75" customHeight="1" s="51"/>
    <row r="772" ht="15.75" customHeight="1" s="51"/>
    <row r="773" ht="15.75" customHeight="1" s="51"/>
    <row r="774" ht="15.75" customHeight="1" s="51"/>
    <row r="775" ht="15.75" customHeight="1" s="51"/>
    <row r="776" ht="15.75" customHeight="1" s="51"/>
    <row r="777" ht="15.75" customHeight="1" s="51"/>
    <row r="778" ht="15.75" customHeight="1" s="51"/>
    <row r="779" ht="15.75" customHeight="1" s="51"/>
    <row r="780" ht="15.75" customHeight="1" s="51"/>
    <row r="781" ht="15.75" customHeight="1" s="51"/>
    <row r="782" ht="15.75" customHeight="1" s="51"/>
    <row r="783" ht="15.75" customHeight="1" s="51"/>
    <row r="784" ht="15.75" customHeight="1" s="51"/>
    <row r="785" ht="15.75" customHeight="1" s="51"/>
    <row r="786" ht="15.75" customHeight="1" s="51"/>
    <row r="787" ht="15.75" customHeight="1" s="51"/>
    <row r="788" ht="15.75" customHeight="1" s="51"/>
    <row r="789" ht="15.75" customHeight="1" s="51"/>
    <row r="790" ht="15.75" customHeight="1" s="51"/>
    <row r="791" ht="15.75" customHeight="1" s="51"/>
    <row r="792" ht="15.75" customHeight="1" s="51"/>
    <row r="793" ht="15.75" customHeight="1" s="51"/>
    <row r="794" ht="15.75" customHeight="1" s="51"/>
    <row r="795" ht="15.75" customHeight="1" s="51"/>
    <row r="796" ht="15.75" customHeight="1" s="51"/>
    <row r="797" ht="15.75" customHeight="1" s="51"/>
    <row r="798" ht="15.75" customHeight="1" s="51"/>
    <row r="799" ht="15.75" customHeight="1" s="51"/>
    <row r="800" ht="15.75" customHeight="1" s="51"/>
    <row r="801" ht="15.75" customHeight="1" s="51"/>
    <row r="802" ht="15.75" customHeight="1" s="51"/>
    <row r="803" ht="15.75" customHeight="1" s="51"/>
    <row r="804" ht="15.75" customHeight="1" s="51"/>
    <row r="805" ht="15.75" customHeight="1" s="51"/>
    <row r="806" ht="15.75" customHeight="1" s="51"/>
    <row r="807" ht="15.75" customHeight="1" s="51"/>
    <row r="808" ht="15.75" customHeight="1" s="51"/>
    <row r="809" ht="15.75" customHeight="1" s="51"/>
    <row r="810" ht="15.75" customHeight="1" s="51"/>
    <row r="811" ht="15.75" customHeight="1" s="51"/>
    <row r="812" ht="15.75" customHeight="1" s="51"/>
    <row r="813" ht="15.75" customHeight="1" s="51"/>
    <row r="814" ht="15.75" customHeight="1" s="51"/>
    <row r="815" ht="15.75" customHeight="1" s="51"/>
    <row r="816" ht="15.75" customHeight="1" s="51"/>
    <row r="817" ht="15.75" customHeight="1" s="51"/>
    <row r="818" ht="15.75" customHeight="1" s="51"/>
    <row r="819" ht="15.75" customHeight="1" s="51"/>
    <row r="820" ht="15.75" customHeight="1" s="51"/>
    <row r="821" ht="15.75" customHeight="1" s="51"/>
    <row r="822" ht="15.75" customHeight="1" s="51"/>
    <row r="823" ht="15.75" customHeight="1" s="51"/>
    <row r="824" ht="15.75" customHeight="1" s="51"/>
    <row r="825" ht="15.75" customHeight="1" s="51"/>
    <row r="826" ht="15.75" customHeight="1" s="51"/>
    <row r="827" ht="15.75" customHeight="1" s="51"/>
    <row r="828" ht="15.75" customHeight="1" s="51"/>
    <row r="829" ht="15.75" customHeight="1" s="51"/>
    <row r="830" ht="15.75" customHeight="1" s="51"/>
    <row r="831" ht="15.75" customHeight="1" s="51"/>
    <row r="832" ht="15.75" customHeight="1" s="51"/>
    <row r="833" ht="15.75" customHeight="1" s="51"/>
    <row r="834" ht="15.75" customHeight="1" s="51"/>
    <row r="835" ht="15.75" customHeight="1" s="51"/>
    <row r="836" ht="15.75" customHeight="1" s="51"/>
    <row r="837" ht="15.75" customHeight="1" s="51"/>
    <row r="838" ht="15.75" customHeight="1" s="51"/>
    <row r="839" ht="15.75" customHeight="1" s="51"/>
    <row r="840" ht="15.75" customHeight="1" s="51"/>
    <row r="841" ht="15.75" customHeight="1" s="51"/>
    <row r="842" ht="15.75" customHeight="1" s="51"/>
    <row r="843" ht="15.75" customHeight="1" s="51"/>
    <row r="844" ht="15.75" customHeight="1" s="51"/>
    <row r="845" ht="15.75" customHeight="1" s="51"/>
    <row r="846" ht="15.75" customHeight="1" s="51"/>
    <row r="847" ht="15.75" customHeight="1" s="51"/>
    <row r="848" ht="15.75" customHeight="1" s="51"/>
    <row r="849" ht="15.75" customHeight="1" s="51"/>
    <row r="850" ht="15.75" customHeight="1" s="51"/>
    <row r="851" ht="15.75" customHeight="1" s="51"/>
    <row r="852" ht="15.75" customHeight="1" s="51"/>
    <row r="853" ht="15.75" customHeight="1" s="51"/>
    <row r="854" ht="15.75" customHeight="1" s="51"/>
    <row r="855" ht="15.75" customHeight="1" s="51"/>
    <row r="856" ht="15.75" customHeight="1" s="51"/>
    <row r="857" ht="15.75" customHeight="1" s="51"/>
    <row r="858" ht="15.75" customHeight="1" s="51"/>
    <row r="859" ht="15.75" customHeight="1" s="51"/>
    <row r="860" ht="15.75" customHeight="1" s="51"/>
    <row r="861" ht="15.75" customHeight="1" s="51"/>
    <row r="862" ht="15.75" customHeight="1" s="51"/>
    <row r="863" ht="15.75" customHeight="1" s="51"/>
    <row r="864" ht="15.75" customHeight="1" s="51"/>
    <row r="865" ht="15.75" customHeight="1" s="51"/>
    <row r="866" ht="15.75" customHeight="1" s="51"/>
    <row r="867" ht="15.75" customHeight="1" s="51"/>
    <row r="868" ht="15.75" customHeight="1" s="51"/>
    <row r="869" ht="15.75" customHeight="1" s="51"/>
    <row r="870" ht="15.75" customHeight="1" s="51"/>
    <row r="871" ht="15.75" customHeight="1" s="51"/>
    <row r="872" ht="15.75" customHeight="1" s="51"/>
    <row r="873" ht="15.75" customHeight="1" s="51"/>
    <row r="874" ht="15.75" customHeight="1" s="51"/>
    <row r="875" ht="15.75" customHeight="1" s="51"/>
    <row r="876" ht="15.75" customHeight="1" s="51"/>
    <row r="877" ht="15.75" customHeight="1" s="51"/>
    <row r="878" ht="15.75" customHeight="1" s="51"/>
    <row r="879" ht="15.75" customHeight="1" s="51"/>
    <row r="880" ht="15.75" customHeight="1" s="51"/>
    <row r="881" ht="15.75" customHeight="1" s="51"/>
    <row r="882" ht="15.75" customHeight="1" s="51"/>
    <row r="883" ht="15.75" customHeight="1" s="51"/>
    <row r="884" ht="15.75" customHeight="1" s="51"/>
    <row r="885" ht="15.75" customHeight="1" s="51"/>
    <row r="886" ht="15.75" customHeight="1" s="51"/>
    <row r="887" ht="15.75" customHeight="1" s="51"/>
    <row r="888" ht="15.75" customHeight="1" s="51"/>
    <row r="889" ht="15.75" customHeight="1" s="51"/>
    <row r="890" ht="15.75" customHeight="1" s="51"/>
    <row r="891" ht="15.75" customHeight="1" s="51"/>
    <row r="892" ht="15.75" customHeight="1" s="51"/>
    <row r="893" ht="15.75" customHeight="1" s="51"/>
    <row r="894" ht="15.75" customHeight="1" s="51"/>
    <row r="895" ht="15.75" customHeight="1" s="51"/>
    <row r="896" ht="15.75" customHeight="1" s="51"/>
    <row r="897" ht="15.75" customHeight="1" s="51"/>
    <row r="898" ht="15.75" customHeight="1" s="51"/>
    <row r="899" ht="15.75" customHeight="1" s="51"/>
    <row r="900" ht="15.75" customHeight="1" s="51"/>
    <row r="901" ht="15.75" customHeight="1" s="51"/>
    <row r="902" ht="15.75" customHeight="1" s="51"/>
    <row r="903" ht="15.75" customHeight="1" s="51"/>
    <row r="904" ht="15.75" customHeight="1" s="51"/>
    <row r="905" ht="15.75" customHeight="1" s="51"/>
    <row r="906" ht="15.75" customHeight="1" s="51"/>
    <row r="907" ht="15.75" customHeight="1" s="51"/>
    <row r="908" ht="15.75" customHeight="1" s="51"/>
    <row r="909" ht="15.75" customHeight="1" s="51"/>
    <row r="910" ht="15.75" customHeight="1" s="51"/>
    <row r="911" ht="15.75" customHeight="1" s="51"/>
    <row r="912" ht="15.75" customHeight="1" s="51"/>
    <row r="913" ht="15.75" customHeight="1" s="51"/>
    <row r="914" ht="15.75" customHeight="1" s="51"/>
    <row r="915" ht="15.75" customHeight="1" s="51"/>
    <row r="916" ht="15.75" customHeight="1" s="51"/>
    <row r="917" ht="15.75" customHeight="1" s="51"/>
    <row r="918" ht="15.75" customHeight="1" s="51"/>
    <row r="919" ht="15.75" customHeight="1" s="51"/>
    <row r="920" ht="15.75" customHeight="1" s="51"/>
    <row r="921" ht="15.75" customHeight="1" s="51"/>
    <row r="922" ht="15.75" customHeight="1" s="51"/>
    <row r="923" ht="15.75" customHeight="1" s="51"/>
    <row r="924" ht="15.75" customHeight="1" s="51"/>
    <row r="925" ht="15.75" customHeight="1" s="51"/>
    <row r="926" ht="15.75" customHeight="1" s="51"/>
    <row r="927" ht="15.75" customHeight="1" s="51"/>
    <row r="928" ht="15.75" customHeight="1" s="51"/>
    <row r="929" ht="15.75" customHeight="1" s="51"/>
    <row r="930" ht="15.75" customHeight="1" s="51"/>
    <row r="931" ht="15.75" customHeight="1" s="51"/>
    <row r="932" ht="15.75" customHeight="1" s="51"/>
    <row r="933" ht="15.75" customHeight="1" s="51"/>
    <row r="934" ht="15.75" customHeight="1" s="51"/>
    <row r="935" ht="15.75" customHeight="1" s="51"/>
    <row r="936" ht="15.75" customHeight="1" s="51"/>
    <row r="937" ht="15.75" customHeight="1" s="51"/>
    <row r="938" ht="15.75" customHeight="1" s="51"/>
    <row r="939" ht="15.75" customHeight="1" s="51"/>
    <row r="940" ht="15.75" customHeight="1" s="51"/>
    <row r="941" ht="15.75" customHeight="1" s="51"/>
    <row r="942" ht="15.75" customHeight="1" s="51"/>
    <row r="943" ht="15.75" customHeight="1" s="51"/>
    <row r="944" ht="15.75" customHeight="1" s="51"/>
    <row r="945" ht="15.75" customHeight="1" s="51"/>
    <row r="946" ht="15.75" customHeight="1" s="51"/>
    <row r="947" ht="15.75" customHeight="1" s="51"/>
    <row r="948" ht="15.75" customHeight="1" s="51"/>
    <row r="949" ht="15.75" customHeight="1" s="51"/>
    <row r="950" ht="15.75" customHeight="1" s="51"/>
    <row r="951" ht="15.75" customHeight="1" s="51"/>
    <row r="952" ht="15.75" customHeight="1" s="51"/>
    <row r="953" ht="15.75" customHeight="1" s="51"/>
    <row r="954" ht="15.75" customHeight="1" s="51"/>
    <row r="955" ht="15.75" customHeight="1" s="51"/>
    <row r="956" ht="15.75" customHeight="1" s="51"/>
    <row r="957" ht="15.75" customHeight="1" s="51"/>
    <row r="958" ht="15.75" customHeight="1" s="51"/>
    <row r="959" ht="15.75" customHeight="1" s="51"/>
    <row r="960" ht="15.75" customHeight="1" s="51"/>
    <row r="961" ht="15.75" customHeight="1" s="51"/>
    <row r="962" ht="15.75" customHeight="1" s="51"/>
    <row r="963" ht="15.75" customHeight="1" s="51"/>
    <row r="964" ht="15.75" customHeight="1" s="51"/>
    <row r="965" ht="15.75" customHeight="1" s="51"/>
    <row r="966" ht="15.75" customHeight="1" s="51"/>
    <row r="967" ht="15.75" customHeight="1" s="51"/>
    <row r="968" ht="15.75" customHeight="1" s="51"/>
    <row r="969" ht="15.75" customHeight="1" s="51"/>
    <row r="970" ht="15.75" customHeight="1" s="51"/>
    <row r="971" ht="15.75" customHeight="1" s="51"/>
    <row r="972" ht="15.75" customHeight="1" s="51"/>
    <row r="973" ht="15.75" customHeight="1" s="51"/>
    <row r="974" ht="15.75" customHeight="1" s="51"/>
    <row r="975" ht="15.75" customHeight="1" s="51"/>
    <row r="976" ht="15.75" customHeight="1" s="51"/>
    <row r="977" ht="15.75" customHeight="1" s="51"/>
    <row r="978" ht="15.75" customHeight="1" s="51"/>
    <row r="979" ht="15.75" customHeight="1" s="51"/>
    <row r="980" ht="15.75" customHeight="1" s="51"/>
    <row r="981" ht="15.75" customHeight="1" s="51"/>
    <row r="982" ht="15.75" customHeight="1" s="51"/>
    <row r="983" ht="15.75" customHeight="1" s="51"/>
    <row r="984" ht="15.75" customHeight="1" s="51"/>
    <row r="985" ht="15.75" customHeight="1" s="51"/>
    <row r="986" ht="15.75" customHeight="1" s="51"/>
    <row r="987" ht="15.75" customHeight="1" s="51"/>
    <row r="988" ht="15.75" customHeight="1" s="51"/>
    <row r="989" ht="15.75" customHeight="1" s="51"/>
    <row r="990" ht="15.75" customHeight="1" s="51"/>
    <row r="991" ht="15.75" customHeight="1" s="51"/>
    <row r="992" ht="15.75" customHeight="1" s="51"/>
    <row r="993" ht="15.75" customHeight="1" s="51"/>
    <row r="994" ht="15.75" customHeight="1" s="51"/>
    <row r="995" ht="15.75" customHeight="1" s="51"/>
    <row r="996" ht="15.75" customHeight="1" s="51"/>
    <row r="997" ht="15.75" customHeight="1" s="51"/>
    <row r="998" ht="15.75" customHeight="1" s="51"/>
    <row r="999" ht="15.75" customHeight="1" s="51"/>
    <row r="1000" ht="15.75" customHeight="1" s="51"/>
  </sheetData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4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baseColWidth="8" defaultColWidth="14.43" defaultRowHeight="15" customHeight="1"/>
  <cols>
    <col width="12" customWidth="1" style="51" min="1" max="1"/>
    <col width="14" customWidth="1" style="51" min="2" max="2"/>
    <col width="22" customWidth="1" style="51" min="3" max="3"/>
    <col width="20" customWidth="1" style="51" min="4" max="4"/>
    <col width="22" customWidth="1" style="51" min="5" max="5"/>
    <col width="36" customWidth="1" style="51" min="6" max="6"/>
    <col width="14" customWidth="1" style="51" min="7" max="9"/>
    <col width="8.710000000000001" customWidth="1" style="51" min="10" max="26"/>
  </cols>
  <sheetData>
    <row r="1">
      <c r="A1" s="1" t="inlineStr">
        <is>
          <t>Company Portal Login Credentials</t>
        </is>
      </c>
    </row>
    <row r="2">
      <c r="A2" s="6" t="inlineStr">
        <is>
          <t>Company portal logins. Temporary passwords were removed from this copy; every demo account signs in with the password cirqo-demo (DECISIONS.md #34).</t>
        </is>
      </c>
    </row>
    <row r="3"/>
    <row r="4" ht="31.5" customHeight="1" s="51">
      <c r="A4" s="2" t="inlineStr">
        <is>
          <t>Company ID</t>
        </is>
      </c>
      <c r="B4" s="2" t="inlineStr">
        <is>
          <t>Company</t>
        </is>
      </c>
      <c r="C4" s="2" t="inlineStr">
        <is>
          <t>Category</t>
        </is>
      </c>
      <c r="D4" s="2" t="inlineStr">
        <is>
          <t>Username</t>
        </is>
      </c>
      <c r="E4" s="2" t="inlineStr">
        <is>
          <t>Temporary Password (removed; every demo password is cirqo-demo)</t>
        </is>
      </c>
      <c r="F4" s="2" t="inlineStr">
        <is>
          <t>Login Email</t>
        </is>
      </c>
      <c r="G4" s="2" t="inlineStr">
        <is>
          <t>Role</t>
        </is>
      </c>
      <c r="H4" s="2" t="inlineStr">
        <is>
          <t>Must Change Password</t>
        </is>
      </c>
      <c r="I4" s="2" t="inlineStr">
        <is>
          <t>Account Status</t>
        </is>
      </c>
    </row>
    <row r="5">
      <c r="A5" s="4" t="inlineStr">
        <is>
          <t>CO-001</t>
        </is>
      </c>
      <c r="B5" s="10" t="inlineStr">
        <is>
          <t>Morpheus</t>
        </is>
      </c>
      <c r="C5" s="4" t="inlineStr">
        <is>
          <t>Headphones &amp; Earbuds</t>
        </is>
      </c>
      <c r="D5" s="4" t="inlineStr">
        <is>
          <t>morpheus.admin</t>
        </is>
      </c>
      <c r="E5" s="11" t="n"/>
      <c r="F5" s="4" t="inlineStr">
        <is>
          <t>admin@morpheusaudio.example</t>
        </is>
      </c>
      <c r="G5" s="4" t="inlineStr">
        <is>
          <t>Brand Admin</t>
        </is>
      </c>
      <c r="H5" s="4" t="inlineStr">
        <is>
          <t>Yes</t>
        </is>
      </c>
      <c r="I5" s="4" t="inlineStr">
        <is>
          <t>Active</t>
        </is>
      </c>
    </row>
    <row r="6">
      <c r="A6" s="4" t="inlineStr">
        <is>
          <t>CO-002</t>
        </is>
      </c>
      <c r="B6" s="10" t="inlineStr">
        <is>
          <t>Carpo</t>
        </is>
      </c>
      <c r="C6" s="4" t="inlineStr">
        <is>
          <t>Headphones &amp; Earbuds</t>
        </is>
      </c>
      <c r="D6" s="4" t="inlineStr">
        <is>
          <t>carpo.admin</t>
        </is>
      </c>
      <c r="E6" s="11" t="n"/>
      <c r="F6" s="4" t="inlineStr">
        <is>
          <t>admin@carpoaudio.example</t>
        </is>
      </c>
      <c r="G6" s="4" t="inlineStr">
        <is>
          <t>Brand Admin</t>
        </is>
      </c>
      <c r="H6" s="4" t="inlineStr">
        <is>
          <t>Yes</t>
        </is>
      </c>
      <c r="I6" s="4" t="inlineStr">
        <is>
          <t>Active</t>
        </is>
      </c>
    </row>
    <row r="7">
      <c r="A7" s="4" t="inlineStr">
        <is>
          <t>CO-003</t>
        </is>
      </c>
      <c r="B7" s="10" t="inlineStr">
        <is>
          <t>Himeros</t>
        </is>
      </c>
      <c r="C7" s="4" t="inlineStr">
        <is>
          <t>Headphones &amp; Earbuds</t>
        </is>
      </c>
      <c r="D7" s="4" t="inlineStr">
        <is>
          <t>himeros.admin</t>
        </is>
      </c>
      <c r="E7" s="11" t="n"/>
      <c r="F7" s="4" t="inlineStr">
        <is>
          <t>admin@himerosaudio.example</t>
        </is>
      </c>
      <c r="G7" s="4" t="inlineStr">
        <is>
          <t>Brand Admin</t>
        </is>
      </c>
      <c r="H7" s="4" t="inlineStr">
        <is>
          <t>Yes</t>
        </is>
      </c>
      <c r="I7" s="4" t="inlineStr">
        <is>
          <t>Active</t>
        </is>
      </c>
    </row>
    <row r="8">
      <c r="A8" s="4" t="inlineStr">
        <is>
          <t>CO-004</t>
        </is>
      </c>
      <c r="B8" s="10" t="inlineStr">
        <is>
          <t>Doris</t>
        </is>
      </c>
      <c r="C8" s="4" t="inlineStr">
        <is>
          <t>Headphones &amp; Earbuds</t>
        </is>
      </c>
      <c r="D8" s="4" t="inlineStr">
        <is>
          <t>doris.admin</t>
        </is>
      </c>
      <c r="E8" s="11" t="n"/>
      <c r="F8" s="4" t="inlineStr">
        <is>
          <t>admin@dorisaudio.example</t>
        </is>
      </c>
      <c r="G8" s="4" t="inlineStr">
        <is>
          <t>Brand Admin</t>
        </is>
      </c>
      <c r="H8" s="4" t="inlineStr">
        <is>
          <t>Yes</t>
        </is>
      </c>
      <c r="I8" s="4" t="inlineStr">
        <is>
          <t>Active</t>
        </is>
      </c>
    </row>
    <row r="9">
      <c r="A9" s="4" t="inlineStr">
        <is>
          <t>CO-005</t>
        </is>
      </c>
      <c r="B9" s="10" t="inlineStr">
        <is>
          <t>Deimos</t>
        </is>
      </c>
      <c r="C9" s="4" t="inlineStr">
        <is>
          <t>Headphones &amp; Earbuds</t>
        </is>
      </c>
      <c r="D9" s="4" t="inlineStr">
        <is>
          <t>deimos.admin</t>
        </is>
      </c>
      <c r="E9" s="11" t="n"/>
      <c r="F9" s="4" t="inlineStr">
        <is>
          <t>admin@deimosaudio.example</t>
        </is>
      </c>
      <c r="G9" s="4" t="inlineStr">
        <is>
          <t>Brand Admin</t>
        </is>
      </c>
      <c r="H9" s="4" t="inlineStr">
        <is>
          <t>Yes</t>
        </is>
      </c>
      <c r="I9" s="4" t="inlineStr">
        <is>
          <t>Active</t>
        </is>
      </c>
    </row>
    <row r="10">
      <c r="A10" s="4" t="inlineStr">
        <is>
          <t>CO-006</t>
        </is>
      </c>
      <c r="B10" s="10" t="inlineStr">
        <is>
          <t>Asteria</t>
        </is>
      </c>
      <c r="C10" s="4" t="inlineStr">
        <is>
          <t>Headphones &amp; Earbuds</t>
        </is>
      </c>
      <c r="D10" s="4" t="inlineStr">
        <is>
          <t>asteria.admin</t>
        </is>
      </c>
      <c r="E10" s="11" t="n"/>
      <c r="F10" s="4" t="inlineStr">
        <is>
          <t>admin@asteriaaudio.example</t>
        </is>
      </c>
      <c r="G10" s="4" t="inlineStr">
        <is>
          <t>Brand Admin</t>
        </is>
      </c>
      <c r="H10" s="4" t="inlineStr">
        <is>
          <t>Yes</t>
        </is>
      </c>
      <c r="I10" s="4" t="inlineStr">
        <is>
          <t>Active</t>
        </is>
      </c>
    </row>
    <row r="11">
      <c r="A11" s="4" t="inlineStr">
        <is>
          <t>CO-007</t>
        </is>
      </c>
      <c r="B11" s="10" t="inlineStr">
        <is>
          <t>Tethys</t>
        </is>
      </c>
      <c r="C11" s="4" t="inlineStr">
        <is>
          <t>Headphones &amp; Earbuds</t>
        </is>
      </c>
      <c r="D11" s="4" t="inlineStr">
        <is>
          <t>tethys.admin</t>
        </is>
      </c>
      <c r="E11" s="11" t="n"/>
      <c r="F11" s="4" t="inlineStr">
        <is>
          <t>admin@tethysaudio.example</t>
        </is>
      </c>
      <c r="G11" s="4" t="inlineStr">
        <is>
          <t>Brand Admin</t>
        </is>
      </c>
      <c r="H11" s="4" t="inlineStr">
        <is>
          <t>Yes</t>
        </is>
      </c>
      <c r="I11" s="4" t="inlineStr">
        <is>
          <t>Active</t>
        </is>
      </c>
    </row>
    <row r="12">
      <c r="A12" s="4" t="inlineStr">
        <is>
          <t>CO-008</t>
        </is>
      </c>
      <c r="B12" s="10" t="inlineStr">
        <is>
          <t>Menoetius</t>
        </is>
      </c>
      <c r="C12" s="4" t="inlineStr">
        <is>
          <t>Headphones &amp; Earbuds</t>
        </is>
      </c>
      <c r="D12" s="4" t="inlineStr">
        <is>
          <t>menoetius.admin</t>
        </is>
      </c>
      <c r="E12" s="11" t="n"/>
      <c r="F12" s="4" t="inlineStr">
        <is>
          <t>admin@menoetiusaudio.example</t>
        </is>
      </c>
      <c r="G12" s="4" t="inlineStr">
        <is>
          <t>Brand Admin</t>
        </is>
      </c>
      <c r="H12" s="4" t="inlineStr">
        <is>
          <t>Yes</t>
        </is>
      </c>
      <c r="I12" s="4" t="inlineStr">
        <is>
          <t>Active</t>
        </is>
      </c>
    </row>
    <row r="13">
      <c r="A13" s="4" t="inlineStr">
        <is>
          <t>CO-009</t>
        </is>
      </c>
      <c r="B13" s="10" t="inlineStr">
        <is>
          <t>Phosphorus</t>
        </is>
      </c>
      <c r="C13" s="4" t="inlineStr">
        <is>
          <t>Headphones &amp; Earbuds</t>
        </is>
      </c>
      <c r="D13" s="4" t="inlineStr">
        <is>
          <t>phosphorus.admin</t>
        </is>
      </c>
      <c r="E13" s="11" t="n"/>
      <c r="F13" s="4" t="inlineStr">
        <is>
          <t>admin@phosphorusaudio.example</t>
        </is>
      </c>
      <c r="G13" s="4" t="inlineStr">
        <is>
          <t>Brand Admin</t>
        </is>
      </c>
      <c r="H13" s="4" t="inlineStr">
        <is>
          <t>Yes</t>
        </is>
      </c>
      <c r="I13" s="4" t="inlineStr">
        <is>
          <t>Active</t>
        </is>
      </c>
    </row>
    <row r="14">
      <c r="A14" s="4" t="inlineStr">
        <is>
          <t>CO-010</t>
        </is>
      </c>
      <c r="B14" s="10" t="inlineStr">
        <is>
          <t>Hedone</t>
        </is>
      </c>
      <c r="C14" s="4" t="inlineStr">
        <is>
          <t>Headphones &amp; Earbuds</t>
        </is>
      </c>
      <c r="D14" s="4" t="inlineStr">
        <is>
          <t>hedone.admin</t>
        </is>
      </c>
      <c r="E14" s="11" t="n"/>
      <c r="F14" s="4" t="inlineStr">
        <is>
          <t>admin@hedoneaudio.example</t>
        </is>
      </c>
      <c r="G14" s="4" t="inlineStr">
        <is>
          <t>Brand Admin</t>
        </is>
      </c>
      <c r="H14" s="4" t="inlineStr">
        <is>
          <t>Yes</t>
        </is>
      </c>
      <c r="I14" s="4" t="inlineStr">
        <is>
          <t>Active</t>
        </is>
      </c>
    </row>
    <row r="15">
      <c r="A15" s="4" t="inlineStr">
        <is>
          <t>CO-011</t>
        </is>
      </c>
      <c r="B15" s="10" t="inlineStr">
        <is>
          <t>Hebe</t>
        </is>
      </c>
      <c r="C15" s="4" t="inlineStr">
        <is>
          <t>Headphones &amp; Earbuds</t>
        </is>
      </c>
      <c r="D15" s="4" t="inlineStr">
        <is>
          <t>hebe.admin</t>
        </is>
      </c>
      <c r="E15" s="11" t="n"/>
      <c r="F15" s="4" t="inlineStr">
        <is>
          <t>admin@hebeaudio.example</t>
        </is>
      </c>
      <c r="G15" s="4" t="inlineStr">
        <is>
          <t>Brand Admin</t>
        </is>
      </c>
      <c r="H15" s="4" t="inlineStr">
        <is>
          <t>Yes</t>
        </is>
      </c>
      <c r="I15" s="4" t="inlineStr">
        <is>
          <t>Active</t>
        </is>
      </c>
    </row>
    <row r="16">
      <c r="A16" s="4" t="inlineStr">
        <is>
          <t>CO-012</t>
        </is>
      </c>
      <c r="B16" s="10" t="inlineStr">
        <is>
          <t>Glaucus</t>
        </is>
      </c>
      <c r="C16" s="4" t="inlineStr">
        <is>
          <t>Headphones &amp; Earbuds</t>
        </is>
      </c>
      <c r="D16" s="4" t="inlineStr">
        <is>
          <t>glaucus.admin</t>
        </is>
      </c>
      <c r="E16" s="11" t="n"/>
      <c r="F16" s="4" t="inlineStr">
        <is>
          <t>admin@glaucusaudio.example</t>
        </is>
      </c>
      <c r="G16" s="4" t="inlineStr">
        <is>
          <t>Brand Admin</t>
        </is>
      </c>
      <c r="H16" s="4" t="inlineStr">
        <is>
          <t>Yes</t>
        </is>
      </c>
      <c r="I16" s="4" t="inlineStr">
        <is>
          <t>Active</t>
        </is>
      </c>
    </row>
    <row r="17">
      <c r="A17" s="4" t="inlineStr">
        <is>
          <t>CO-013</t>
        </is>
      </c>
      <c r="B17" s="10" t="inlineStr">
        <is>
          <t>Zeus</t>
        </is>
      </c>
      <c r="C17" s="4" t="inlineStr">
        <is>
          <t>Headphones &amp; Earbuds</t>
        </is>
      </c>
      <c r="D17" s="4" t="inlineStr">
        <is>
          <t>zeus.admin</t>
        </is>
      </c>
      <c r="E17" s="11" t="n"/>
      <c r="F17" s="4" t="inlineStr">
        <is>
          <t>admin@zeusaudio.example</t>
        </is>
      </c>
      <c r="G17" s="4" t="inlineStr">
        <is>
          <t>Brand Admin</t>
        </is>
      </c>
      <c r="H17" s="4" t="inlineStr">
        <is>
          <t>Yes</t>
        </is>
      </c>
      <c r="I17" s="4" t="inlineStr">
        <is>
          <t>Active</t>
        </is>
      </c>
    </row>
    <row r="18">
      <c r="A18" s="4" t="inlineStr">
        <is>
          <t>CO-014</t>
        </is>
      </c>
      <c r="B18" s="10" t="inlineStr">
        <is>
          <t>Soteria</t>
        </is>
      </c>
      <c r="C18" s="4" t="inlineStr">
        <is>
          <t>Headphones &amp; Earbuds</t>
        </is>
      </c>
      <c r="D18" s="4" t="inlineStr">
        <is>
          <t>soteria.admin</t>
        </is>
      </c>
      <c r="E18" s="11" t="n"/>
      <c r="F18" s="4" t="inlineStr">
        <is>
          <t>admin@soteriaaudio.example</t>
        </is>
      </c>
      <c r="G18" s="4" t="inlineStr">
        <is>
          <t>Brand Admin</t>
        </is>
      </c>
      <c r="H18" s="4" t="inlineStr">
        <is>
          <t>Yes</t>
        </is>
      </c>
      <c r="I18" s="4" t="inlineStr">
        <is>
          <t>Active</t>
        </is>
      </c>
    </row>
    <row r="19">
      <c r="A19" s="4" t="inlineStr">
        <is>
          <t>CO-015</t>
        </is>
      </c>
      <c r="B19" s="10" t="inlineStr">
        <is>
          <t>Aura</t>
        </is>
      </c>
      <c r="C19" s="4" t="inlineStr">
        <is>
          <t>Headphones &amp; Earbuds</t>
        </is>
      </c>
      <c r="D19" s="4" t="inlineStr">
        <is>
          <t>aura.admin</t>
        </is>
      </c>
      <c r="E19" s="11" t="n"/>
      <c r="F19" s="4" t="inlineStr">
        <is>
          <t>admin@auraaudio.example</t>
        </is>
      </c>
      <c r="G19" s="4" t="inlineStr">
        <is>
          <t>Brand Admin</t>
        </is>
      </c>
      <c r="H19" s="4" t="inlineStr">
        <is>
          <t>Yes</t>
        </is>
      </c>
      <c r="I19" s="4" t="inlineStr">
        <is>
          <t>Active</t>
        </is>
      </c>
    </row>
    <row r="20">
      <c r="A20" s="4" t="inlineStr">
        <is>
          <t>CO-016</t>
        </is>
      </c>
      <c r="B20" s="10" t="inlineStr">
        <is>
          <t>Chaos</t>
        </is>
      </c>
      <c r="C20" s="4" t="inlineStr">
        <is>
          <t>Headphones &amp; Earbuds</t>
        </is>
      </c>
      <c r="D20" s="4" t="inlineStr">
        <is>
          <t>chaos.admin</t>
        </is>
      </c>
      <c r="E20" s="11" t="n"/>
      <c r="F20" s="4" t="inlineStr">
        <is>
          <t>admin@chaosaudio.example</t>
        </is>
      </c>
      <c r="G20" s="4" t="inlineStr">
        <is>
          <t>Brand Admin</t>
        </is>
      </c>
      <c r="H20" s="4" t="inlineStr">
        <is>
          <t>Yes</t>
        </is>
      </c>
      <c r="I20" s="4" t="inlineStr">
        <is>
          <t>Active</t>
        </is>
      </c>
    </row>
    <row r="21" ht="15.75" customHeight="1" s="51">
      <c r="A21" s="4" t="inlineStr">
        <is>
          <t>CO-017</t>
        </is>
      </c>
      <c r="B21" s="10" t="inlineStr">
        <is>
          <t>Tartarus</t>
        </is>
      </c>
      <c r="C21" s="4" t="inlineStr">
        <is>
          <t>Headphones &amp; Earbuds</t>
        </is>
      </c>
      <c r="D21" s="4" t="inlineStr">
        <is>
          <t>tartarus.admin</t>
        </is>
      </c>
      <c r="E21" s="11" t="n"/>
      <c r="F21" s="4" t="inlineStr">
        <is>
          <t>admin@tartarusaudio.example</t>
        </is>
      </c>
      <c r="G21" s="4" t="inlineStr">
        <is>
          <t>Brand Admin</t>
        </is>
      </c>
      <c r="H21" s="4" t="inlineStr">
        <is>
          <t>Yes</t>
        </is>
      </c>
      <c r="I21" s="4" t="inlineStr">
        <is>
          <t>Active</t>
        </is>
      </c>
    </row>
    <row r="22" ht="15.75" customHeight="1" s="51">
      <c r="A22" s="4" t="inlineStr">
        <is>
          <t>CO-018</t>
        </is>
      </c>
      <c r="B22" s="10" t="inlineStr">
        <is>
          <t>Achelous</t>
        </is>
      </c>
      <c r="C22" s="4" t="inlineStr">
        <is>
          <t>Headphones &amp; Earbuds</t>
        </is>
      </c>
      <c r="D22" s="4" t="inlineStr">
        <is>
          <t>achelous.admin</t>
        </is>
      </c>
      <c r="E22" s="11" t="n"/>
      <c r="F22" s="4" t="inlineStr">
        <is>
          <t>admin@achelousaudio.example</t>
        </is>
      </c>
      <c r="G22" s="4" t="inlineStr">
        <is>
          <t>Brand Admin</t>
        </is>
      </c>
      <c r="H22" s="4" t="inlineStr">
        <is>
          <t>Yes</t>
        </is>
      </c>
      <c r="I22" s="4" t="inlineStr">
        <is>
          <t>Active</t>
        </is>
      </c>
    </row>
    <row r="23" ht="15.75" customHeight="1" s="51">
      <c r="A23" s="4" t="inlineStr">
        <is>
          <t>CO-019</t>
        </is>
      </c>
      <c r="B23" s="10" t="inlineStr">
        <is>
          <t>Euphrosyne</t>
        </is>
      </c>
      <c r="C23" s="4" t="inlineStr">
        <is>
          <t>Headphones &amp; Earbuds</t>
        </is>
      </c>
      <c r="D23" s="4" t="inlineStr">
        <is>
          <t>euphrosyne.admin</t>
        </is>
      </c>
      <c r="E23" s="11" t="n"/>
      <c r="F23" s="4" t="inlineStr">
        <is>
          <t>admin@euphrosyneaudio.example</t>
        </is>
      </c>
      <c r="G23" s="4" t="inlineStr">
        <is>
          <t>Brand Admin</t>
        </is>
      </c>
      <c r="H23" s="4" t="inlineStr">
        <is>
          <t>Yes</t>
        </is>
      </c>
      <c r="I23" s="4" t="inlineStr">
        <is>
          <t>Active</t>
        </is>
      </c>
    </row>
    <row r="24" ht="15.75" customHeight="1" s="51">
      <c r="A24" s="4" t="inlineStr">
        <is>
          <t>CO-020</t>
        </is>
      </c>
      <c r="B24" s="10" t="inlineStr">
        <is>
          <t>Nereus</t>
        </is>
      </c>
      <c r="C24" s="4" t="inlineStr">
        <is>
          <t>Headphones &amp; Earbuds</t>
        </is>
      </c>
      <c r="D24" s="4" t="inlineStr">
        <is>
          <t>nereus.admin</t>
        </is>
      </c>
      <c r="E24" s="11" t="n"/>
      <c r="F24" s="4" t="inlineStr">
        <is>
          <t>admin@nereusaudio.example</t>
        </is>
      </c>
      <c r="G24" s="4" t="inlineStr">
        <is>
          <t>Brand Admin</t>
        </is>
      </c>
      <c r="H24" s="4" t="inlineStr">
        <is>
          <t>Yes</t>
        </is>
      </c>
      <c r="I24" s="4" t="inlineStr">
        <is>
          <t>Active</t>
        </is>
      </c>
    </row>
    <row r="25" ht="15.75" customHeight="1" s="51">
      <c r="A25" s="4" t="inlineStr">
        <is>
          <t>CO-021</t>
        </is>
      </c>
      <c r="B25" s="10" t="inlineStr">
        <is>
          <t>Poseidon</t>
        </is>
      </c>
      <c r="C25" s="4" t="inlineStr">
        <is>
          <t>Headphones &amp; Earbuds</t>
        </is>
      </c>
      <c r="D25" s="4" t="inlineStr">
        <is>
          <t>poseidon.admin</t>
        </is>
      </c>
      <c r="E25" s="11" t="n"/>
      <c r="F25" s="4" t="inlineStr">
        <is>
          <t>admin@poseidonaudio.example</t>
        </is>
      </c>
      <c r="G25" s="4" t="inlineStr">
        <is>
          <t>Brand Admin</t>
        </is>
      </c>
      <c r="H25" s="4" t="inlineStr">
        <is>
          <t>Yes</t>
        </is>
      </c>
      <c r="I25" s="4" t="inlineStr">
        <is>
          <t>Active</t>
        </is>
      </c>
    </row>
    <row r="26" ht="15.75" customHeight="1" s="51">
      <c r="A26" s="4" t="inlineStr">
        <is>
          <t>CO-022</t>
        </is>
      </c>
      <c r="B26" s="10" t="inlineStr">
        <is>
          <t>Clio</t>
        </is>
      </c>
      <c r="C26" s="4" t="inlineStr">
        <is>
          <t>Headphones &amp; Earbuds</t>
        </is>
      </c>
      <c r="D26" s="4" t="inlineStr">
        <is>
          <t>clio.admin</t>
        </is>
      </c>
      <c r="E26" s="11" t="n"/>
      <c r="F26" s="4" t="inlineStr">
        <is>
          <t>admin@clioaudio.example</t>
        </is>
      </c>
      <c r="G26" s="4" t="inlineStr">
        <is>
          <t>Brand Admin</t>
        </is>
      </c>
      <c r="H26" s="4" t="inlineStr">
        <is>
          <t>Yes</t>
        </is>
      </c>
      <c r="I26" s="4" t="inlineStr">
        <is>
          <t>Active</t>
        </is>
      </c>
    </row>
    <row r="27" ht="15.75" customHeight="1" s="51">
      <c r="A27" s="4" t="inlineStr">
        <is>
          <t>CO-023</t>
        </is>
      </c>
      <c r="B27" s="10" t="inlineStr">
        <is>
          <t>Ananke</t>
        </is>
      </c>
      <c r="C27" s="4" t="inlineStr">
        <is>
          <t>Headphones &amp; Earbuds</t>
        </is>
      </c>
      <c r="D27" s="4" t="inlineStr">
        <is>
          <t>ananke.admin</t>
        </is>
      </c>
      <c r="E27" s="11" t="n"/>
      <c r="F27" s="4" t="inlineStr">
        <is>
          <t>admin@anankeaudio.example</t>
        </is>
      </c>
      <c r="G27" s="4" t="inlineStr">
        <is>
          <t>Brand Admin</t>
        </is>
      </c>
      <c r="H27" s="4" t="inlineStr">
        <is>
          <t>Yes</t>
        </is>
      </c>
      <c r="I27" s="4" t="inlineStr">
        <is>
          <t>Active</t>
        </is>
      </c>
    </row>
    <row r="28" ht="15.75" customHeight="1" s="51">
      <c r="A28" s="4" t="inlineStr">
        <is>
          <t>CO-024</t>
        </is>
      </c>
      <c r="B28" s="10" t="inlineStr">
        <is>
          <t>Asclepius</t>
        </is>
      </c>
      <c r="C28" s="4" t="inlineStr">
        <is>
          <t>Headphones &amp; Earbuds</t>
        </is>
      </c>
      <c r="D28" s="4" t="inlineStr">
        <is>
          <t>asclepius.admin</t>
        </is>
      </c>
      <c r="E28" s="11" t="n"/>
      <c r="F28" s="4" t="inlineStr">
        <is>
          <t>admin@asclepiusaudio.example</t>
        </is>
      </c>
      <c r="G28" s="4" t="inlineStr">
        <is>
          <t>Brand Admin</t>
        </is>
      </c>
      <c r="H28" s="4" t="inlineStr">
        <is>
          <t>Yes</t>
        </is>
      </c>
      <c r="I28" s="4" t="inlineStr">
        <is>
          <t>Active</t>
        </is>
      </c>
    </row>
    <row r="29" ht="15.75" customHeight="1" s="51">
      <c r="A29" s="4" t="inlineStr">
        <is>
          <t>CO-025</t>
        </is>
      </c>
      <c r="B29" s="10" t="inlineStr">
        <is>
          <t>Hesperus</t>
        </is>
      </c>
      <c r="C29" s="4" t="inlineStr">
        <is>
          <t>Headphones &amp; Earbuds</t>
        </is>
      </c>
      <c r="D29" s="4" t="inlineStr">
        <is>
          <t>hesperus.admin</t>
        </is>
      </c>
      <c r="E29" s="11" t="n"/>
      <c r="F29" s="4" t="inlineStr">
        <is>
          <t>admin@hesperusaudio.example</t>
        </is>
      </c>
      <c r="G29" s="4" t="inlineStr">
        <is>
          <t>Brand Admin</t>
        </is>
      </c>
      <c r="H29" s="4" t="inlineStr">
        <is>
          <t>Yes</t>
        </is>
      </c>
      <c r="I29" s="4" t="inlineStr">
        <is>
          <t>Active</t>
        </is>
      </c>
    </row>
    <row r="30" ht="15.75" customHeight="1" s="51">
      <c r="A30" s="19" t="inlineStr">
        <is>
          <t>CO-026</t>
        </is>
      </c>
      <c r="B30" s="25" t="inlineStr">
        <is>
          <t>Melpomene</t>
        </is>
      </c>
      <c r="C30" s="19" t="inlineStr">
        <is>
          <t>Laptops</t>
        </is>
      </c>
      <c r="D30" s="19" t="inlineStr">
        <is>
          <t>melpomene.admin</t>
        </is>
      </c>
      <c r="E30" s="27" t="n"/>
      <c r="F30" s="19" t="inlineStr">
        <is>
          <t>admin@melpomenecomputing.example</t>
        </is>
      </c>
      <c r="G30" s="19" t="inlineStr">
        <is>
          <t>Brand Admin</t>
        </is>
      </c>
      <c r="H30" s="19" t="inlineStr">
        <is>
          <t>Yes</t>
        </is>
      </c>
      <c r="I30" s="19" t="inlineStr">
        <is>
          <t>Active</t>
        </is>
      </c>
    </row>
    <row r="31" ht="15.75" customHeight="1" s="51">
      <c r="A31" s="19" t="inlineStr">
        <is>
          <t>CO-027</t>
        </is>
      </c>
      <c r="B31" s="25" t="inlineStr">
        <is>
          <t>Aristaeus</t>
        </is>
      </c>
      <c r="C31" s="19" t="inlineStr">
        <is>
          <t>Laptops</t>
        </is>
      </c>
      <c r="D31" s="19" t="inlineStr">
        <is>
          <t>aristaeus.admin</t>
        </is>
      </c>
      <c r="E31" s="27" t="n"/>
      <c r="F31" s="19" t="inlineStr">
        <is>
          <t>admin@aristaeuscomputing.example</t>
        </is>
      </c>
      <c r="G31" s="19" t="inlineStr">
        <is>
          <t>Brand Admin</t>
        </is>
      </c>
      <c r="H31" s="19" t="inlineStr">
        <is>
          <t>Yes</t>
        </is>
      </c>
      <c r="I31" s="19" t="inlineStr">
        <is>
          <t>Active</t>
        </is>
      </c>
    </row>
    <row r="32" ht="15.75" customHeight="1" s="51">
      <c r="A32" s="19" t="inlineStr">
        <is>
          <t>CO-028</t>
        </is>
      </c>
      <c r="B32" s="25" t="inlineStr">
        <is>
          <t>Demeter</t>
        </is>
      </c>
      <c r="C32" s="19" t="inlineStr">
        <is>
          <t>Laptops</t>
        </is>
      </c>
      <c r="D32" s="19" t="inlineStr">
        <is>
          <t>demeter.admin</t>
        </is>
      </c>
      <c r="E32" s="27" t="n"/>
      <c r="F32" s="19" t="inlineStr">
        <is>
          <t>admin@demetercomputing.example</t>
        </is>
      </c>
      <c r="G32" s="19" t="inlineStr">
        <is>
          <t>Brand Admin</t>
        </is>
      </c>
      <c r="H32" s="19" t="inlineStr">
        <is>
          <t>Yes</t>
        </is>
      </c>
      <c r="I32" s="19" t="inlineStr">
        <is>
          <t>Active</t>
        </is>
      </c>
    </row>
    <row r="33" ht="15.75" customHeight="1" s="51">
      <c r="A33" s="19" t="inlineStr">
        <is>
          <t>CO-029</t>
        </is>
      </c>
      <c r="B33" s="25" t="inlineStr">
        <is>
          <t>Metis</t>
        </is>
      </c>
      <c r="C33" s="19" t="inlineStr">
        <is>
          <t>Laptops</t>
        </is>
      </c>
      <c r="D33" s="19" t="inlineStr">
        <is>
          <t>metis.admin</t>
        </is>
      </c>
      <c r="E33" s="27" t="n"/>
      <c r="F33" s="19" t="inlineStr">
        <is>
          <t>admin@metiscomputing.example</t>
        </is>
      </c>
      <c r="G33" s="19" t="inlineStr">
        <is>
          <t>Brand Admin</t>
        </is>
      </c>
      <c r="H33" s="19" t="inlineStr">
        <is>
          <t>Yes</t>
        </is>
      </c>
      <c r="I33" s="19" t="inlineStr">
        <is>
          <t>Active</t>
        </is>
      </c>
    </row>
    <row r="34" ht="15.75" customHeight="1" s="51">
      <c r="A34" s="19" t="inlineStr">
        <is>
          <t>CO-030</t>
        </is>
      </c>
      <c r="B34" s="25" t="inlineStr">
        <is>
          <t>Thalia</t>
        </is>
      </c>
      <c r="C34" s="19" t="inlineStr">
        <is>
          <t>Laptops</t>
        </is>
      </c>
      <c r="D34" s="19" t="inlineStr">
        <is>
          <t>thalia.admin</t>
        </is>
      </c>
      <c r="E34" s="27" t="n"/>
      <c r="F34" s="19" t="inlineStr">
        <is>
          <t>admin@thaliacomputing.example</t>
        </is>
      </c>
      <c r="G34" s="19" t="inlineStr">
        <is>
          <t>Brand Admin</t>
        </is>
      </c>
      <c r="H34" s="19" t="inlineStr">
        <is>
          <t>Yes</t>
        </is>
      </c>
      <c r="I34" s="19" t="inlineStr">
        <is>
          <t>Active</t>
        </is>
      </c>
    </row>
    <row r="35" ht="15.75" customHeight="1" s="51">
      <c r="A35" s="19" t="inlineStr">
        <is>
          <t>CO-031</t>
        </is>
      </c>
      <c r="B35" s="25" t="inlineStr">
        <is>
          <t>Aeolus</t>
        </is>
      </c>
      <c r="C35" s="19" t="inlineStr">
        <is>
          <t>Laptops</t>
        </is>
      </c>
      <c r="D35" s="19" t="inlineStr">
        <is>
          <t>aeolus.admin</t>
        </is>
      </c>
      <c r="E35" s="27" t="n"/>
      <c r="F35" s="19" t="inlineStr">
        <is>
          <t>admin@aeoluscomputing.example</t>
        </is>
      </c>
      <c r="G35" s="19" t="inlineStr">
        <is>
          <t>Brand Admin</t>
        </is>
      </c>
      <c r="H35" s="19" t="inlineStr">
        <is>
          <t>Yes</t>
        </is>
      </c>
      <c r="I35" s="19" t="inlineStr">
        <is>
          <t>Active</t>
        </is>
      </c>
    </row>
    <row r="36" ht="15.75" customHeight="1" s="51">
      <c r="A36" s="19" t="inlineStr">
        <is>
          <t>CO-032</t>
        </is>
      </c>
      <c r="B36" s="25" t="inlineStr">
        <is>
          <t>Zephyrus</t>
        </is>
      </c>
      <c r="C36" s="19" t="inlineStr">
        <is>
          <t>Laptops</t>
        </is>
      </c>
      <c r="D36" s="19" t="inlineStr">
        <is>
          <t>zephyrus.admin</t>
        </is>
      </c>
      <c r="E36" s="27" t="n"/>
      <c r="F36" s="19" t="inlineStr">
        <is>
          <t>admin@zephyruscomputing.example</t>
        </is>
      </c>
      <c r="G36" s="19" t="inlineStr">
        <is>
          <t>Brand Admin</t>
        </is>
      </c>
      <c r="H36" s="19" t="inlineStr">
        <is>
          <t>Yes</t>
        </is>
      </c>
      <c r="I36" s="19" t="inlineStr">
        <is>
          <t>Active</t>
        </is>
      </c>
    </row>
    <row r="37" ht="15.75" customHeight="1" s="51">
      <c r="A37" s="19" t="inlineStr">
        <is>
          <t>CO-033</t>
        </is>
      </c>
      <c r="B37" s="25" t="inlineStr">
        <is>
          <t>Homonoia</t>
        </is>
      </c>
      <c r="C37" s="19" t="inlineStr">
        <is>
          <t>Laptops</t>
        </is>
      </c>
      <c r="D37" s="19" t="inlineStr">
        <is>
          <t>homonoia.admin</t>
        </is>
      </c>
      <c r="E37" s="27" t="n"/>
      <c r="F37" s="19" t="inlineStr">
        <is>
          <t>admin@homonoiacomputing.example</t>
        </is>
      </c>
      <c r="G37" s="19" t="inlineStr">
        <is>
          <t>Brand Admin</t>
        </is>
      </c>
      <c r="H37" s="19" t="inlineStr">
        <is>
          <t>Yes</t>
        </is>
      </c>
      <c r="I37" s="19" t="inlineStr">
        <is>
          <t>Active</t>
        </is>
      </c>
    </row>
    <row r="38" ht="15.75" customHeight="1" s="51">
      <c r="A38" s="19" t="inlineStr">
        <is>
          <t>CO-034</t>
        </is>
      </c>
      <c r="B38" s="25" t="inlineStr">
        <is>
          <t>Selene</t>
        </is>
      </c>
      <c r="C38" s="19" t="inlineStr">
        <is>
          <t>Laptops</t>
        </is>
      </c>
      <c r="D38" s="19" t="inlineStr">
        <is>
          <t>selene.admin</t>
        </is>
      </c>
      <c r="E38" s="27" t="n"/>
      <c r="F38" s="19" t="inlineStr">
        <is>
          <t>admin@selenecomputing.example</t>
        </is>
      </c>
      <c r="G38" s="19" t="inlineStr">
        <is>
          <t>Brand Admin</t>
        </is>
      </c>
      <c r="H38" s="19" t="inlineStr">
        <is>
          <t>Yes</t>
        </is>
      </c>
      <c r="I38" s="19" t="inlineStr">
        <is>
          <t>Active</t>
        </is>
      </c>
    </row>
    <row r="39" ht="15.75" customHeight="1" s="51">
      <c r="A39" s="19" t="inlineStr">
        <is>
          <t>CO-035</t>
        </is>
      </c>
      <c r="B39" s="25" t="inlineStr">
        <is>
          <t>Atropos</t>
        </is>
      </c>
      <c r="C39" s="19" t="inlineStr">
        <is>
          <t>Laptops</t>
        </is>
      </c>
      <c r="D39" s="19" t="inlineStr">
        <is>
          <t>atropos.admin</t>
        </is>
      </c>
      <c r="E39" s="27" t="n"/>
      <c r="F39" s="19" t="inlineStr">
        <is>
          <t>admin@atroposcomputing.example</t>
        </is>
      </c>
      <c r="G39" s="19" t="inlineStr">
        <is>
          <t>Brand Admin</t>
        </is>
      </c>
      <c r="H39" s="19" t="inlineStr">
        <is>
          <t>Yes</t>
        </is>
      </c>
      <c r="I39" s="19" t="inlineStr">
        <is>
          <t>Active</t>
        </is>
      </c>
    </row>
    <row r="40" ht="15.75" customHeight="1" s="51">
      <c r="A40" s="19" t="inlineStr">
        <is>
          <t>CO-036</t>
        </is>
      </c>
      <c r="B40" s="25" t="inlineStr">
        <is>
          <t>Persephone</t>
        </is>
      </c>
      <c r="C40" s="19" t="inlineStr">
        <is>
          <t>Laptops</t>
        </is>
      </c>
      <c r="D40" s="19" t="inlineStr">
        <is>
          <t>persephone.admin</t>
        </is>
      </c>
      <c r="E40" s="27" t="n"/>
      <c r="F40" s="19" t="inlineStr">
        <is>
          <t>admin@persephonecomputing.example</t>
        </is>
      </c>
      <c r="G40" s="19" t="inlineStr">
        <is>
          <t>Brand Admin</t>
        </is>
      </c>
      <c r="H40" s="19" t="inlineStr">
        <is>
          <t>Yes</t>
        </is>
      </c>
      <c r="I40" s="19" t="inlineStr">
        <is>
          <t>Active</t>
        </is>
      </c>
    </row>
    <row r="41" ht="15.75" customHeight="1" s="51">
      <c r="A41" s="19" t="inlineStr">
        <is>
          <t>CO-037</t>
        </is>
      </c>
      <c r="B41" s="25" t="inlineStr">
        <is>
          <t>Heracles</t>
        </is>
      </c>
      <c r="C41" s="19" t="inlineStr">
        <is>
          <t>Laptops</t>
        </is>
      </c>
      <c r="D41" s="19" t="inlineStr">
        <is>
          <t>heracles.admin</t>
        </is>
      </c>
      <c r="E41" s="27" t="n"/>
      <c r="F41" s="19" t="inlineStr">
        <is>
          <t>admin@heraclescomputing.example</t>
        </is>
      </c>
      <c r="G41" s="19" t="inlineStr">
        <is>
          <t>Brand Admin</t>
        </is>
      </c>
      <c r="H41" s="19" t="inlineStr">
        <is>
          <t>Yes</t>
        </is>
      </c>
      <c r="I41" s="19" t="inlineStr">
        <is>
          <t>Active</t>
        </is>
      </c>
    </row>
    <row r="42" ht="15.75" customHeight="1" s="51">
      <c r="A42" s="19" t="inlineStr">
        <is>
          <t>CO-038</t>
        </is>
      </c>
      <c r="B42" s="25" t="inlineStr">
        <is>
          <t>Auxo</t>
        </is>
      </c>
      <c r="C42" s="19" t="inlineStr">
        <is>
          <t>Laptops</t>
        </is>
      </c>
      <c r="D42" s="19" t="inlineStr">
        <is>
          <t>auxo.admin</t>
        </is>
      </c>
      <c r="E42" s="27" t="n"/>
      <c r="F42" s="19" t="inlineStr">
        <is>
          <t>admin@auxocomputing.example</t>
        </is>
      </c>
      <c r="G42" s="19" t="inlineStr">
        <is>
          <t>Brand Admin</t>
        </is>
      </c>
      <c r="H42" s="19" t="inlineStr">
        <is>
          <t>Yes</t>
        </is>
      </c>
      <c r="I42" s="19" t="inlineStr">
        <is>
          <t>Active</t>
        </is>
      </c>
    </row>
    <row r="43" ht="15.75" customHeight="1" s="51">
      <c r="A43" s="19" t="inlineStr">
        <is>
          <t>CO-039</t>
        </is>
      </c>
      <c r="B43" s="25" t="inlineStr">
        <is>
          <t>Terpsichore</t>
        </is>
      </c>
      <c r="C43" s="19" t="inlineStr">
        <is>
          <t>Laptops</t>
        </is>
      </c>
      <c r="D43" s="19" t="inlineStr">
        <is>
          <t>terpsichore.admin</t>
        </is>
      </c>
      <c r="E43" s="27" t="n"/>
      <c r="F43" s="19" t="inlineStr">
        <is>
          <t>admin@terpsichorecomputing.example</t>
        </is>
      </c>
      <c r="G43" s="19" t="inlineStr">
        <is>
          <t>Brand Admin</t>
        </is>
      </c>
      <c r="H43" s="19" t="inlineStr">
        <is>
          <t>Yes</t>
        </is>
      </c>
      <c r="I43" s="19" t="inlineStr">
        <is>
          <t>Active</t>
        </is>
      </c>
    </row>
    <row r="44" ht="15.75" customHeight="1" s="51">
      <c r="A44" s="19" t="inlineStr">
        <is>
          <t>CO-040</t>
        </is>
      </c>
      <c r="B44" s="25" t="inlineStr">
        <is>
          <t>Calliope</t>
        </is>
      </c>
      <c r="C44" s="19" t="inlineStr">
        <is>
          <t>Laptops</t>
        </is>
      </c>
      <c r="D44" s="19" t="inlineStr">
        <is>
          <t>calliope.admin</t>
        </is>
      </c>
      <c r="E44" s="27" t="n"/>
      <c r="F44" s="19" t="inlineStr">
        <is>
          <t>admin@calliopecomputing.example</t>
        </is>
      </c>
      <c r="G44" s="19" t="inlineStr">
        <is>
          <t>Brand Admin</t>
        </is>
      </c>
      <c r="H44" s="19" t="inlineStr">
        <is>
          <t>Yes</t>
        </is>
      </c>
      <c r="I44" s="19" t="inlineStr">
        <is>
          <t>Active</t>
        </is>
      </c>
    </row>
    <row r="45" ht="15.75" customHeight="1" s="51">
      <c r="A45" s="19" t="inlineStr">
        <is>
          <t>CO-041</t>
        </is>
      </c>
      <c r="B45" s="25" t="inlineStr">
        <is>
          <t>Polyhymnia</t>
        </is>
      </c>
      <c r="C45" s="19" t="inlineStr">
        <is>
          <t>Laptops</t>
        </is>
      </c>
      <c r="D45" s="19" t="inlineStr">
        <is>
          <t>polyhymnia.admin</t>
        </is>
      </c>
      <c r="E45" s="27" t="n"/>
      <c r="F45" s="19" t="inlineStr">
        <is>
          <t>admin@polyhymniacomputing.example</t>
        </is>
      </c>
      <c r="G45" s="19" t="inlineStr">
        <is>
          <t>Brand Admin</t>
        </is>
      </c>
      <c r="H45" s="19" t="inlineStr">
        <is>
          <t>Yes</t>
        </is>
      </c>
      <c r="I45" s="19" t="inlineStr">
        <is>
          <t>Active</t>
        </is>
      </c>
    </row>
    <row r="46" ht="15.75" customHeight="1" s="51">
      <c r="A46" s="19" t="inlineStr">
        <is>
          <t>CO-042</t>
        </is>
      </c>
      <c r="B46" s="25" t="inlineStr">
        <is>
          <t>Priapus</t>
        </is>
      </c>
      <c r="C46" s="19" t="inlineStr">
        <is>
          <t>Laptops</t>
        </is>
      </c>
      <c r="D46" s="19" t="inlineStr">
        <is>
          <t>priapus.admin</t>
        </is>
      </c>
      <c r="E46" s="27" t="n"/>
      <c r="F46" s="19" t="inlineStr">
        <is>
          <t>admin@priapuscomputing.example</t>
        </is>
      </c>
      <c r="G46" s="19" t="inlineStr">
        <is>
          <t>Brand Admin</t>
        </is>
      </c>
      <c r="H46" s="19" t="inlineStr">
        <is>
          <t>Yes</t>
        </is>
      </c>
      <c r="I46" s="19" t="inlineStr">
        <is>
          <t>Active</t>
        </is>
      </c>
    </row>
    <row r="47" ht="15.75" customHeight="1" s="51">
      <c r="A47" s="19" t="inlineStr">
        <is>
          <t>CO-043</t>
        </is>
      </c>
      <c r="B47" s="25" t="inlineStr">
        <is>
          <t>Momus</t>
        </is>
      </c>
      <c r="C47" s="19" t="inlineStr">
        <is>
          <t>Laptops</t>
        </is>
      </c>
      <c r="D47" s="19" t="inlineStr">
        <is>
          <t>momus.admin</t>
        </is>
      </c>
      <c r="E47" s="27" t="n"/>
      <c r="F47" s="19" t="inlineStr">
        <is>
          <t>admin@momuscomputing.example</t>
        </is>
      </c>
      <c r="G47" s="19" t="inlineStr">
        <is>
          <t>Brand Admin</t>
        </is>
      </c>
      <c r="H47" s="19" t="inlineStr">
        <is>
          <t>Yes</t>
        </is>
      </c>
      <c r="I47" s="19" t="inlineStr">
        <is>
          <t>Active</t>
        </is>
      </c>
    </row>
    <row r="48" ht="15.75" customHeight="1" s="51">
      <c r="A48" s="19" t="inlineStr">
        <is>
          <t>CO-044</t>
        </is>
      </c>
      <c r="B48" s="25" t="inlineStr">
        <is>
          <t>Boreas</t>
        </is>
      </c>
      <c r="C48" s="19" t="inlineStr">
        <is>
          <t>Laptops</t>
        </is>
      </c>
      <c r="D48" s="19" t="inlineStr">
        <is>
          <t>boreas.admin</t>
        </is>
      </c>
      <c r="E48" s="27" t="n"/>
      <c r="F48" s="19" t="inlineStr">
        <is>
          <t>admin@boreascomputing.example</t>
        </is>
      </c>
      <c r="G48" s="19" t="inlineStr">
        <is>
          <t>Brand Admin</t>
        </is>
      </c>
      <c r="H48" s="19" t="inlineStr">
        <is>
          <t>Yes</t>
        </is>
      </c>
      <c r="I48" s="19" t="inlineStr">
        <is>
          <t>Active</t>
        </is>
      </c>
    </row>
    <row r="49" ht="15.75" customHeight="1" s="51">
      <c r="A49" s="19" t="inlineStr">
        <is>
          <t>CO-045</t>
        </is>
      </c>
      <c r="B49" s="25" t="inlineStr">
        <is>
          <t>Dolos</t>
        </is>
      </c>
      <c r="C49" s="19" t="inlineStr">
        <is>
          <t>Laptops</t>
        </is>
      </c>
      <c r="D49" s="19" t="inlineStr">
        <is>
          <t>dolos.admin</t>
        </is>
      </c>
      <c r="E49" s="27" t="n"/>
      <c r="F49" s="19" t="inlineStr">
        <is>
          <t>admin@doloscomputing.example</t>
        </is>
      </c>
      <c r="G49" s="19" t="inlineStr">
        <is>
          <t>Brand Admin</t>
        </is>
      </c>
      <c r="H49" s="19" t="inlineStr">
        <is>
          <t>Yes</t>
        </is>
      </c>
      <c r="I49" s="19" t="inlineStr">
        <is>
          <t>Active</t>
        </is>
      </c>
    </row>
    <row r="50" ht="15.75" customHeight="1" s="51">
      <c r="A50" s="19" t="inlineStr">
        <is>
          <t>CO-046</t>
        </is>
      </c>
      <c r="B50" s="25" t="inlineStr">
        <is>
          <t>Thallo</t>
        </is>
      </c>
      <c r="C50" s="19" t="inlineStr">
        <is>
          <t>Laptops</t>
        </is>
      </c>
      <c r="D50" s="19" t="inlineStr">
        <is>
          <t>thallo.admin</t>
        </is>
      </c>
      <c r="E50" s="27" t="n"/>
      <c r="F50" s="19" t="inlineStr">
        <is>
          <t>admin@thallocomputing.example</t>
        </is>
      </c>
      <c r="G50" s="19" t="inlineStr">
        <is>
          <t>Brand Admin</t>
        </is>
      </c>
      <c r="H50" s="19" t="inlineStr">
        <is>
          <t>Yes</t>
        </is>
      </c>
      <c r="I50" s="19" t="inlineStr">
        <is>
          <t>Active</t>
        </is>
      </c>
    </row>
    <row r="51" ht="15.75" customHeight="1" s="51">
      <c r="A51" s="19" t="inlineStr">
        <is>
          <t>CO-047</t>
        </is>
      </c>
      <c r="B51" s="25" t="inlineStr">
        <is>
          <t>Rhea</t>
        </is>
      </c>
      <c r="C51" s="19" t="inlineStr">
        <is>
          <t>Laptops</t>
        </is>
      </c>
      <c r="D51" s="19" t="inlineStr">
        <is>
          <t>rhea.admin</t>
        </is>
      </c>
      <c r="E51" s="27" t="n"/>
      <c r="F51" s="19" t="inlineStr">
        <is>
          <t>admin@rheacomputing.example</t>
        </is>
      </c>
      <c r="G51" s="19" t="inlineStr">
        <is>
          <t>Brand Admin</t>
        </is>
      </c>
      <c r="H51" s="19" t="inlineStr">
        <is>
          <t>Yes</t>
        </is>
      </c>
      <c r="I51" s="19" t="inlineStr">
        <is>
          <t>Active</t>
        </is>
      </c>
    </row>
    <row r="52" ht="15.75" customHeight="1" s="51">
      <c r="A52" s="19" t="inlineStr">
        <is>
          <t>CO-048</t>
        </is>
      </c>
      <c r="B52" s="25" t="inlineStr">
        <is>
          <t>Hygieia</t>
        </is>
      </c>
      <c r="C52" s="19" t="inlineStr">
        <is>
          <t>Laptops</t>
        </is>
      </c>
      <c r="D52" s="19" t="inlineStr">
        <is>
          <t>hygieia.admin</t>
        </is>
      </c>
      <c r="E52" s="27" t="n"/>
      <c r="F52" s="19" t="inlineStr">
        <is>
          <t>admin@hygieiacomputing.example</t>
        </is>
      </c>
      <c r="G52" s="19" t="inlineStr">
        <is>
          <t>Brand Admin</t>
        </is>
      </c>
      <c r="H52" s="19" t="inlineStr">
        <is>
          <t>Yes</t>
        </is>
      </c>
      <c r="I52" s="19" t="inlineStr">
        <is>
          <t>Active</t>
        </is>
      </c>
    </row>
    <row r="53" ht="15.75" customHeight="1" s="51">
      <c r="A53" s="19" t="inlineStr">
        <is>
          <t>CO-049</t>
        </is>
      </c>
      <c r="B53" s="25" t="inlineStr">
        <is>
          <t>Thanatos</t>
        </is>
      </c>
      <c r="C53" s="19" t="inlineStr">
        <is>
          <t>Laptops</t>
        </is>
      </c>
      <c r="D53" s="19" t="inlineStr">
        <is>
          <t>thanatos.admin</t>
        </is>
      </c>
      <c r="E53" s="27" t="n"/>
      <c r="F53" s="19" t="inlineStr">
        <is>
          <t>admin@thanatoscomputing.example</t>
        </is>
      </c>
      <c r="G53" s="19" t="inlineStr">
        <is>
          <t>Brand Admin</t>
        </is>
      </c>
      <c r="H53" s="19" t="inlineStr">
        <is>
          <t>Yes</t>
        </is>
      </c>
      <c r="I53" s="19" t="inlineStr">
        <is>
          <t>Active</t>
        </is>
      </c>
    </row>
    <row r="54" ht="15.75" customHeight="1" s="51">
      <c r="A54" s="19" t="inlineStr">
        <is>
          <t>CO-050</t>
        </is>
      </c>
      <c r="B54" s="25" t="inlineStr">
        <is>
          <t>Chronos</t>
        </is>
      </c>
      <c r="C54" s="19" t="inlineStr">
        <is>
          <t>Laptops</t>
        </is>
      </c>
      <c r="D54" s="19" t="inlineStr">
        <is>
          <t>chronos.admin</t>
        </is>
      </c>
      <c r="E54" s="27" t="n"/>
      <c r="F54" s="19" t="inlineStr">
        <is>
          <t>admin@chronoscomputing.example</t>
        </is>
      </c>
      <c r="G54" s="19" t="inlineStr">
        <is>
          <t>Brand Admin</t>
        </is>
      </c>
      <c r="H54" s="19" t="inlineStr">
        <is>
          <t>Yes</t>
        </is>
      </c>
      <c r="I54" s="19" t="inlineStr">
        <is>
          <t>Active</t>
        </is>
      </c>
    </row>
    <row r="55" ht="15.75" customHeight="1" s="51">
      <c r="A55" s="26" t="inlineStr">
        <is>
          <t>CO-051</t>
        </is>
      </c>
      <c r="B55" s="32" t="inlineStr">
        <is>
          <t>Nemesis</t>
        </is>
      </c>
      <c r="C55" s="26" t="inlineStr">
        <is>
          <t>Smartphones &amp; Tablets</t>
        </is>
      </c>
      <c r="D55" s="26" t="inlineStr">
        <is>
          <t>nemesis.admin</t>
        </is>
      </c>
      <c r="E55" s="33" t="n"/>
      <c r="F55" s="26" t="inlineStr">
        <is>
          <t>admin@nemesismobile.example</t>
        </is>
      </c>
      <c r="G55" s="26" t="inlineStr">
        <is>
          <t>Brand Admin</t>
        </is>
      </c>
      <c r="H55" s="26" t="inlineStr">
        <is>
          <t>Yes</t>
        </is>
      </c>
      <c r="I55" s="26" t="inlineStr">
        <is>
          <t>Active</t>
        </is>
      </c>
    </row>
    <row r="56" ht="15.75" customHeight="1" s="51">
      <c r="A56" s="26" t="inlineStr">
        <is>
          <t>CO-052</t>
        </is>
      </c>
      <c r="B56" s="32" t="inlineStr">
        <is>
          <t>Hecate</t>
        </is>
      </c>
      <c r="C56" s="26" t="inlineStr">
        <is>
          <t>Smartphones &amp; Tablets</t>
        </is>
      </c>
      <c r="D56" s="26" t="inlineStr">
        <is>
          <t>hecate.admin</t>
        </is>
      </c>
      <c r="E56" s="33" t="n"/>
      <c r="F56" s="26" t="inlineStr">
        <is>
          <t>admin@hecatemobile.example</t>
        </is>
      </c>
      <c r="G56" s="26" t="inlineStr">
        <is>
          <t>Brand Admin</t>
        </is>
      </c>
      <c r="H56" s="26" t="inlineStr">
        <is>
          <t>Yes</t>
        </is>
      </c>
      <c r="I56" s="26" t="inlineStr">
        <is>
          <t>Active</t>
        </is>
      </c>
    </row>
    <row r="57" ht="15.75" customHeight="1" s="51">
      <c r="A57" s="26" t="inlineStr">
        <is>
          <t>CO-053</t>
        </is>
      </c>
      <c r="B57" s="32" t="inlineStr">
        <is>
          <t>Phobos</t>
        </is>
      </c>
      <c r="C57" s="26" t="inlineStr">
        <is>
          <t>Smartphones &amp; Tablets</t>
        </is>
      </c>
      <c r="D57" s="26" t="inlineStr">
        <is>
          <t>phobos.admin</t>
        </is>
      </c>
      <c r="E57" s="33" t="n"/>
      <c r="F57" s="26" t="inlineStr">
        <is>
          <t>admin@phobosmobile.example</t>
        </is>
      </c>
      <c r="G57" s="26" t="inlineStr">
        <is>
          <t>Brand Admin</t>
        </is>
      </c>
      <c r="H57" s="26" t="inlineStr">
        <is>
          <t>Yes</t>
        </is>
      </c>
      <c r="I57" s="26" t="inlineStr">
        <is>
          <t>Active</t>
        </is>
      </c>
    </row>
    <row r="58" ht="15.75" customHeight="1" s="51">
      <c r="A58" s="26" t="inlineStr">
        <is>
          <t>CO-054</t>
        </is>
      </c>
      <c r="B58" s="32" t="inlineStr">
        <is>
          <t>Arete</t>
        </is>
      </c>
      <c r="C58" s="26" t="inlineStr">
        <is>
          <t>Smartphones &amp; Tablets</t>
        </is>
      </c>
      <c r="D58" s="26" t="inlineStr">
        <is>
          <t>arete.admin</t>
        </is>
      </c>
      <c r="E58" s="33" t="n"/>
      <c r="F58" s="26" t="inlineStr">
        <is>
          <t>admin@aretemobile.example</t>
        </is>
      </c>
      <c r="G58" s="26" t="inlineStr">
        <is>
          <t>Brand Admin</t>
        </is>
      </c>
      <c r="H58" s="26" t="inlineStr">
        <is>
          <t>Yes</t>
        </is>
      </c>
      <c r="I58" s="26" t="inlineStr">
        <is>
          <t>Active</t>
        </is>
      </c>
    </row>
    <row r="59" ht="15.75" customHeight="1" s="51">
      <c r="A59" s="26" t="inlineStr">
        <is>
          <t>CO-055</t>
        </is>
      </c>
      <c r="B59" s="32" t="inlineStr">
        <is>
          <t>Tyche</t>
        </is>
      </c>
      <c r="C59" s="26" t="inlineStr">
        <is>
          <t>Smartphones &amp; Tablets</t>
        </is>
      </c>
      <c r="D59" s="26" t="inlineStr">
        <is>
          <t>tyche.admin</t>
        </is>
      </c>
      <c r="E59" s="33" t="n"/>
      <c r="F59" s="26" t="inlineStr">
        <is>
          <t>admin@tychemobile.example</t>
        </is>
      </c>
      <c r="G59" s="26" t="inlineStr">
        <is>
          <t>Brand Admin</t>
        </is>
      </c>
      <c r="H59" s="26" t="inlineStr">
        <is>
          <t>Yes</t>
        </is>
      </c>
      <c r="I59" s="26" t="inlineStr">
        <is>
          <t>Active</t>
        </is>
      </c>
    </row>
    <row r="60" ht="15.75" customHeight="1" s="51">
      <c r="A60" s="26" t="inlineStr">
        <is>
          <t>CO-056</t>
        </is>
      </c>
      <c r="B60" s="32" t="inlineStr">
        <is>
          <t>Eunomia</t>
        </is>
      </c>
      <c r="C60" s="26" t="inlineStr">
        <is>
          <t>Smartphones &amp; Tablets</t>
        </is>
      </c>
      <c r="D60" s="26" t="inlineStr">
        <is>
          <t>eunomia.admin</t>
        </is>
      </c>
      <c r="E60" s="33" t="n"/>
      <c r="F60" s="26" t="inlineStr">
        <is>
          <t>admin@eunomiamobile.example</t>
        </is>
      </c>
      <c r="G60" s="26" t="inlineStr">
        <is>
          <t>Brand Admin</t>
        </is>
      </c>
      <c r="H60" s="26" t="inlineStr">
        <is>
          <t>Yes</t>
        </is>
      </c>
      <c r="I60" s="26" t="inlineStr">
        <is>
          <t>Active</t>
        </is>
      </c>
    </row>
    <row r="61" ht="15.75" customHeight="1" s="51">
      <c r="A61" s="26" t="inlineStr">
        <is>
          <t>CO-057</t>
        </is>
      </c>
      <c r="B61" s="32" t="inlineStr">
        <is>
          <t>Pallas</t>
        </is>
      </c>
      <c r="C61" s="26" t="inlineStr">
        <is>
          <t>Smartphones &amp; Tablets</t>
        </is>
      </c>
      <c r="D61" s="26" t="inlineStr">
        <is>
          <t>pallas.admin</t>
        </is>
      </c>
      <c r="E61" s="33" t="n"/>
      <c r="F61" s="26" t="inlineStr">
        <is>
          <t>admin@pallasmobile.example</t>
        </is>
      </c>
      <c r="G61" s="26" t="inlineStr">
        <is>
          <t>Brand Admin</t>
        </is>
      </c>
      <c r="H61" s="26" t="inlineStr">
        <is>
          <t>Yes</t>
        </is>
      </c>
      <c r="I61" s="26" t="inlineStr">
        <is>
          <t>Active</t>
        </is>
      </c>
    </row>
    <row r="62" ht="15.75" customHeight="1" s="51">
      <c r="A62" s="26" t="inlineStr">
        <is>
          <t>CO-058</t>
        </is>
      </c>
      <c r="B62" s="32" t="inlineStr">
        <is>
          <t>Styx</t>
        </is>
      </c>
      <c r="C62" s="26" t="inlineStr">
        <is>
          <t>Smartphones &amp; Tablets</t>
        </is>
      </c>
      <c r="D62" s="26" t="inlineStr">
        <is>
          <t>styx.admin</t>
        </is>
      </c>
      <c r="E62" s="33" t="n"/>
      <c r="F62" s="26" t="inlineStr">
        <is>
          <t>admin@styxmobile.example</t>
        </is>
      </c>
      <c r="G62" s="26" t="inlineStr">
        <is>
          <t>Brand Admin</t>
        </is>
      </c>
      <c r="H62" s="26" t="inlineStr">
        <is>
          <t>Yes</t>
        </is>
      </c>
      <c r="I62" s="26" t="inlineStr">
        <is>
          <t>Active</t>
        </is>
      </c>
    </row>
    <row r="63" ht="15.75" customHeight="1" s="51">
      <c r="A63" s="26" t="inlineStr">
        <is>
          <t>CO-059</t>
        </is>
      </c>
      <c r="B63" s="32" t="inlineStr">
        <is>
          <t>Hypnos</t>
        </is>
      </c>
      <c r="C63" s="26" t="inlineStr">
        <is>
          <t>Smartphones &amp; Tablets</t>
        </is>
      </c>
      <c r="D63" s="26" t="inlineStr">
        <is>
          <t>hypnos.admin</t>
        </is>
      </c>
      <c r="E63" s="33" t="n"/>
      <c r="F63" s="26" t="inlineStr">
        <is>
          <t>admin@hypnosmobile.example</t>
        </is>
      </c>
      <c r="G63" s="26" t="inlineStr">
        <is>
          <t>Brand Admin</t>
        </is>
      </c>
      <c r="H63" s="26" t="inlineStr">
        <is>
          <t>Yes</t>
        </is>
      </c>
      <c r="I63" s="26" t="inlineStr">
        <is>
          <t>Active</t>
        </is>
      </c>
    </row>
    <row r="64" ht="15.75" customHeight="1" s="51">
      <c r="A64" s="26" t="inlineStr">
        <is>
          <t>CO-060</t>
        </is>
      </c>
      <c r="B64" s="32" t="inlineStr">
        <is>
          <t>Oceanus</t>
        </is>
      </c>
      <c r="C64" s="26" t="inlineStr">
        <is>
          <t>Smartphones &amp; Tablets</t>
        </is>
      </c>
      <c r="D64" s="26" t="inlineStr">
        <is>
          <t>oceanus.admin</t>
        </is>
      </c>
      <c r="E64" s="33" t="n"/>
      <c r="F64" s="26" t="inlineStr">
        <is>
          <t>admin@oceanusmobile.example</t>
        </is>
      </c>
      <c r="G64" s="26" t="inlineStr">
        <is>
          <t>Brand Admin</t>
        </is>
      </c>
      <c r="H64" s="26" t="inlineStr">
        <is>
          <t>Yes</t>
        </is>
      </c>
      <c r="I64" s="26" t="inlineStr">
        <is>
          <t>Active</t>
        </is>
      </c>
    </row>
    <row r="65" ht="15.75" customHeight="1" s="51">
      <c r="A65" s="26" t="inlineStr">
        <is>
          <t>CO-061</t>
        </is>
      </c>
      <c r="B65" s="32" t="inlineStr">
        <is>
          <t>Mnemosyne</t>
        </is>
      </c>
      <c r="C65" s="26" t="inlineStr">
        <is>
          <t>Smartphones &amp; Tablets</t>
        </is>
      </c>
      <c r="D65" s="26" t="inlineStr">
        <is>
          <t>mnemosyne.admin</t>
        </is>
      </c>
      <c r="E65" s="33" t="n"/>
      <c r="F65" s="26" t="inlineStr">
        <is>
          <t>admin@mnemosynemobile.example</t>
        </is>
      </c>
      <c r="G65" s="26" t="inlineStr">
        <is>
          <t>Brand Admin</t>
        </is>
      </c>
      <c r="H65" s="26" t="inlineStr">
        <is>
          <t>Yes</t>
        </is>
      </c>
      <c r="I65" s="26" t="inlineStr">
        <is>
          <t>Active</t>
        </is>
      </c>
    </row>
    <row r="66" ht="15.75" customHeight="1" s="51">
      <c r="A66" s="26" t="inlineStr">
        <is>
          <t>CO-062</t>
        </is>
      </c>
      <c r="B66" s="32" t="inlineStr">
        <is>
          <t>Clotho</t>
        </is>
      </c>
      <c r="C66" s="26" t="inlineStr">
        <is>
          <t>Smartphones &amp; Tablets</t>
        </is>
      </c>
      <c r="D66" s="26" t="inlineStr">
        <is>
          <t>clotho.admin</t>
        </is>
      </c>
      <c r="E66" s="33" t="n"/>
      <c r="F66" s="26" t="inlineStr">
        <is>
          <t>admin@clothomobile.example</t>
        </is>
      </c>
      <c r="G66" s="26" t="inlineStr">
        <is>
          <t>Brand Admin</t>
        </is>
      </c>
      <c r="H66" s="26" t="inlineStr">
        <is>
          <t>Yes</t>
        </is>
      </c>
      <c r="I66" s="26" t="inlineStr">
        <is>
          <t>Active</t>
        </is>
      </c>
    </row>
    <row r="67" ht="15.75" customHeight="1" s="51">
      <c r="A67" s="26" t="inlineStr">
        <is>
          <t>CO-063</t>
        </is>
      </c>
      <c r="B67" s="32" t="inlineStr">
        <is>
          <t>Pontus</t>
        </is>
      </c>
      <c r="C67" s="26" t="inlineStr">
        <is>
          <t>Smartphones &amp; Tablets</t>
        </is>
      </c>
      <c r="D67" s="26" t="inlineStr">
        <is>
          <t>pontus.admin</t>
        </is>
      </c>
      <c r="E67" s="33" t="n"/>
      <c r="F67" s="26" t="inlineStr">
        <is>
          <t>admin@pontusmobile.example</t>
        </is>
      </c>
      <c r="G67" s="26" t="inlineStr">
        <is>
          <t>Brand Admin</t>
        </is>
      </c>
      <c r="H67" s="26" t="inlineStr">
        <is>
          <t>Yes</t>
        </is>
      </c>
      <c r="I67" s="26" t="inlineStr">
        <is>
          <t>Active</t>
        </is>
      </c>
    </row>
    <row r="68" ht="15.75" customHeight="1" s="51">
      <c r="A68" s="26" t="inlineStr">
        <is>
          <t>CO-064</t>
        </is>
      </c>
      <c r="B68" s="32" t="inlineStr">
        <is>
          <t>Athena</t>
        </is>
      </c>
      <c r="C68" s="26" t="inlineStr">
        <is>
          <t>Smartphones &amp; Tablets</t>
        </is>
      </c>
      <c r="D68" s="26" t="inlineStr">
        <is>
          <t>athena.admin</t>
        </is>
      </c>
      <c r="E68" s="33" t="n"/>
      <c r="F68" s="26" t="inlineStr">
        <is>
          <t>admin@athenamobile.example</t>
        </is>
      </c>
      <c r="G68" s="26" t="inlineStr">
        <is>
          <t>Brand Admin</t>
        </is>
      </c>
      <c r="H68" s="26" t="inlineStr">
        <is>
          <t>Yes</t>
        </is>
      </c>
      <c r="I68" s="26" t="inlineStr">
        <is>
          <t>Active</t>
        </is>
      </c>
    </row>
    <row r="69" ht="15.75" customHeight="1" s="51">
      <c r="A69" s="26" t="inlineStr">
        <is>
          <t>CO-065</t>
        </is>
      </c>
      <c r="B69" s="32" t="inlineStr">
        <is>
          <t>Amphitrite</t>
        </is>
      </c>
      <c r="C69" s="26" t="inlineStr">
        <is>
          <t>Smartphones &amp; Tablets</t>
        </is>
      </c>
      <c r="D69" s="26" t="inlineStr">
        <is>
          <t>amphitrite.admin</t>
        </is>
      </c>
      <c r="E69" s="33" t="n"/>
      <c r="F69" s="26" t="inlineStr">
        <is>
          <t>admin@amphitritemobile.example</t>
        </is>
      </c>
      <c r="G69" s="26" t="inlineStr">
        <is>
          <t>Brand Admin</t>
        </is>
      </c>
      <c r="H69" s="26" t="inlineStr">
        <is>
          <t>Yes</t>
        </is>
      </c>
      <c r="I69" s="26" t="inlineStr">
        <is>
          <t>Active</t>
        </is>
      </c>
    </row>
    <row r="70" ht="15.75" customHeight="1" s="51">
      <c r="A70" s="26" t="inlineStr">
        <is>
          <t>CO-066</t>
        </is>
      </c>
      <c r="B70" s="32" t="inlineStr">
        <is>
          <t>Paean</t>
        </is>
      </c>
      <c r="C70" s="26" t="inlineStr">
        <is>
          <t>Smartphones &amp; Tablets</t>
        </is>
      </c>
      <c r="D70" s="26" t="inlineStr">
        <is>
          <t>paean.admin</t>
        </is>
      </c>
      <c r="E70" s="33" t="n"/>
      <c r="F70" s="26" t="inlineStr">
        <is>
          <t>admin@paeanmobile.example</t>
        </is>
      </c>
      <c r="G70" s="26" t="inlineStr">
        <is>
          <t>Brand Admin</t>
        </is>
      </c>
      <c r="H70" s="26" t="inlineStr">
        <is>
          <t>Yes</t>
        </is>
      </c>
      <c r="I70" s="26" t="inlineStr">
        <is>
          <t>Active</t>
        </is>
      </c>
    </row>
    <row r="71" ht="15.75" customHeight="1" s="51">
      <c r="A71" s="26" t="inlineStr">
        <is>
          <t>CO-067</t>
        </is>
      </c>
      <c r="B71" s="32" t="inlineStr">
        <is>
          <t>Clymene</t>
        </is>
      </c>
      <c r="C71" s="26" t="inlineStr">
        <is>
          <t>Smartphones &amp; Tablets</t>
        </is>
      </c>
      <c r="D71" s="26" t="inlineStr">
        <is>
          <t>clymene.admin</t>
        </is>
      </c>
      <c r="E71" s="33" t="n"/>
      <c r="F71" s="26" t="inlineStr">
        <is>
          <t>admin@clymenemobile.example</t>
        </is>
      </c>
      <c r="G71" s="26" t="inlineStr">
        <is>
          <t>Brand Admin</t>
        </is>
      </c>
      <c r="H71" s="26" t="inlineStr">
        <is>
          <t>Yes</t>
        </is>
      </c>
      <c r="I71" s="26" t="inlineStr">
        <is>
          <t>Active</t>
        </is>
      </c>
    </row>
    <row r="72" ht="15.75" customHeight="1" s="51">
      <c r="A72" s="26" t="inlineStr">
        <is>
          <t>CO-068</t>
        </is>
      </c>
      <c r="B72" s="32" t="inlineStr">
        <is>
          <t>Circe</t>
        </is>
      </c>
      <c r="C72" s="26" t="inlineStr">
        <is>
          <t>Smartphones &amp; Tablets</t>
        </is>
      </c>
      <c r="D72" s="26" t="inlineStr">
        <is>
          <t>circe.admin</t>
        </is>
      </c>
      <c r="E72" s="33" t="n"/>
      <c r="F72" s="26" t="inlineStr">
        <is>
          <t>admin@circemobile.example</t>
        </is>
      </c>
      <c r="G72" s="26" t="inlineStr">
        <is>
          <t>Brand Admin</t>
        </is>
      </c>
      <c r="H72" s="26" t="inlineStr">
        <is>
          <t>Yes</t>
        </is>
      </c>
      <c r="I72" s="26" t="inlineStr">
        <is>
          <t>Active</t>
        </is>
      </c>
    </row>
    <row r="73" ht="15.75" customHeight="1" s="51">
      <c r="A73" s="26" t="inlineStr">
        <is>
          <t>CO-069</t>
        </is>
      </c>
      <c r="B73" s="32" t="inlineStr">
        <is>
          <t>Panacea</t>
        </is>
      </c>
      <c r="C73" s="26" t="inlineStr">
        <is>
          <t>Smartphones &amp; Tablets</t>
        </is>
      </c>
      <c r="D73" s="26" t="inlineStr">
        <is>
          <t>panacea.admin</t>
        </is>
      </c>
      <c r="E73" s="33" t="n"/>
      <c r="F73" s="26" t="inlineStr">
        <is>
          <t>admin@panaceamobile.example</t>
        </is>
      </c>
      <c r="G73" s="26" t="inlineStr">
        <is>
          <t>Brand Admin</t>
        </is>
      </c>
      <c r="H73" s="26" t="inlineStr">
        <is>
          <t>Yes</t>
        </is>
      </c>
      <c r="I73" s="26" t="inlineStr">
        <is>
          <t>Active</t>
        </is>
      </c>
    </row>
    <row r="74" ht="15.75" customHeight="1" s="51">
      <c r="A74" s="26" t="inlineStr">
        <is>
          <t>CO-070</t>
        </is>
      </c>
      <c r="B74" s="32" t="inlineStr">
        <is>
          <t>Proteus</t>
        </is>
      </c>
      <c r="C74" s="26" t="inlineStr">
        <is>
          <t>Smartphones &amp; Tablets</t>
        </is>
      </c>
      <c r="D74" s="26" t="inlineStr">
        <is>
          <t>proteus.admin</t>
        </is>
      </c>
      <c r="E74" s="33" t="n"/>
      <c r="F74" s="26" t="inlineStr">
        <is>
          <t>admin@proteusmobile.example</t>
        </is>
      </c>
      <c r="G74" s="26" t="inlineStr">
        <is>
          <t>Brand Admin</t>
        </is>
      </c>
      <c r="H74" s="26" t="inlineStr">
        <is>
          <t>Yes</t>
        </is>
      </c>
      <c r="I74" s="26" t="inlineStr">
        <is>
          <t>Active</t>
        </is>
      </c>
    </row>
    <row r="75" ht="15.75" customHeight="1" s="51">
      <c r="A75" s="26" t="inlineStr">
        <is>
          <t>CO-071</t>
        </is>
      </c>
      <c r="B75" s="32" t="inlineStr">
        <is>
          <t>Lachesis</t>
        </is>
      </c>
      <c r="C75" s="26" t="inlineStr">
        <is>
          <t>Smartphones &amp; Tablets</t>
        </is>
      </c>
      <c r="D75" s="26" t="inlineStr">
        <is>
          <t>lachesis.admin</t>
        </is>
      </c>
      <c r="E75" s="33" t="n"/>
      <c r="F75" s="26" t="inlineStr">
        <is>
          <t>admin@lachesismobile.example</t>
        </is>
      </c>
      <c r="G75" s="26" t="inlineStr">
        <is>
          <t>Brand Admin</t>
        </is>
      </c>
      <c r="H75" s="26" t="inlineStr">
        <is>
          <t>Yes</t>
        </is>
      </c>
      <c r="I75" s="26" t="inlineStr">
        <is>
          <t>Active</t>
        </is>
      </c>
    </row>
    <row r="76" ht="15.75" customHeight="1" s="51">
      <c r="A76" s="26" t="inlineStr">
        <is>
          <t>CO-072</t>
        </is>
      </c>
      <c r="B76" s="32" t="inlineStr">
        <is>
          <t>Pothos</t>
        </is>
      </c>
      <c r="C76" s="26" t="inlineStr">
        <is>
          <t>Smartphones &amp; Tablets</t>
        </is>
      </c>
      <c r="D76" s="26" t="inlineStr">
        <is>
          <t>pothos.admin</t>
        </is>
      </c>
      <c r="E76" s="33" t="n"/>
      <c r="F76" s="26" t="inlineStr">
        <is>
          <t>admin@pothosmobile.example</t>
        </is>
      </c>
      <c r="G76" s="26" t="inlineStr">
        <is>
          <t>Brand Admin</t>
        </is>
      </c>
      <c r="H76" s="26" t="inlineStr">
        <is>
          <t>Yes</t>
        </is>
      </c>
      <c r="I76" s="26" t="inlineStr">
        <is>
          <t>Active</t>
        </is>
      </c>
    </row>
    <row r="77" ht="15.75" customHeight="1" s="51">
      <c r="A77" s="26" t="inlineStr">
        <is>
          <t>CO-073</t>
        </is>
      </c>
      <c r="B77" s="32" t="inlineStr">
        <is>
          <t>Helios</t>
        </is>
      </c>
      <c r="C77" s="26" t="inlineStr">
        <is>
          <t>Smartphones &amp; Tablets</t>
        </is>
      </c>
      <c r="D77" s="26" t="inlineStr">
        <is>
          <t>helios.admin</t>
        </is>
      </c>
      <c r="E77" s="33" t="n"/>
      <c r="F77" s="26" t="inlineStr">
        <is>
          <t>admin@heliosmobile.example</t>
        </is>
      </c>
      <c r="G77" s="26" t="inlineStr">
        <is>
          <t>Brand Admin</t>
        </is>
      </c>
      <c r="H77" s="26" t="inlineStr">
        <is>
          <t>Yes</t>
        </is>
      </c>
      <c r="I77" s="26" t="inlineStr">
        <is>
          <t>Active</t>
        </is>
      </c>
    </row>
    <row r="78" ht="15.75" customHeight="1" s="51">
      <c r="A78" s="26" t="inlineStr">
        <is>
          <t>CO-074</t>
        </is>
      </c>
      <c r="B78" s="32" t="inlineStr">
        <is>
          <t>Elpis</t>
        </is>
      </c>
      <c r="C78" s="26" t="inlineStr">
        <is>
          <t>Smartphones &amp; Tablets</t>
        </is>
      </c>
      <c r="D78" s="26" t="inlineStr">
        <is>
          <t>elpis.admin</t>
        </is>
      </c>
      <c r="E78" s="33" t="n"/>
      <c r="F78" s="26" t="inlineStr">
        <is>
          <t>admin@elpismobile.example</t>
        </is>
      </c>
      <c r="G78" s="26" t="inlineStr">
        <is>
          <t>Brand Admin</t>
        </is>
      </c>
      <c r="H78" s="26" t="inlineStr">
        <is>
          <t>Yes</t>
        </is>
      </c>
      <c r="I78" s="26" t="inlineStr">
        <is>
          <t>Active</t>
        </is>
      </c>
    </row>
    <row r="79" ht="15.75" customHeight="1" s="51">
      <c r="A79" s="26" t="inlineStr">
        <is>
          <t>CO-075</t>
        </is>
      </c>
      <c r="B79" s="32" t="inlineStr">
        <is>
          <t>Coeus</t>
        </is>
      </c>
      <c r="C79" s="26" t="inlineStr">
        <is>
          <t>Smartphones &amp; Tablets</t>
        </is>
      </c>
      <c r="D79" s="26" t="inlineStr">
        <is>
          <t>coeus.admin</t>
        </is>
      </c>
      <c r="E79" s="33" t="n"/>
      <c r="F79" s="26" t="inlineStr">
        <is>
          <t>admin@coeusmobile.example</t>
        </is>
      </c>
      <c r="G79" s="26" t="inlineStr">
        <is>
          <t>Brand Admin</t>
        </is>
      </c>
      <c r="H79" s="26" t="inlineStr">
        <is>
          <t>Yes</t>
        </is>
      </c>
      <c r="I79" s="26" t="inlineStr">
        <is>
          <t>Active</t>
        </is>
      </c>
    </row>
    <row r="80" ht="15.75" customHeight="1" s="51">
      <c r="A80" s="26" t="inlineStr">
        <is>
          <t>CO-076</t>
        </is>
      </c>
      <c r="B80" s="32" t="inlineStr">
        <is>
          <t>Hephaestus</t>
        </is>
      </c>
      <c r="C80" s="26" t="inlineStr">
        <is>
          <t>Smartphones &amp; Tablets</t>
        </is>
      </c>
      <c r="D80" s="26" t="inlineStr">
        <is>
          <t>hephaestus.admin</t>
        </is>
      </c>
      <c r="E80" s="33" t="n"/>
      <c r="F80" s="26" t="inlineStr">
        <is>
          <t>admin@hephaestusmobile.example</t>
        </is>
      </c>
      <c r="G80" s="26" t="inlineStr">
        <is>
          <t>Brand Admin</t>
        </is>
      </c>
      <c r="H80" s="26" t="inlineStr">
        <is>
          <t>Yes</t>
        </is>
      </c>
      <c r="I80" s="26" t="inlineStr">
        <is>
          <t>Active</t>
        </is>
      </c>
    </row>
    <row r="81" ht="15.75" customHeight="1" s="51">
      <c r="A81" s="26" t="inlineStr">
        <is>
          <t>CO-077</t>
        </is>
      </c>
      <c r="B81" s="32" t="inlineStr">
        <is>
          <t>Leto</t>
        </is>
      </c>
      <c r="C81" s="26" t="inlineStr">
        <is>
          <t>Smartphones &amp; Tablets</t>
        </is>
      </c>
      <c r="D81" s="26" t="inlineStr">
        <is>
          <t>leto.admin</t>
        </is>
      </c>
      <c r="E81" s="33" t="n"/>
      <c r="F81" s="26" t="inlineStr">
        <is>
          <t>admin@letomobile.example</t>
        </is>
      </c>
      <c r="G81" s="26" t="inlineStr">
        <is>
          <t>Brand Admin</t>
        </is>
      </c>
      <c r="H81" s="26" t="inlineStr">
        <is>
          <t>Yes</t>
        </is>
      </c>
      <c r="I81" s="26" t="inlineStr">
        <is>
          <t>Active</t>
        </is>
      </c>
    </row>
    <row r="82" ht="15.75" customHeight="1" s="51">
      <c r="A82" s="26" t="inlineStr">
        <is>
          <t>CO-078</t>
        </is>
      </c>
      <c r="B82" s="32" t="inlineStr">
        <is>
          <t>Comus</t>
        </is>
      </c>
      <c r="C82" s="26" t="inlineStr">
        <is>
          <t>Smartphones &amp; Tablets</t>
        </is>
      </c>
      <c r="D82" s="26" t="inlineStr">
        <is>
          <t>comus.admin</t>
        </is>
      </c>
      <c r="E82" s="33" t="n"/>
      <c r="F82" s="26" t="inlineStr">
        <is>
          <t>admin@comusmobile.example</t>
        </is>
      </c>
      <c r="G82" s="26" t="inlineStr">
        <is>
          <t>Brand Admin</t>
        </is>
      </c>
      <c r="H82" s="26" t="inlineStr">
        <is>
          <t>Yes</t>
        </is>
      </c>
      <c r="I82" s="26" t="inlineStr">
        <is>
          <t>Active</t>
        </is>
      </c>
    </row>
    <row r="83" ht="15.75" customHeight="1" s="51">
      <c r="A83" s="26" t="inlineStr">
        <is>
          <t>CO-079</t>
        </is>
      </c>
      <c r="B83" s="32" t="inlineStr">
        <is>
          <t>Aglaea</t>
        </is>
      </c>
      <c r="C83" s="26" t="inlineStr">
        <is>
          <t>Smartphones &amp; Tablets</t>
        </is>
      </c>
      <c r="D83" s="26" t="inlineStr">
        <is>
          <t>aglaea.admin</t>
        </is>
      </c>
      <c r="E83" s="33" t="n"/>
      <c r="F83" s="26" t="inlineStr">
        <is>
          <t>admin@aglaeamobile.example</t>
        </is>
      </c>
      <c r="G83" s="26" t="inlineStr">
        <is>
          <t>Brand Admin</t>
        </is>
      </c>
      <c r="H83" s="26" t="inlineStr">
        <is>
          <t>Yes</t>
        </is>
      </c>
      <c r="I83" s="26" t="inlineStr">
        <is>
          <t>Active</t>
        </is>
      </c>
    </row>
    <row r="84" ht="15.75" customHeight="1" s="51">
      <c r="A84" s="26" t="inlineStr">
        <is>
          <t>CO-080</t>
        </is>
      </c>
      <c r="B84" s="32" t="inlineStr">
        <is>
          <t>Aether</t>
        </is>
      </c>
      <c r="C84" s="26" t="inlineStr">
        <is>
          <t>Smartphones &amp; Tablets</t>
        </is>
      </c>
      <c r="D84" s="26" t="inlineStr">
        <is>
          <t>aether.admin</t>
        </is>
      </c>
      <c r="E84" s="33" t="n"/>
      <c r="F84" s="26" t="inlineStr">
        <is>
          <t>admin@aethermobile.example</t>
        </is>
      </c>
      <c r="G84" s="26" t="inlineStr">
        <is>
          <t>Brand Admin</t>
        </is>
      </c>
      <c r="H84" s="26" t="inlineStr">
        <is>
          <t>Yes</t>
        </is>
      </c>
      <c r="I84" s="26" t="inlineStr">
        <is>
          <t>Active</t>
        </is>
      </c>
    </row>
    <row r="85" ht="15.75" customHeight="1" s="51">
      <c r="A85" s="26" t="inlineStr">
        <is>
          <t>CO-081</t>
        </is>
      </c>
      <c r="B85" s="32" t="inlineStr">
        <is>
          <t>Theia</t>
        </is>
      </c>
      <c r="C85" s="26" t="inlineStr">
        <is>
          <t>Smartphones &amp; Tablets</t>
        </is>
      </c>
      <c r="D85" s="26" t="inlineStr">
        <is>
          <t>theia.admin</t>
        </is>
      </c>
      <c r="E85" s="33" t="n"/>
      <c r="F85" s="26" t="inlineStr">
        <is>
          <t>admin@theiamobile.example</t>
        </is>
      </c>
      <c r="G85" s="26" t="inlineStr">
        <is>
          <t>Brand Admin</t>
        </is>
      </c>
      <c r="H85" s="26" t="inlineStr">
        <is>
          <t>Yes</t>
        </is>
      </c>
      <c r="I85" s="26" t="inlineStr">
        <is>
          <t>Active</t>
        </is>
      </c>
    </row>
    <row r="86" ht="15.75" customHeight="1" s="51">
      <c r="A86" s="26" t="inlineStr">
        <is>
          <t>CO-082</t>
        </is>
      </c>
      <c r="B86" s="32" t="inlineStr">
        <is>
          <t>Alpheus</t>
        </is>
      </c>
      <c r="C86" s="26" t="inlineStr">
        <is>
          <t>Smartphones &amp; Tablets</t>
        </is>
      </c>
      <c r="D86" s="26" t="inlineStr">
        <is>
          <t>alpheus.admin</t>
        </is>
      </c>
      <c r="E86" s="33" t="n"/>
      <c r="F86" s="26" t="inlineStr">
        <is>
          <t>admin@alpheusmobile.example</t>
        </is>
      </c>
      <c r="G86" s="26" t="inlineStr">
        <is>
          <t>Brand Admin</t>
        </is>
      </c>
      <c r="H86" s="26" t="inlineStr">
        <is>
          <t>Yes</t>
        </is>
      </c>
      <c r="I86" s="26" t="inlineStr">
        <is>
          <t>Active</t>
        </is>
      </c>
    </row>
    <row r="87" ht="15.75" customHeight="1" s="51">
      <c r="A87" s="26" t="inlineStr">
        <is>
          <t>CO-083</t>
        </is>
      </c>
      <c r="B87" s="32" t="inlineStr">
        <is>
          <t>Peitho</t>
        </is>
      </c>
      <c r="C87" s="26" t="inlineStr">
        <is>
          <t>Smartphones &amp; Tablets</t>
        </is>
      </c>
      <c r="D87" s="26" t="inlineStr">
        <is>
          <t>peitho.admin</t>
        </is>
      </c>
      <c r="E87" s="33" t="n"/>
      <c r="F87" s="26" t="inlineStr">
        <is>
          <t>admin@peithomobile.example</t>
        </is>
      </c>
      <c r="G87" s="26" t="inlineStr">
        <is>
          <t>Brand Admin</t>
        </is>
      </c>
      <c r="H87" s="26" t="inlineStr">
        <is>
          <t>Yes</t>
        </is>
      </c>
      <c r="I87" s="26" t="inlineStr">
        <is>
          <t>Active</t>
        </is>
      </c>
    </row>
    <row r="88" ht="15.75" customHeight="1" s="51">
      <c r="A88" s="26" t="inlineStr">
        <is>
          <t>CO-084</t>
        </is>
      </c>
      <c r="B88" s="32" t="inlineStr">
        <is>
          <t>Eupheme</t>
        </is>
      </c>
      <c r="C88" s="26" t="inlineStr">
        <is>
          <t>Smartphones &amp; Tablets</t>
        </is>
      </c>
      <c r="D88" s="26" t="inlineStr">
        <is>
          <t>eupheme.admin</t>
        </is>
      </c>
      <c r="E88" s="33" t="n"/>
      <c r="F88" s="26" t="inlineStr">
        <is>
          <t>admin@euphememobile.example</t>
        </is>
      </c>
      <c r="G88" s="26" t="inlineStr">
        <is>
          <t>Brand Admin</t>
        </is>
      </c>
      <c r="H88" s="26" t="inlineStr">
        <is>
          <t>Yes</t>
        </is>
      </c>
      <c r="I88" s="26" t="inlineStr">
        <is>
          <t>Active</t>
        </is>
      </c>
    </row>
    <row r="89" ht="15.75" customHeight="1" s="51">
      <c r="A89" s="26" t="inlineStr">
        <is>
          <t>CO-085</t>
        </is>
      </c>
      <c r="B89" s="32" t="inlineStr">
        <is>
          <t>Erato</t>
        </is>
      </c>
      <c r="C89" s="26" t="inlineStr">
        <is>
          <t>Smartphones &amp; Tablets</t>
        </is>
      </c>
      <c r="D89" s="26" t="inlineStr">
        <is>
          <t>erato.admin</t>
        </is>
      </c>
      <c r="E89" s="33" t="n"/>
      <c r="F89" s="26" t="inlineStr">
        <is>
          <t>admin@eratomobile.example</t>
        </is>
      </c>
      <c r="G89" s="26" t="inlineStr">
        <is>
          <t>Brand Admin</t>
        </is>
      </c>
      <c r="H89" s="26" t="inlineStr">
        <is>
          <t>Yes</t>
        </is>
      </c>
      <c r="I89" s="26" t="inlineStr">
        <is>
          <t>Active</t>
        </is>
      </c>
    </row>
    <row r="90" ht="15.75" customHeight="1" s="51">
      <c r="A90" s="26" t="inlineStr">
        <is>
          <t>CO-086</t>
        </is>
      </c>
      <c r="B90" s="32" t="inlineStr">
        <is>
          <t>Lethe</t>
        </is>
      </c>
      <c r="C90" s="26" t="inlineStr">
        <is>
          <t>Smartphones &amp; Tablets</t>
        </is>
      </c>
      <c r="D90" s="26" t="inlineStr">
        <is>
          <t>lethe.admin</t>
        </is>
      </c>
      <c r="E90" s="33" t="n"/>
      <c r="F90" s="26" t="inlineStr">
        <is>
          <t>admin@lethemobile.example</t>
        </is>
      </c>
      <c r="G90" s="26" t="inlineStr">
        <is>
          <t>Brand Admin</t>
        </is>
      </c>
      <c r="H90" s="26" t="inlineStr">
        <is>
          <t>Yes</t>
        </is>
      </c>
      <c r="I90" s="26" t="inlineStr">
        <is>
          <t>Active</t>
        </is>
      </c>
    </row>
    <row r="91" ht="15.75" customHeight="1" s="51">
      <c r="A91" s="26" t="inlineStr">
        <is>
          <t>CO-087</t>
        </is>
      </c>
      <c r="B91" s="32" t="inlineStr">
        <is>
          <t>Phorcys</t>
        </is>
      </c>
      <c r="C91" s="26" t="inlineStr">
        <is>
          <t>Smartphones &amp; Tablets</t>
        </is>
      </c>
      <c r="D91" s="26" t="inlineStr">
        <is>
          <t>phorcys.admin</t>
        </is>
      </c>
      <c r="E91" s="33" t="n"/>
      <c r="F91" s="26" t="inlineStr">
        <is>
          <t>admin@phorcysmobile.example</t>
        </is>
      </c>
      <c r="G91" s="26" t="inlineStr">
        <is>
          <t>Brand Admin</t>
        </is>
      </c>
      <c r="H91" s="26" t="inlineStr">
        <is>
          <t>Yes</t>
        </is>
      </c>
      <c r="I91" s="26" t="inlineStr">
        <is>
          <t>Active</t>
        </is>
      </c>
    </row>
    <row r="92" ht="15.75" customHeight="1" s="51">
      <c r="A92" s="26" t="inlineStr">
        <is>
          <t>CO-088</t>
        </is>
      </c>
      <c r="B92" s="32" t="inlineStr">
        <is>
          <t>Eurus</t>
        </is>
      </c>
      <c r="C92" s="26" t="inlineStr">
        <is>
          <t>Smartphones &amp; Tablets</t>
        </is>
      </c>
      <c r="D92" s="26" t="inlineStr">
        <is>
          <t>eurus.admin</t>
        </is>
      </c>
      <c r="E92" s="33" t="n"/>
      <c r="F92" s="26" t="inlineStr">
        <is>
          <t>admin@eurusmobile.example</t>
        </is>
      </c>
      <c r="G92" s="26" t="inlineStr">
        <is>
          <t>Brand Admin</t>
        </is>
      </c>
      <c r="H92" s="26" t="inlineStr">
        <is>
          <t>Yes</t>
        </is>
      </c>
      <c r="I92" s="26" t="inlineStr">
        <is>
          <t>Active</t>
        </is>
      </c>
    </row>
    <row r="93" ht="15.75" customHeight="1" s="51">
      <c r="A93" s="26" t="inlineStr">
        <is>
          <t>CO-089</t>
        </is>
      </c>
      <c r="B93" s="32" t="inlineStr">
        <is>
          <t>Aletheia</t>
        </is>
      </c>
      <c r="C93" s="26" t="inlineStr">
        <is>
          <t>Smartphones &amp; Tablets</t>
        </is>
      </c>
      <c r="D93" s="26" t="inlineStr">
        <is>
          <t>aletheia.admin</t>
        </is>
      </c>
      <c r="E93" s="33" t="n"/>
      <c r="F93" s="26" t="inlineStr">
        <is>
          <t>admin@aletheiamobile.example</t>
        </is>
      </c>
      <c r="G93" s="26" t="inlineStr">
        <is>
          <t>Brand Admin</t>
        </is>
      </c>
      <c r="H93" s="26" t="inlineStr">
        <is>
          <t>Yes</t>
        </is>
      </c>
      <c r="I93" s="26" t="inlineStr">
        <is>
          <t>Active</t>
        </is>
      </c>
    </row>
    <row r="94" ht="15.75" customHeight="1" s="51">
      <c r="A94" s="26" t="inlineStr">
        <is>
          <t>CO-090</t>
        </is>
      </c>
      <c r="B94" s="32" t="inlineStr">
        <is>
          <t>Anteros</t>
        </is>
      </c>
      <c r="C94" s="26" t="inlineStr">
        <is>
          <t>Smartphones &amp; Tablets</t>
        </is>
      </c>
      <c r="D94" s="26" t="inlineStr">
        <is>
          <t>anteros.admin</t>
        </is>
      </c>
      <c r="E94" s="33" t="n"/>
      <c r="F94" s="26" t="inlineStr">
        <is>
          <t>admin@anterosmobile.example</t>
        </is>
      </c>
      <c r="G94" s="26" t="inlineStr">
        <is>
          <t>Brand Admin</t>
        </is>
      </c>
      <c r="H94" s="26" t="inlineStr">
        <is>
          <t>Yes</t>
        </is>
      </c>
      <c r="I94" s="26" t="inlineStr">
        <is>
          <t>Active</t>
        </is>
      </c>
    </row>
    <row r="95" ht="15.75" customHeight="1" s="51">
      <c r="A95" s="26" t="inlineStr">
        <is>
          <t>CO-091</t>
        </is>
      </c>
      <c r="B95" s="32" t="inlineStr">
        <is>
          <t>Epimetheus</t>
        </is>
      </c>
      <c r="C95" s="26" t="inlineStr">
        <is>
          <t>Smartphones &amp; Tablets</t>
        </is>
      </c>
      <c r="D95" s="26" t="inlineStr">
        <is>
          <t>epimetheus.admin</t>
        </is>
      </c>
      <c r="E95" s="33" t="n"/>
      <c r="F95" s="26" t="inlineStr">
        <is>
          <t>admin@epimetheusmobile.example</t>
        </is>
      </c>
      <c r="G95" s="26" t="inlineStr">
        <is>
          <t>Brand Admin</t>
        </is>
      </c>
      <c r="H95" s="26" t="inlineStr">
        <is>
          <t>Yes</t>
        </is>
      </c>
      <c r="I95" s="26" t="inlineStr">
        <is>
          <t>Active</t>
        </is>
      </c>
    </row>
    <row r="96" ht="15.75" customHeight="1" s="51">
      <c r="A96" s="26" t="inlineStr">
        <is>
          <t>CO-092</t>
        </is>
      </c>
      <c r="B96" s="32" t="inlineStr">
        <is>
          <t>Triton</t>
        </is>
      </c>
      <c r="C96" s="26" t="inlineStr">
        <is>
          <t>Smartphones &amp; Tablets</t>
        </is>
      </c>
      <c r="D96" s="26" t="inlineStr">
        <is>
          <t>triton.admin</t>
        </is>
      </c>
      <c r="E96" s="33" t="n"/>
      <c r="F96" s="26" t="inlineStr">
        <is>
          <t>admin@tritonmobile.example</t>
        </is>
      </c>
      <c r="G96" s="26" t="inlineStr">
        <is>
          <t>Brand Admin</t>
        </is>
      </c>
      <c r="H96" s="26" t="inlineStr">
        <is>
          <t>Yes</t>
        </is>
      </c>
      <c r="I96" s="26" t="inlineStr">
        <is>
          <t>Active</t>
        </is>
      </c>
    </row>
    <row r="97" ht="15.75" customHeight="1" s="51">
      <c r="A97" s="26" t="inlineStr">
        <is>
          <t>CO-093</t>
        </is>
      </c>
      <c r="B97" s="32" t="inlineStr">
        <is>
          <t>Thetis</t>
        </is>
      </c>
      <c r="C97" s="26" t="inlineStr">
        <is>
          <t>Smartphones &amp; Tablets</t>
        </is>
      </c>
      <c r="D97" s="26" t="inlineStr">
        <is>
          <t>thetis.admin</t>
        </is>
      </c>
      <c r="E97" s="33" t="n"/>
      <c r="F97" s="26" t="inlineStr">
        <is>
          <t>admin@thetismobile.example</t>
        </is>
      </c>
      <c r="G97" s="26" t="inlineStr">
        <is>
          <t>Brand Admin</t>
        </is>
      </c>
      <c r="H97" s="26" t="inlineStr">
        <is>
          <t>Yes</t>
        </is>
      </c>
      <c r="I97" s="26" t="inlineStr">
        <is>
          <t>Active</t>
        </is>
      </c>
    </row>
    <row r="98" ht="15.75" customHeight="1" s="51">
      <c r="A98" s="26" t="inlineStr">
        <is>
          <t>CO-094</t>
        </is>
      </c>
      <c r="B98" s="32" t="inlineStr">
        <is>
          <t>Adrastea</t>
        </is>
      </c>
      <c r="C98" s="26" t="inlineStr">
        <is>
          <t>Smartphones &amp; Tablets</t>
        </is>
      </c>
      <c r="D98" s="26" t="inlineStr">
        <is>
          <t>adrastea.admin</t>
        </is>
      </c>
      <c r="E98" s="33" t="n"/>
      <c r="F98" s="26" t="inlineStr">
        <is>
          <t>admin@adrasteamobile.example</t>
        </is>
      </c>
      <c r="G98" s="26" t="inlineStr">
        <is>
          <t>Brand Admin</t>
        </is>
      </c>
      <c r="H98" s="26" t="inlineStr">
        <is>
          <t>Yes</t>
        </is>
      </c>
      <c r="I98" s="26" t="inlineStr">
        <is>
          <t>Active</t>
        </is>
      </c>
    </row>
    <row r="99" ht="15.75" customHeight="1" s="51">
      <c r="A99" s="26" t="inlineStr">
        <is>
          <t>CO-095</t>
        </is>
      </c>
      <c r="B99" s="32" t="inlineStr">
        <is>
          <t>Leucothea</t>
        </is>
      </c>
      <c r="C99" s="26" t="inlineStr">
        <is>
          <t>Smartphones &amp; Tablets</t>
        </is>
      </c>
      <c r="D99" s="26" t="inlineStr">
        <is>
          <t>leucothea.admin</t>
        </is>
      </c>
      <c r="E99" s="33" t="n"/>
      <c r="F99" s="26" t="inlineStr">
        <is>
          <t>admin@leucotheamobile.example</t>
        </is>
      </c>
      <c r="G99" s="26" t="inlineStr">
        <is>
          <t>Brand Admin</t>
        </is>
      </c>
      <c r="H99" s="26" t="inlineStr">
        <is>
          <t>Yes</t>
        </is>
      </c>
      <c r="I99" s="26" t="inlineStr">
        <is>
          <t>Active</t>
        </is>
      </c>
    </row>
    <row r="100" ht="15.75" customHeight="1" s="51">
      <c r="A100" s="26" t="inlineStr">
        <is>
          <t>CO-096</t>
        </is>
      </c>
      <c r="B100" s="32" t="inlineStr">
        <is>
          <t>Iapetus</t>
        </is>
      </c>
      <c r="C100" s="26" t="inlineStr">
        <is>
          <t>Smartphones &amp; Tablets</t>
        </is>
      </c>
      <c r="D100" s="26" t="inlineStr">
        <is>
          <t>iapetus.admin</t>
        </is>
      </c>
      <c r="E100" s="33" t="n"/>
      <c r="F100" s="26" t="inlineStr">
        <is>
          <t>admin@iapetusmobile.example</t>
        </is>
      </c>
      <c r="G100" s="26" t="inlineStr">
        <is>
          <t>Brand Admin</t>
        </is>
      </c>
      <c r="H100" s="26" t="inlineStr">
        <is>
          <t>Yes</t>
        </is>
      </c>
      <c r="I100" s="26" t="inlineStr">
        <is>
          <t>Active</t>
        </is>
      </c>
    </row>
    <row r="101" ht="15.75" customHeight="1" s="51">
      <c r="A101" s="26" t="inlineStr">
        <is>
          <t>CO-097</t>
        </is>
      </c>
      <c r="B101" s="32" t="inlineStr">
        <is>
          <t>Pan</t>
        </is>
      </c>
      <c r="C101" s="26" t="inlineStr">
        <is>
          <t>Smartphones &amp; Tablets</t>
        </is>
      </c>
      <c r="D101" s="26" t="inlineStr">
        <is>
          <t>pan.admin</t>
        </is>
      </c>
      <c r="E101" s="33" t="n"/>
      <c r="F101" s="26" t="inlineStr">
        <is>
          <t>admin@panmobile.example</t>
        </is>
      </c>
      <c r="G101" s="26" t="inlineStr">
        <is>
          <t>Brand Admin</t>
        </is>
      </c>
      <c r="H101" s="26" t="inlineStr">
        <is>
          <t>Yes</t>
        </is>
      </c>
      <c r="I101" s="26" t="inlineStr">
        <is>
          <t>Active</t>
        </is>
      </c>
    </row>
    <row r="102" ht="15.75" customHeight="1" s="51">
      <c r="A102" s="26" t="inlineStr">
        <is>
          <t>CO-098</t>
        </is>
      </c>
      <c r="B102" s="32" t="inlineStr">
        <is>
          <t>Erebus</t>
        </is>
      </c>
      <c r="C102" s="26" t="inlineStr">
        <is>
          <t>Smartphones &amp; Tablets</t>
        </is>
      </c>
      <c r="D102" s="26" t="inlineStr">
        <is>
          <t>erebus.admin</t>
        </is>
      </c>
      <c r="E102" s="33" t="n"/>
      <c r="F102" s="26" t="inlineStr">
        <is>
          <t>admin@erebusmobile.example</t>
        </is>
      </c>
      <c r="G102" s="26" t="inlineStr">
        <is>
          <t>Brand Admin</t>
        </is>
      </c>
      <c r="H102" s="26" t="inlineStr">
        <is>
          <t>Yes</t>
        </is>
      </c>
      <c r="I102" s="26" t="inlineStr">
        <is>
          <t>Active</t>
        </is>
      </c>
    </row>
    <row r="103" ht="15.75" customHeight="1" s="51">
      <c r="A103" s="26" t="inlineStr">
        <is>
          <t>CO-099</t>
        </is>
      </c>
      <c r="B103" s="32" t="inlineStr">
        <is>
          <t>Dike</t>
        </is>
      </c>
      <c r="C103" s="26" t="inlineStr">
        <is>
          <t>Smartphones &amp; Tablets</t>
        </is>
      </c>
      <c r="D103" s="26" t="inlineStr">
        <is>
          <t>dike.admin</t>
        </is>
      </c>
      <c r="E103" s="33" t="n"/>
      <c r="F103" s="26" t="inlineStr">
        <is>
          <t>admin@dikemobile.example</t>
        </is>
      </c>
      <c r="G103" s="26" t="inlineStr">
        <is>
          <t>Brand Admin</t>
        </is>
      </c>
      <c r="H103" s="26" t="inlineStr">
        <is>
          <t>Yes</t>
        </is>
      </c>
      <c r="I103" s="26" t="inlineStr">
        <is>
          <t>Active</t>
        </is>
      </c>
    </row>
    <row r="104" ht="15.75" customHeight="1" s="51">
      <c r="A104" s="26" t="inlineStr">
        <is>
          <t>CO-100</t>
        </is>
      </c>
      <c r="B104" s="32" t="inlineStr">
        <is>
          <t>Plutus</t>
        </is>
      </c>
      <c r="C104" s="26" t="inlineStr">
        <is>
          <t>Smartphones &amp; Tablets</t>
        </is>
      </c>
      <c r="D104" s="26" t="inlineStr">
        <is>
          <t>plutus.admin</t>
        </is>
      </c>
      <c r="E104" s="33" t="n"/>
      <c r="F104" s="26" t="inlineStr">
        <is>
          <t>admin@plutusmobile.example</t>
        </is>
      </c>
      <c r="G104" s="26" t="inlineStr">
        <is>
          <t>Brand Admin</t>
        </is>
      </c>
      <c r="H104" s="26" t="inlineStr">
        <is>
          <t>Yes</t>
        </is>
      </c>
      <c r="I104" s="26" t="inlineStr">
        <is>
          <t>Active</t>
        </is>
      </c>
    </row>
    <row r="105" ht="15.75" customHeight="1" s="51">
      <c r="A105" s="30" t="inlineStr">
        <is>
          <t>CO-101</t>
        </is>
      </c>
      <c r="B105" s="34" t="inlineStr">
        <is>
          <t>Perses</t>
        </is>
      </c>
      <c r="C105" s="30" t="inlineStr">
        <is>
          <t>Computer Hardware</t>
        </is>
      </c>
      <c r="D105" s="30" t="inlineStr">
        <is>
          <t>perses.admin</t>
        </is>
      </c>
      <c r="E105" s="35" t="n"/>
      <c r="F105" s="30" t="inlineStr">
        <is>
          <t>admin@perseshardware.example</t>
        </is>
      </c>
      <c r="G105" s="30" t="inlineStr">
        <is>
          <t>Brand Admin</t>
        </is>
      </c>
      <c r="H105" s="30" t="inlineStr">
        <is>
          <t>Yes</t>
        </is>
      </c>
      <c r="I105" s="30" t="inlineStr">
        <is>
          <t>Active</t>
        </is>
      </c>
    </row>
    <row r="106" ht="15.75" customHeight="1" s="51">
      <c r="A106" s="30" t="inlineStr">
        <is>
          <t>CO-102</t>
        </is>
      </c>
      <c r="B106" s="34" t="inlineStr">
        <is>
          <t>Pheme</t>
        </is>
      </c>
      <c r="C106" s="30" t="inlineStr">
        <is>
          <t>Computer Hardware</t>
        </is>
      </c>
      <c r="D106" s="30" t="inlineStr">
        <is>
          <t>pheme.admin</t>
        </is>
      </c>
      <c r="E106" s="35" t="n"/>
      <c r="F106" s="30" t="inlineStr">
        <is>
          <t>admin@phemehardware.example</t>
        </is>
      </c>
      <c r="G106" s="30" t="inlineStr">
        <is>
          <t>Brand Admin</t>
        </is>
      </c>
      <c r="H106" s="30" t="inlineStr">
        <is>
          <t>Yes</t>
        </is>
      </c>
      <c r="I106" s="30" t="inlineStr">
        <is>
          <t>Active</t>
        </is>
      </c>
    </row>
    <row r="107" ht="15.75" customHeight="1" s="51">
      <c r="A107" s="30" t="inlineStr">
        <is>
          <t>CO-103</t>
        </is>
      </c>
      <c r="B107" s="34" t="inlineStr">
        <is>
          <t>Hermes</t>
        </is>
      </c>
      <c r="C107" s="30" t="inlineStr">
        <is>
          <t>Computer Hardware</t>
        </is>
      </c>
      <c r="D107" s="30" t="inlineStr">
        <is>
          <t>hermes.admin</t>
        </is>
      </c>
      <c r="E107" s="35" t="n"/>
      <c r="F107" s="30" t="inlineStr">
        <is>
          <t>admin@hermeshardware.example</t>
        </is>
      </c>
      <c r="G107" s="30" t="inlineStr">
        <is>
          <t>Brand Admin</t>
        </is>
      </c>
      <c r="H107" s="30" t="inlineStr">
        <is>
          <t>Yes</t>
        </is>
      </c>
      <c r="I107" s="30" t="inlineStr">
        <is>
          <t>Active</t>
        </is>
      </c>
    </row>
    <row r="108" ht="15.75" customHeight="1" s="51">
      <c r="A108" s="30" t="inlineStr">
        <is>
          <t>CO-104</t>
        </is>
      </c>
      <c r="B108" s="34" t="inlineStr">
        <is>
          <t>Eurybia</t>
        </is>
      </c>
      <c r="C108" s="30" t="inlineStr">
        <is>
          <t>Computer Hardware</t>
        </is>
      </c>
      <c r="D108" s="30" t="inlineStr">
        <is>
          <t>eurybia.admin</t>
        </is>
      </c>
      <c r="E108" s="35" t="n"/>
      <c r="F108" s="30" t="inlineStr">
        <is>
          <t>admin@eurybiahardware.example</t>
        </is>
      </c>
      <c r="G108" s="30" t="inlineStr">
        <is>
          <t>Brand Admin</t>
        </is>
      </c>
      <c r="H108" s="30" t="inlineStr">
        <is>
          <t>Yes</t>
        </is>
      </c>
      <c r="I108" s="30" t="inlineStr">
        <is>
          <t>Active</t>
        </is>
      </c>
    </row>
    <row r="109" ht="15.75" customHeight="1" s="51">
      <c r="A109" s="30" t="inlineStr">
        <is>
          <t>CO-105</t>
        </is>
      </c>
      <c r="B109" s="34" t="inlineStr">
        <is>
          <t>Cronus</t>
        </is>
      </c>
      <c r="C109" s="30" t="inlineStr">
        <is>
          <t>Computer Hardware</t>
        </is>
      </c>
      <c r="D109" s="30" t="inlineStr">
        <is>
          <t>cronus.admin</t>
        </is>
      </c>
      <c r="E109" s="35" t="n"/>
      <c r="F109" s="30" t="inlineStr">
        <is>
          <t>admin@cronushardware.example</t>
        </is>
      </c>
      <c r="G109" s="30" t="inlineStr">
        <is>
          <t>Brand Admin</t>
        </is>
      </c>
      <c r="H109" s="30" t="inlineStr">
        <is>
          <t>Yes</t>
        </is>
      </c>
      <c r="I109" s="30" t="inlineStr">
        <is>
          <t>Active</t>
        </is>
      </c>
    </row>
    <row r="110" ht="15.75" customHeight="1" s="51">
      <c r="A110" s="30" t="inlineStr">
        <is>
          <t>CO-106</t>
        </is>
      </c>
      <c r="B110" s="34" t="inlineStr">
        <is>
          <t>Harmonia</t>
        </is>
      </c>
      <c r="C110" s="30" t="inlineStr">
        <is>
          <t>Computer Hardware</t>
        </is>
      </c>
      <c r="D110" s="30" t="inlineStr">
        <is>
          <t>harmonia.admin</t>
        </is>
      </c>
      <c r="E110" s="35" t="n"/>
      <c r="F110" s="30" t="inlineStr">
        <is>
          <t>admin@harmoniahardware.example</t>
        </is>
      </c>
      <c r="G110" s="30" t="inlineStr">
        <is>
          <t>Brand Admin</t>
        </is>
      </c>
      <c r="H110" s="30" t="inlineStr">
        <is>
          <t>Yes</t>
        </is>
      </c>
      <c r="I110" s="30" t="inlineStr">
        <is>
          <t>Active</t>
        </is>
      </c>
    </row>
    <row r="111" ht="15.75" customHeight="1" s="51">
      <c r="A111" s="30" t="inlineStr">
        <is>
          <t>CO-107</t>
        </is>
      </c>
      <c r="B111" s="34" t="inlineStr">
        <is>
          <t>Bia</t>
        </is>
      </c>
      <c r="C111" s="30" t="inlineStr">
        <is>
          <t>Computer Hardware</t>
        </is>
      </c>
      <c r="D111" s="30" t="inlineStr">
        <is>
          <t>bia.admin</t>
        </is>
      </c>
      <c r="E111" s="35" t="n"/>
      <c r="F111" s="30" t="inlineStr">
        <is>
          <t>admin@biahardware.example</t>
        </is>
      </c>
      <c r="G111" s="30" t="inlineStr">
        <is>
          <t>Brand Admin</t>
        </is>
      </c>
      <c r="H111" s="30" t="inlineStr">
        <is>
          <t>Yes</t>
        </is>
      </c>
      <c r="I111" s="30" t="inlineStr">
        <is>
          <t>Active</t>
        </is>
      </c>
    </row>
    <row r="112" ht="15.75" customHeight="1" s="51">
      <c r="A112" s="30" t="inlineStr">
        <is>
          <t>CO-108</t>
        </is>
      </c>
      <c r="B112" s="34" t="inlineStr">
        <is>
          <t>Notus</t>
        </is>
      </c>
      <c r="C112" s="30" t="inlineStr">
        <is>
          <t>Computer Hardware</t>
        </is>
      </c>
      <c r="D112" s="30" t="inlineStr">
        <is>
          <t>notus.admin</t>
        </is>
      </c>
      <c r="E112" s="35" t="n"/>
      <c r="F112" s="30" t="inlineStr">
        <is>
          <t>admin@notushardware.example</t>
        </is>
      </c>
      <c r="G112" s="30" t="inlineStr">
        <is>
          <t>Brand Admin</t>
        </is>
      </c>
      <c r="H112" s="30" t="inlineStr">
        <is>
          <t>Yes</t>
        </is>
      </c>
      <c r="I112" s="30" t="inlineStr">
        <is>
          <t>Active</t>
        </is>
      </c>
    </row>
    <row r="113" ht="15.75" customHeight="1" s="51">
      <c r="A113" s="30" t="inlineStr">
        <is>
          <t>CO-109</t>
        </is>
      </c>
      <c r="B113" s="34" t="inlineStr">
        <is>
          <t>Apollo</t>
        </is>
      </c>
      <c r="C113" s="30" t="inlineStr">
        <is>
          <t>Computer Hardware</t>
        </is>
      </c>
      <c r="D113" s="30" t="inlineStr">
        <is>
          <t>apollo.admin</t>
        </is>
      </c>
      <c r="E113" s="35" t="n"/>
      <c r="F113" s="30" t="inlineStr">
        <is>
          <t>admin@apollohardware.example</t>
        </is>
      </c>
      <c r="G113" s="30" t="inlineStr">
        <is>
          <t>Brand Admin</t>
        </is>
      </c>
      <c r="H113" s="30" t="inlineStr">
        <is>
          <t>Yes</t>
        </is>
      </c>
      <c r="I113" s="30" t="inlineStr">
        <is>
          <t>Active</t>
        </is>
      </c>
    </row>
    <row r="114" ht="15.75" customHeight="1" s="51">
      <c r="A114" s="30" t="inlineStr">
        <is>
          <t>CO-110</t>
        </is>
      </c>
      <c r="B114" s="34" t="inlineStr">
        <is>
          <t>Apate</t>
        </is>
      </c>
      <c r="C114" s="30" t="inlineStr">
        <is>
          <t>Computer Hardware</t>
        </is>
      </c>
      <c r="D114" s="30" t="inlineStr">
        <is>
          <t>apate.admin</t>
        </is>
      </c>
      <c r="E114" s="35" t="n"/>
      <c r="F114" s="30" t="inlineStr">
        <is>
          <t>admin@apatehardware.example</t>
        </is>
      </c>
      <c r="G114" s="30" t="inlineStr">
        <is>
          <t>Brand Admin</t>
        </is>
      </c>
      <c r="H114" s="30" t="inlineStr">
        <is>
          <t>Yes</t>
        </is>
      </c>
      <c r="I114" s="30" t="inlineStr">
        <is>
          <t>Active</t>
        </is>
      </c>
    </row>
    <row r="115" ht="15.75" customHeight="1" s="51">
      <c r="A115" s="30" t="inlineStr">
        <is>
          <t>CO-111</t>
        </is>
      </c>
      <c r="B115" s="34" t="inlineStr">
        <is>
          <t>Eos</t>
        </is>
      </c>
      <c r="C115" s="30" t="inlineStr">
        <is>
          <t>Computer Hardware</t>
        </is>
      </c>
      <c r="D115" s="30" t="inlineStr">
        <is>
          <t>eos.admin</t>
        </is>
      </c>
      <c r="E115" s="35" t="n"/>
      <c r="F115" s="30" t="inlineStr">
        <is>
          <t>admin@eoshardware.example</t>
        </is>
      </c>
      <c r="G115" s="30" t="inlineStr">
        <is>
          <t>Brand Admin</t>
        </is>
      </c>
      <c r="H115" s="30" t="inlineStr">
        <is>
          <t>Yes</t>
        </is>
      </c>
      <c r="I115" s="30" t="inlineStr">
        <is>
          <t>Active</t>
        </is>
      </c>
    </row>
    <row r="116" ht="15.75" customHeight="1" s="51">
      <c r="A116" s="30" t="inlineStr">
        <is>
          <t>CO-112</t>
        </is>
      </c>
      <c r="B116" s="34" t="inlineStr">
        <is>
          <t>Eirene</t>
        </is>
      </c>
      <c r="C116" s="30" t="inlineStr">
        <is>
          <t>Computer Hardware</t>
        </is>
      </c>
      <c r="D116" s="30" t="inlineStr">
        <is>
          <t>eirene.admin</t>
        </is>
      </c>
      <c r="E116" s="35" t="n"/>
      <c r="F116" s="30" t="inlineStr">
        <is>
          <t>admin@eirenehardware.example</t>
        </is>
      </c>
      <c r="G116" s="30" t="inlineStr">
        <is>
          <t>Brand Admin</t>
        </is>
      </c>
      <c r="H116" s="30" t="inlineStr">
        <is>
          <t>Yes</t>
        </is>
      </c>
      <c r="I116" s="30" t="inlineStr">
        <is>
          <t>Active</t>
        </is>
      </c>
    </row>
    <row r="117" ht="15.75" customHeight="1" s="51">
      <c r="A117" s="30" t="inlineStr">
        <is>
          <t>CO-113</t>
        </is>
      </c>
      <c r="B117" s="34" t="inlineStr">
        <is>
          <t>Uranus</t>
        </is>
      </c>
      <c r="C117" s="30" t="inlineStr">
        <is>
          <t>Computer Hardware</t>
        </is>
      </c>
      <c r="D117" s="30" t="inlineStr">
        <is>
          <t>uranus.admin</t>
        </is>
      </c>
      <c r="E117" s="35" t="n"/>
      <c r="F117" s="30" t="inlineStr">
        <is>
          <t>admin@uranushardware.example</t>
        </is>
      </c>
      <c r="G117" s="30" t="inlineStr">
        <is>
          <t>Brand Admin</t>
        </is>
      </c>
      <c r="H117" s="30" t="inlineStr">
        <is>
          <t>Yes</t>
        </is>
      </c>
      <c r="I117" s="30" t="inlineStr">
        <is>
          <t>Active</t>
        </is>
      </c>
    </row>
    <row r="118" ht="15.75" customHeight="1" s="51">
      <c r="A118" s="30" t="inlineStr">
        <is>
          <t>CO-114</t>
        </is>
      </c>
      <c r="B118" s="34" t="inlineStr">
        <is>
          <t>Enyo</t>
        </is>
      </c>
      <c r="C118" s="30" t="inlineStr">
        <is>
          <t>Computer Hardware</t>
        </is>
      </c>
      <c r="D118" s="30" t="inlineStr">
        <is>
          <t>enyo.admin</t>
        </is>
      </c>
      <c r="E118" s="35" t="n"/>
      <c r="F118" s="30" t="inlineStr">
        <is>
          <t>admin@enyohardware.example</t>
        </is>
      </c>
      <c r="G118" s="30" t="inlineStr">
        <is>
          <t>Brand Admin</t>
        </is>
      </c>
      <c r="H118" s="30" t="inlineStr">
        <is>
          <t>Yes</t>
        </is>
      </c>
      <c r="I118" s="30" t="inlineStr">
        <is>
          <t>Active</t>
        </is>
      </c>
    </row>
    <row r="119" ht="15.75" customHeight="1" s="51">
      <c r="A119" s="30" t="inlineStr">
        <is>
          <t>CO-115</t>
        </is>
      </c>
      <c r="B119" s="34" t="inlineStr">
        <is>
          <t>Nyx</t>
        </is>
      </c>
      <c r="C119" s="30" t="inlineStr">
        <is>
          <t>Computer Hardware</t>
        </is>
      </c>
      <c r="D119" s="30" t="inlineStr">
        <is>
          <t>nyx.admin</t>
        </is>
      </c>
      <c r="E119" s="35" t="n"/>
      <c r="F119" s="30" t="inlineStr">
        <is>
          <t>admin@nyxhardware.example</t>
        </is>
      </c>
      <c r="G119" s="30" t="inlineStr">
        <is>
          <t>Brand Admin</t>
        </is>
      </c>
      <c r="H119" s="30" t="inlineStr">
        <is>
          <t>Yes</t>
        </is>
      </c>
      <c r="I119" s="30" t="inlineStr">
        <is>
          <t>Active</t>
        </is>
      </c>
    </row>
    <row r="120" ht="15.75" customHeight="1" s="51">
      <c r="A120" s="30" t="inlineStr">
        <is>
          <t>CO-116</t>
        </is>
      </c>
      <c r="B120" s="34" t="inlineStr">
        <is>
          <t>Hestia</t>
        </is>
      </c>
      <c r="C120" s="30" t="inlineStr">
        <is>
          <t>Computer Hardware</t>
        </is>
      </c>
      <c r="D120" s="30" t="inlineStr">
        <is>
          <t>hestia.admin</t>
        </is>
      </c>
      <c r="E120" s="35" t="n"/>
      <c r="F120" s="30" t="inlineStr">
        <is>
          <t>admin@hestiahardware.example</t>
        </is>
      </c>
      <c r="G120" s="30" t="inlineStr">
        <is>
          <t>Brand Admin</t>
        </is>
      </c>
      <c r="H120" s="30" t="inlineStr">
        <is>
          <t>Yes</t>
        </is>
      </c>
      <c r="I120" s="30" t="inlineStr">
        <is>
          <t>Active</t>
        </is>
      </c>
    </row>
    <row r="121" ht="15.75" customHeight="1" s="51">
      <c r="A121" s="30" t="inlineStr">
        <is>
          <t>CO-117</t>
        </is>
      </c>
      <c r="B121" s="34" t="inlineStr">
        <is>
          <t>Hemera</t>
        </is>
      </c>
      <c r="C121" s="30" t="inlineStr">
        <is>
          <t>Computer Hardware</t>
        </is>
      </c>
      <c r="D121" s="30" t="inlineStr">
        <is>
          <t>hemera.admin</t>
        </is>
      </c>
      <c r="E121" s="35" t="n"/>
      <c r="F121" s="30" t="inlineStr">
        <is>
          <t>admin@hemerahardware.example</t>
        </is>
      </c>
      <c r="G121" s="30" t="inlineStr">
        <is>
          <t>Brand Admin</t>
        </is>
      </c>
      <c r="H121" s="30" t="inlineStr">
        <is>
          <t>Yes</t>
        </is>
      </c>
      <c r="I121" s="30" t="inlineStr">
        <is>
          <t>Active</t>
        </is>
      </c>
    </row>
    <row r="122" ht="15.75" customHeight="1" s="51">
      <c r="A122" s="30" t="inlineStr">
        <is>
          <t>CO-118</t>
        </is>
      </c>
      <c r="B122" s="34" t="inlineStr">
        <is>
          <t>Dionysus</t>
        </is>
      </c>
      <c r="C122" s="30" t="inlineStr">
        <is>
          <t>Computer Hardware</t>
        </is>
      </c>
      <c r="D122" s="30" t="inlineStr">
        <is>
          <t>dionysus.admin</t>
        </is>
      </c>
      <c r="E122" s="35" t="n"/>
      <c r="F122" s="30" t="inlineStr">
        <is>
          <t>admin@dionysushardware.example</t>
        </is>
      </c>
      <c r="G122" s="30" t="inlineStr">
        <is>
          <t>Brand Admin</t>
        </is>
      </c>
      <c r="H122" s="30" t="inlineStr">
        <is>
          <t>Yes</t>
        </is>
      </c>
      <c r="I122" s="30" t="inlineStr">
        <is>
          <t>Active</t>
        </is>
      </c>
    </row>
    <row r="123" ht="15.75" customHeight="1" s="51">
      <c r="A123" s="30" t="inlineStr">
        <is>
          <t>CO-119</t>
        </is>
      </c>
      <c r="B123" s="34" t="inlineStr">
        <is>
          <t>Hades</t>
        </is>
      </c>
      <c r="C123" s="30" t="inlineStr">
        <is>
          <t>Computer Hardware</t>
        </is>
      </c>
      <c r="D123" s="30" t="inlineStr">
        <is>
          <t>hades.admin</t>
        </is>
      </c>
      <c r="E123" s="35" t="n"/>
      <c r="F123" s="30" t="inlineStr">
        <is>
          <t>admin@hadeshardware.example</t>
        </is>
      </c>
      <c r="G123" s="30" t="inlineStr">
        <is>
          <t>Brand Admin</t>
        </is>
      </c>
      <c r="H123" s="30" t="inlineStr">
        <is>
          <t>Yes</t>
        </is>
      </c>
      <c r="I123" s="30" t="inlineStr">
        <is>
          <t>Active</t>
        </is>
      </c>
    </row>
    <row r="124" ht="15.75" customHeight="1" s="51">
      <c r="A124" s="30" t="inlineStr">
        <is>
          <t>CO-120</t>
        </is>
      </c>
      <c r="B124" s="34" t="inlineStr">
        <is>
          <t>Euterpe</t>
        </is>
      </c>
      <c r="C124" s="30" t="inlineStr">
        <is>
          <t>Computer Hardware</t>
        </is>
      </c>
      <c r="D124" s="30" t="inlineStr">
        <is>
          <t>euterpe.admin</t>
        </is>
      </c>
      <c r="E124" s="35" t="n"/>
      <c r="F124" s="30" t="inlineStr">
        <is>
          <t>admin@euterpehardware.example</t>
        </is>
      </c>
      <c r="G124" s="30" t="inlineStr">
        <is>
          <t>Brand Admin</t>
        </is>
      </c>
      <c r="H124" s="30" t="inlineStr">
        <is>
          <t>Yes</t>
        </is>
      </c>
      <c r="I124" s="30" t="inlineStr">
        <is>
          <t>Active</t>
        </is>
      </c>
    </row>
    <row r="125" ht="15.75" customHeight="1" s="51">
      <c r="A125" s="30" t="inlineStr">
        <is>
          <t>CO-121</t>
        </is>
      </c>
      <c r="B125" s="34" t="inlineStr">
        <is>
          <t>Hymenaeus</t>
        </is>
      </c>
      <c r="C125" s="30" t="inlineStr">
        <is>
          <t>Computer Hardware</t>
        </is>
      </c>
      <c r="D125" s="30" t="inlineStr">
        <is>
          <t>hymenaeus.admin</t>
        </is>
      </c>
      <c r="E125" s="35" t="n"/>
      <c r="F125" s="30" t="inlineStr">
        <is>
          <t>admin@hymenaeushardware.example</t>
        </is>
      </c>
      <c r="G125" s="30" t="inlineStr">
        <is>
          <t>Brand Admin</t>
        </is>
      </c>
      <c r="H125" s="30" t="inlineStr">
        <is>
          <t>Yes</t>
        </is>
      </c>
      <c r="I125" s="30" t="inlineStr">
        <is>
          <t>Active</t>
        </is>
      </c>
    </row>
    <row r="126" ht="15.75" customHeight="1" s="51">
      <c r="A126" s="30" t="inlineStr">
        <is>
          <t>CO-122</t>
        </is>
      </c>
      <c r="B126" s="34" t="inlineStr">
        <is>
          <t>Atlas</t>
        </is>
      </c>
      <c r="C126" s="30" t="inlineStr">
        <is>
          <t>Computer Hardware</t>
        </is>
      </c>
      <c r="D126" s="30" t="inlineStr">
        <is>
          <t>atlas.admin</t>
        </is>
      </c>
      <c r="E126" s="35" t="n"/>
      <c r="F126" s="30" t="inlineStr">
        <is>
          <t>admin@atlashardware.example</t>
        </is>
      </c>
      <c r="G126" s="30" t="inlineStr">
        <is>
          <t>Brand Admin</t>
        </is>
      </c>
      <c r="H126" s="30" t="inlineStr">
        <is>
          <t>Yes</t>
        </is>
      </c>
      <c r="I126" s="30" t="inlineStr">
        <is>
          <t>Active</t>
        </is>
      </c>
    </row>
    <row r="127" ht="15.75" customHeight="1" s="51">
      <c r="A127" s="30" t="inlineStr">
        <is>
          <t>CO-123</t>
        </is>
      </c>
      <c r="B127" s="34" t="inlineStr">
        <is>
          <t>Hyperion</t>
        </is>
      </c>
      <c r="C127" s="30" t="inlineStr">
        <is>
          <t>Computer Hardware</t>
        </is>
      </c>
      <c r="D127" s="30" t="inlineStr">
        <is>
          <t>hyperion.admin</t>
        </is>
      </c>
      <c r="E127" s="35" t="n"/>
      <c r="F127" s="30" t="inlineStr">
        <is>
          <t>admin@hyperionhardware.example</t>
        </is>
      </c>
      <c r="G127" s="30" t="inlineStr">
        <is>
          <t>Brand Admin</t>
        </is>
      </c>
      <c r="H127" s="30" t="inlineStr">
        <is>
          <t>Yes</t>
        </is>
      </c>
      <c r="I127" s="30" t="inlineStr">
        <is>
          <t>Active</t>
        </is>
      </c>
    </row>
    <row r="128" ht="15.75" customHeight="1" s="51">
      <c r="A128" s="30" t="inlineStr">
        <is>
          <t>CO-124</t>
        </is>
      </c>
      <c r="B128" s="34" t="inlineStr">
        <is>
          <t>Eucleia</t>
        </is>
      </c>
      <c r="C128" s="30" t="inlineStr">
        <is>
          <t>Computer Hardware</t>
        </is>
      </c>
      <c r="D128" s="30" t="inlineStr">
        <is>
          <t>eucleia.admin</t>
        </is>
      </c>
      <c r="E128" s="35" t="n"/>
      <c r="F128" s="30" t="inlineStr">
        <is>
          <t>admin@eucleiahardware.example</t>
        </is>
      </c>
      <c r="G128" s="30" t="inlineStr">
        <is>
          <t>Brand Admin</t>
        </is>
      </c>
      <c r="H128" s="30" t="inlineStr">
        <is>
          <t>Yes</t>
        </is>
      </c>
      <c r="I128" s="30" t="inlineStr">
        <is>
          <t>Active</t>
        </is>
      </c>
    </row>
    <row r="129" ht="15.75" customHeight="1" s="51">
      <c r="A129" s="30" t="inlineStr">
        <is>
          <t>CO-125</t>
        </is>
      </c>
      <c r="B129" s="34" t="inlineStr">
        <is>
          <t>Gaia</t>
        </is>
      </c>
      <c r="C129" s="30" t="inlineStr">
        <is>
          <t>Computer Hardware</t>
        </is>
      </c>
      <c r="D129" s="30" t="inlineStr">
        <is>
          <t>gaia.admin</t>
        </is>
      </c>
      <c r="E129" s="35" t="n"/>
      <c r="F129" s="30" t="inlineStr">
        <is>
          <t>admin@gaiahardware.example</t>
        </is>
      </c>
      <c r="G129" s="30" t="inlineStr">
        <is>
          <t>Brand Admin</t>
        </is>
      </c>
      <c r="H129" s="30" t="inlineStr">
        <is>
          <t>Yes</t>
        </is>
      </c>
      <c r="I129" s="30" t="inlineStr">
        <is>
          <t>Active</t>
        </is>
      </c>
    </row>
    <row r="130" ht="15.75" customHeight="1" s="51">
      <c r="A130" s="30" t="inlineStr">
        <is>
          <t>CO-126</t>
        </is>
      </c>
      <c r="B130" s="34" t="inlineStr">
        <is>
          <t>Thalassa</t>
        </is>
      </c>
      <c r="C130" s="30" t="inlineStr">
        <is>
          <t>Computer Hardware</t>
        </is>
      </c>
      <c r="D130" s="30" t="inlineStr">
        <is>
          <t>thalassa.admin</t>
        </is>
      </c>
      <c r="E130" s="35" t="n"/>
      <c r="F130" s="30" t="inlineStr">
        <is>
          <t>admin@thalassahardware.example</t>
        </is>
      </c>
      <c r="G130" s="30" t="inlineStr">
        <is>
          <t>Brand Admin</t>
        </is>
      </c>
      <c r="H130" s="30" t="inlineStr">
        <is>
          <t>Yes</t>
        </is>
      </c>
      <c r="I130" s="30" t="inlineStr">
        <is>
          <t>Active</t>
        </is>
      </c>
    </row>
    <row r="131" ht="15.75" customHeight="1" s="51">
      <c r="A131" s="30" t="inlineStr">
        <is>
          <t>CO-127</t>
        </is>
      </c>
      <c r="B131" s="34" t="inlineStr">
        <is>
          <t>Palaemon</t>
        </is>
      </c>
      <c r="C131" s="30" t="inlineStr">
        <is>
          <t>Computer Hardware</t>
        </is>
      </c>
      <c r="D131" s="30" t="inlineStr">
        <is>
          <t>palaemon.admin</t>
        </is>
      </c>
      <c r="E131" s="35" t="n"/>
      <c r="F131" s="30" t="inlineStr">
        <is>
          <t>admin@palaemonhardware.example</t>
        </is>
      </c>
      <c r="G131" s="30" t="inlineStr">
        <is>
          <t>Brand Admin</t>
        </is>
      </c>
      <c r="H131" s="30" t="inlineStr">
        <is>
          <t>Yes</t>
        </is>
      </c>
      <c r="I131" s="30" t="inlineStr">
        <is>
          <t>Active</t>
        </is>
      </c>
    </row>
    <row r="132" ht="15.75" customHeight="1" s="51">
      <c r="A132" s="30" t="inlineStr">
        <is>
          <t>CO-128</t>
        </is>
      </c>
      <c r="B132" s="34" t="inlineStr">
        <is>
          <t>Dione</t>
        </is>
      </c>
      <c r="C132" s="30" t="inlineStr">
        <is>
          <t>Computer Hardware</t>
        </is>
      </c>
      <c r="D132" s="30" t="inlineStr">
        <is>
          <t>dione.admin</t>
        </is>
      </c>
      <c r="E132" s="35" t="n"/>
      <c r="F132" s="30" t="inlineStr">
        <is>
          <t>admin@dionehardware.example</t>
        </is>
      </c>
      <c r="G132" s="30" t="inlineStr">
        <is>
          <t>Brand Admin</t>
        </is>
      </c>
      <c r="H132" s="30" t="inlineStr">
        <is>
          <t>Yes</t>
        </is>
      </c>
      <c r="I132" s="30" t="inlineStr">
        <is>
          <t>Active</t>
        </is>
      </c>
    </row>
    <row r="133" ht="15.75" customHeight="1" s="51">
      <c r="A133" s="30" t="inlineStr">
        <is>
          <t>CO-129</t>
        </is>
      </c>
      <c r="B133" s="34" t="inlineStr">
        <is>
          <t>Hera</t>
        </is>
      </c>
      <c r="C133" s="30" t="inlineStr">
        <is>
          <t>Computer Hardware</t>
        </is>
      </c>
      <c r="D133" s="30" t="inlineStr">
        <is>
          <t>hera.admin</t>
        </is>
      </c>
      <c r="E133" s="35" t="n"/>
      <c r="F133" s="30" t="inlineStr">
        <is>
          <t>admin@herahardware.example</t>
        </is>
      </c>
      <c r="G133" s="30" t="inlineStr">
        <is>
          <t>Brand Admin</t>
        </is>
      </c>
      <c r="H133" s="30" t="inlineStr">
        <is>
          <t>Yes</t>
        </is>
      </c>
      <c r="I133" s="30" t="inlineStr">
        <is>
          <t>Active</t>
        </is>
      </c>
    </row>
    <row r="134" ht="15.75" customHeight="1" s="51">
      <c r="A134" s="30" t="inlineStr">
        <is>
          <t>CO-130</t>
        </is>
      </c>
      <c r="B134" s="34" t="inlineStr">
        <is>
          <t>Iris</t>
        </is>
      </c>
      <c r="C134" s="30" t="inlineStr">
        <is>
          <t>Computer Hardware</t>
        </is>
      </c>
      <c r="D134" s="30" t="inlineStr">
        <is>
          <t>iris.admin</t>
        </is>
      </c>
      <c r="E134" s="35" t="n"/>
      <c r="F134" s="30" t="inlineStr">
        <is>
          <t>admin@irishardware.example</t>
        </is>
      </c>
      <c r="G134" s="30" t="inlineStr">
        <is>
          <t>Brand Admin</t>
        </is>
      </c>
      <c r="H134" s="30" t="inlineStr">
        <is>
          <t>Yes</t>
        </is>
      </c>
      <c r="I134" s="30" t="inlineStr">
        <is>
          <t>Active</t>
        </is>
      </c>
    </row>
    <row r="135" ht="15.75" customHeight="1" s="51">
      <c r="A135" s="30" t="inlineStr">
        <is>
          <t>CO-131</t>
        </is>
      </c>
      <c r="B135" s="34" t="inlineStr">
        <is>
          <t>Ceto</t>
        </is>
      </c>
      <c r="C135" s="30" t="inlineStr">
        <is>
          <t>Computer Hardware</t>
        </is>
      </c>
      <c r="D135" s="30" t="inlineStr">
        <is>
          <t>ceto.admin</t>
        </is>
      </c>
      <c r="E135" s="35" t="n"/>
      <c r="F135" s="30" t="inlineStr">
        <is>
          <t>admin@cetohardware.example</t>
        </is>
      </c>
      <c r="G135" s="30" t="inlineStr">
        <is>
          <t>Brand Admin</t>
        </is>
      </c>
      <c r="H135" s="30" t="inlineStr">
        <is>
          <t>Yes</t>
        </is>
      </c>
      <c r="I135" s="30" t="inlineStr">
        <is>
          <t>Active</t>
        </is>
      </c>
    </row>
    <row r="136" ht="15.75" customHeight="1" s="51">
      <c r="A136" s="30" t="inlineStr">
        <is>
          <t>CO-132</t>
        </is>
      </c>
      <c r="B136" s="34" t="inlineStr">
        <is>
          <t>Nike</t>
        </is>
      </c>
      <c r="C136" s="30" t="inlineStr">
        <is>
          <t>Computer Hardware</t>
        </is>
      </c>
      <c r="D136" s="30" t="inlineStr">
        <is>
          <t>nike.admin</t>
        </is>
      </c>
      <c r="E136" s="35" t="n"/>
      <c r="F136" s="30" t="inlineStr">
        <is>
          <t>admin@nikehardware.example</t>
        </is>
      </c>
      <c r="G136" s="30" t="inlineStr">
        <is>
          <t>Brand Admin</t>
        </is>
      </c>
      <c r="H136" s="30" t="inlineStr">
        <is>
          <t>Yes</t>
        </is>
      </c>
      <c r="I136" s="30" t="inlineStr">
        <is>
          <t>Active</t>
        </is>
      </c>
    </row>
    <row r="137" ht="15.75" customHeight="1" s="51">
      <c r="A137" s="30" t="inlineStr">
        <is>
          <t>CO-133</t>
        </is>
      </c>
      <c r="B137" s="34" t="inlineStr">
        <is>
          <t>Geras</t>
        </is>
      </c>
      <c r="C137" s="30" t="inlineStr">
        <is>
          <t>Computer Hardware</t>
        </is>
      </c>
      <c r="D137" s="30" t="inlineStr">
        <is>
          <t>geras.admin</t>
        </is>
      </c>
      <c r="E137" s="35" t="n"/>
      <c r="F137" s="30" t="inlineStr">
        <is>
          <t>admin@gerashardware.example</t>
        </is>
      </c>
      <c r="G137" s="30" t="inlineStr">
        <is>
          <t>Brand Admin</t>
        </is>
      </c>
      <c r="H137" s="30" t="inlineStr">
        <is>
          <t>Yes</t>
        </is>
      </c>
      <c r="I137" s="30" t="inlineStr">
        <is>
          <t>Active</t>
        </is>
      </c>
    </row>
    <row r="138" ht="15.75" customHeight="1" s="51">
      <c r="A138" s="30" t="inlineStr">
        <is>
          <t>CO-134</t>
        </is>
      </c>
      <c r="B138" s="34" t="inlineStr">
        <is>
          <t>Eros</t>
        </is>
      </c>
      <c r="C138" s="30" t="inlineStr">
        <is>
          <t>Computer Hardware</t>
        </is>
      </c>
      <c r="D138" s="30" t="inlineStr">
        <is>
          <t>eros.admin</t>
        </is>
      </c>
      <c r="E138" s="35" t="n"/>
      <c r="F138" s="30" t="inlineStr">
        <is>
          <t>admin@eroshardware.example</t>
        </is>
      </c>
      <c r="G138" s="30" t="inlineStr">
        <is>
          <t>Brand Admin</t>
        </is>
      </c>
      <c r="H138" s="30" t="inlineStr">
        <is>
          <t>Yes</t>
        </is>
      </c>
      <c r="I138" s="30" t="inlineStr">
        <is>
          <t>Active</t>
        </is>
      </c>
    </row>
    <row r="139" ht="15.75" customHeight="1" s="51">
      <c r="A139" s="30" t="inlineStr">
        <is>
          <t>CO-135</t>
        </is>
      </c>
      <c r="B139" s="34" t="inlineStr">
        <is>
          <t>Aidos</t>
        </is>
      </c>
      <c r="C139" s="30" t="inlineStr">
        <is>
          <t>Computer Hardware</t>
        </is>
      </c>
      <c r="D139" s="30" t="inlineStr">
        <is>
          <t>aidos.admin</t>
        </is>
      </c>
      <c r="E139" s="35" t="n"/>
      <c r="F139" s="30" t="inlineStr">
        <is>
          <t>admin@aidoshardware.example</t>
        </is>
      </c>
      <c r="G139" s="30" t="inlineStr">
        <is>
          <t>Brand Admin</t>
        </is>
      </c>
      <c r="H139" s="30" t="inlineStr">
        <is>
          <t>Yes</t>
        </is>
      </c>
      <c r="I139" s="30" t="inlineStr">
        <is>
          <t>Active</t>
        </is>
      </c>
    </row>
    <row r="140" ht="15.75" customHeight="1" s="51">
      <c r="A140" s="30" t="inlineStr">
        <is>
          <t>CO-136</t>
        </is>
      </c>
      <c r="B140" s="34" t="inlineStr">
        <is>
          <t>Urania</t>
        </is>
      </c>
      <c r="C140" s="30" t="inlineStr">
        <is>
          <t>Computer Hardware</t>
        </is>
      </c>
      <c r="D140" s="30" t="inlineStr">
        <is>
          <t>urania.admin</t>
        </is>
      </c>
      <c r="E140" s="35" t="n"/>
      <c r="F140" s="30" t="inlineStr">
        <is>
          <t>admin@uraniahardware.example</t>
        </is>
      </c>
      <c r="G140" s="30" t="inlineStr">
        <is>
          <t>Brand Admin</t>
        </is>
      </c>
      <c r="H140" s="30" t="inlineStr">
        <is>
          <t>Yes</t>
        </is>
      </c>
      <c r="I140" s="30" t="inlineStr">
        <is>
          <t>Active</t>
        </is>
      </c>
    </row>
    <row r="141" ht="15.75" customHeight="1" s="51">
      <c r="A141" s="30" t="inlineStr">
        <is>
          <t>CO-137</t>
        </is>
      </c>
      <c r="B141" s="34" t="inlineStr">
        <is>
          <t>Zelus</t>
        </is>
      </c>
      <c r="C141" s="30" t="inlineStr">
        <is>
          <t>Computer Hardware</t>
        </is>
      </c>
      <c r="D141" s="30" t="inlineStr">
        <is>
          <t>zelus.admin</t>
        </is>
      </c>
      <c r="E141" s="35" t="n"/>
      <c r="F141" s="30" t="inlineStr">
        <is>
          <t>admin@zelushardware.example</t>
        </is>
      </c>
      <c r="G141" s="30" t="inlineStr">
        <is>
          <t>Brand Admin</t>
        </is>
      </c>
      <c r="H141" s="30" t="inlineStr">
        <is>
          <t>Yes</t>
        </is>
      </c>
      <c r="I141" s="30" t="inlineStr">
        <is>
          <t>Active</t>
        </is>
      </c>
    </row>
    <row r="142" ht="15.75" customHeight="1" s="51">
      <c r="A142" s="30" t="inlineStr">
        <is>
          <t>CO-138</t>
        </is>
      </c>
      <c r="B142" s="34" t="inlineStr">
        <is>
          <t>Phanes</t>
        </is>
      </c>
      <c r="C142" s="30" t="inlineStr">
        <is>
          <t>Computer Hardware</t>
        </is>
      </c>
      <c r="D142" s="30" t="inlineStr">
        <is>
          <t>phanes.admin</t>
        </is>
      </c>
      <c r="E142" s="35" t="n"/>
      <c r="F142" s="30" t="inlineStr">
        <is>
          <t>admin@phaneshardware.example</t>
        </is>
      </c>
      <c r="G142" s="30" t="inlineStr">
        <is>
          <t>Brand Admin</t>
        </is>
      </c>
      <c r="H142" s="30" t="inlineStr">
        <is>
          <t>Yes</t>
        </is>
      </c>
      <c r="I142" s="30" t="inlineStr">
        <is>
          <t>Active</t>
        </is>
      </c>
    </row>
    <row r="143" ht="15.75" customHeight="1" s="51">
      <c r="A143" s="30" t="inlineStr">
        <is>
          <t>CO-139</t>
        </is>
      </c>
      <c r="B143" s="34" t="inlineStr">
        <is>
          <t>Crius</t>
        </is>
      </c>
      <c r="C143" s="30" t="inlineStr">
        <is>
          <t>Computer Hardware</t>
        </is>
      </c>
      <c r="D143" s="30" t="inlineStr">
        <is>
          <t>crius.admin</t>
        </is>
      </c>
      <c r="E143" s="35" t="n"/>
      <c r="F143" s="30" t="inlineStr">
        <is>
          <t>admin@criushardware.example</t>
        </is>
      </c>
      <c r="G143" s="30" t="inlineStr">
        <is>
          <t>Brand Admin</t>
        </is>
      </c>
      <c r="H143" s="30" t="inlineStr">
        <is>
          <t>Yes</t>
        </is>
      </c>
      <c r="I143" s="30" t="inlineStr">
        <is>
          <t>Active</t>
        </is>
      </c>
    </row>
    <row r="144" ht="15.75" customHeight="1" s="51">
      <c r="A144" s="30" t="inlineStr">
        <is>
          <t>CO-140</t>
        </is>
      </c>
      <c r="B144" s="34" t="inlineStr">
        <is>
          <t>Ares</t>
        </is>
      </c>
      <c r="C144" s="30" t="inlineStr">
        <is>
          <t>Computer Hardware</t>
        </is>
      </c>
      <c r="D144" s="30" t="inlineStr">
        <is>
          <t>ares.admin</t>
        </is>
      </c>
      <c r="E144" s="35" t="n"/>
      <c r="F144" s="30" t="inlineStr">
        <is>
          <t>admin@areshardware.example</t>
        </is>
      </c>
      <c r="G144" s="30" t="inlineStr">
        <is>
          <t>Brand Admin</t>
        </is>
      </c>
      <c r="H144" s="30" t="inlineStr">
        <is>
          <t>Yes</t>
        </is>
      </c>
      <c r="I144" s="30" t="inlineStr">
        <is>
          <t>Active</t>
        </is>
      </c>
    </row>
    <row r="145" ht="15.75" customHeight="1" s="51">
      <c r="A145" s="30" t="inlineStr">
        <is>
          <t>CO-141</t>
        </is>
      </c>
      <c r="B145" s="34" t="inlineStr">
        <is>
          <t>Aphrodite</t>
        </is>
      </c>
      <c r="C145" s="30" t="inlineStr">
        <is>
          <t>Computer Hardware</t>
        </is>
      </c>
      <c r="D145" s="30" t="inlineStr">
        <is>
          <t>aphrodite.admin</t>
        </is>
      </c>
      <c r="E145" s="35" t="n"/>
      <c r="F145" s="30" t="inlineStr">
        <is>
          <t>admin@aphroditehardware.example</t>
        </is>
      </c>
      <c r="G145" s="30" t="inlineStr">
        <is>
          <t>Brand Admin</t>
        </is>
      </c>
      <c r="H145" s="30" t="inlineStr">
        <is>
          <t>Yes</t>
        </is>
      </c>
      <c r="I145" s="30" t="inlineStr">
        <is>
          <t>Active</t>
        </is>
      </c>
    </row>
    <row r="146" ht="15.75" customHeight="1" s="51">
      <c r="A146" s="30" t="inlineStr">
        <is>
          <t>CO-142</t>
        </is>
      </c>
      <c r="B146" s="34" t="inlineStr">
        <is>
          <t>Kairos</t>
        </is>
      </c>
      <c r="C146" s="30" t="inlineStr">
        <is>
          <t>Computer Hardware</t>
        </is>
      </c>
      <c r="D146" s="30" t="inlineStr">
        <is>
          <t>kairos.admin</t>
        </is>
      </c>
      <c r="E146" s="35" t="n"/>
      <c r="F146" s="30" t="inlineStr">
        <is>
          <t>admin@kairoshardware.example</t>
        </is>
      </c>
      <c r="G146" s="30" t="inlineStr">
        <is>
          <t>Brand Admin</t>
        </is>
      </c>
      <c r="H146" s="30" t="inlineStr">
        <is>
          <t>Yes</t>
        </is>
      </c>
      <c r="I146" s="30" t="inlineStr">
        <is>
          <t>Active</t>
        </is>
      </c>
    </row>
    <row r="147" ht="15.75" customHeight="1" s="51">
      <c r="A147" s="30" t="inlineStr">
        <is>
          <t>CO-143</t>
        </is>
      </c>
      <c r="B147" s="34" t="inlineStr">
        <is>
          <t>Phoebe</t>
        </is>
      </c>
      <c r="C147" s="30" t="inlineStr">
        <is>
          <t>Computer Hardware</t>
        </is>
      </c>
      <c r="D147" s="30" t="inlineStr">
        <is>
          <t>phoebe.admin</t>
        </is>
      </c>
      <c r="E147" s="35" t="n"/>
      <c r="F147" s="30" t="inlineStr">
        <is>
          <t>admin@phoebehardware.example</t>
        </is>
      </c>
      <c r="G147" s="30" t="inlineStr">
        <is>
          <t>Brand Admin</t>
        </is>
      </c>
      <c r="H147" s="30" t="inlineStr">
        <is>
          <t>Yes</t>
        </is>
      </c>
      <c r="I147" s="30" t="inlineStr">
        <is>
          <t>Active</t>
        </is>
      </c>
    </row>
    <row r="148" ht="15.75" customHeight="1" s="51">
      <c r="A148" s="30" t="inlineStr">
        <is>
          <t>CO-144</t>
        </is>
      </c>
      <c r="B148" s="34" t="inlineStr">
        <is>
          <t>Psyche</t>
        </is>
      </c>
      <c r="C148" s="30" t="inlineStr">
        <is>
          <t>Computer Hardware</t>
        </is>
      </c>
      <c r="D148" s="30" t="inlineStr">
        <is>
          <t>psyche.admin</t>
        </is>
      </c>
      <c r="E148" s="35" t="n"/>
      <c r="F148" s="30" t="inlineStr">
        <is>
          <t>admin@psychehardware.example</t>
        </is>
      </c>
      <c r="G148" s="30" t="inlineStr">
        <is>
          <t>Brand Admin</t>
        </is>
      </c>
      <c r="H148" s="30" t="inlineStr">
        <is>
          <t>Yes</t>
        </is>
      </c>
      <c r="I148" s="30" t="inlineStr">
        <is>
          <t>Active</t>
        </is>
      </c>
    </row>
    <row r="149" ht="15.75" customHeight="1" s="51">
      <c r="A149" s="30" t="inlineStr">
        <is>
          <t>CO-145</t>
        </is>
      </c>
      <c r="B149" s="34" t="inlineStr">
        <is>
          <t>Themis</t>
        </is>
      </c>
      <c r="C149" s="30" t="inlineStr">
        <is>
          <t>Computer Hardware</t>
        </is>
      </c>
      <c r="D149" s="30" t="inlineStr">
        <is>
          <t>themis.admin</t>
        </is>
      </c>
      <c r="E149" s="35" t="n"/>
      <c r="F149" s="30" t="inlineStr">
        <is>
          <t>admin@themishardware.example</t>
        </is>
      </c>
      <c r="G149" s="30" t="inlineStr">
        <is>
          <t>Brand Admin</t>
        </is>
      </c>
      <c r="H149" s="30" t="inlineStr">
        <is>
          <t>Yes</t>
        </is>
      </c>
      <c r="I149" s="30" t="inlineStr">
        <is>
          <t>Active</t>
        </is>
      </c>
    </row>
    <row r="150" ht="15.75" customHeight="1" s="51">
      <c r="A150" s="30" t="inlineStr">
        <is>
          <t>CO-146</t>
        </is>
      </c>
      <c r="B150" s="34" t="inlineStr">
        <is>
          <t>Astraeus</t>
        </is>
      </c>
      <c r="C150" s="30" t="inlineStr">
        <is>
          <t>Computer Hardware</t>
        </is>
      </c>
      <c r="D150" s="30" t="inlineStr">
        <is>
          <t>astraeus.admin</t>
        </is>
      </c>
      <c r="E150" s="35" t="n"/>
      <c r="F150" s="30" t="inlineStr">
        <is>
          <t>admin@astraeushardware.example</t>
        </is>
      </c>
      <c r="G150" s="30" t="inlineStr">
        <is>
          <t>Brand Admin</t>
        </is>
      </c>
      <c r="H150" s="30" t="inlineStr">
        <is>
          <t>Yes</t>
        </is>
      </c>
      <c r="I150" s="30" t="inlineStr">
        <is>
          <t>Active</t>
        </is>
      </c>
    </row>
    <row r="151" ht="15.75" customHeight="1" s="51">
      <c r="A151" s="30" t="inlineStr">
        <is>
          <t>CO-147</t>
        </is>
      </c>
      <c r="B151" s="34" t="inlineStr">
        <is>
          <t>Kratos</t>
        </is>
      </c>
      <c r="C151" s="30" t="inlineStr">
        <is>
          <t>Computer Hardware</t>
        </is>
      </c>
      <c r="D151" s="30" t="inlineStr">
        <is>
          <t>kratos.admin</t>
        </is>
      </c>
      <c r="E151" s="35" t="n"/>
      <c r="F151" s="30" t="inlineStr">
        <is>
          <t>admin@kratoshardware.example</t>
        </is>
      </c>
      <c r="G151" s="30" t="inlineStr">
        <is>
          <t>Brand Admin</t>
        </is>
      </c>
      <c r="H151" s="30" t="inlineStr">
        <is>
          <t>Yes</t>
        </is>
      </c>
      <c r="I151" s="30" t="inlineStr">
        <is>
          <t>Active</t>
        </is>
      </c>
    </row>
    <row r="152" ht="15.75" customHeight="1" s="51">
      <c r="A152" s="30" t="inlineStr">
        <is>
          <t>CO-148</t>
        </is>
      </c>
      <c r="B152" s="34" t="inlineStr">
        <is>
          <t>Eris</t>
        </is>
      </c>
      <c r="C152" s="30" t="inlineStr">
        <is>
          <t>Computer Hardware</t>
        </is>
      </c>
      <c r="D152" s="30" t="inlineStr">
        <is>
          <t>eris.admin</t>
        </is>
      </c>
      <c r="E152" s="35" t="n"/>
      <c r="F152" s="30" t="inlineStr">
        <is>
          <t>admin@erishardware.example</t>
        </is>
      </c>
      <c r="G152" s="30" t="inlineStr">
        <is>
          <t>Brand Admin</t>
        </is>
      </c>
      <c r="H152" s="30" t="inlineStr">
        <is>
          <t>Yes</t>
        </is>
      </c>
      <c r="I152" s="30" t="inlineStr">
        <is>
          <t>Active</t>
        </is>
      </c>
    </row>
    <row r="153" ht="15.75" customHeight="1" s="51">
      <c r="A153" s="30" t="inlineStr">
        <is>
          <t>CO-149</t>
        </is>
      </c>
      <c r="B153" s="34" t="inlineStr">
        <is>
          <t>Eileithyia</t>
        </is>
      </c>
      <c r="C153" s="30" t="inlineStr">
        <is>
          <t>Computer Hardware</t>
        </is>
      </c>
      <c r="D153" s="30" t="inlineStr">
        <is>
          <t>eileithyia.admin</t>
        </is>
      </c>
      <c r="E153" s="35" t="n"/>
      <c r="F153" s="30" t="inlineStr">
        <is>
          <t>admin@eileithyiahardware.example</t>
        </is>
      </c>
      <c r="G153" s="30" t="inlineStr">
        <is>
          <t>Brand Admin</t>
        </is>
      </c>
      <c r="H153" s="30" t="inlineStr">
        <is>
          <t>Yes</t>
        </is>
      </c>
      <c r="I153" s="30" t="inlineStr">
        <is>
          <t>Active</t>
        </is>
      </c>
    </row>
    <row r="154" ht="15.75" customHeight="1" s="51">
      <c r="A154" s="30" t="inlineStr">
        <is>
          <t>CO-150</t>
        </is>
      </c>
      <c r="B154" s="34" t="inlineStr">
        <is>
          <t>Artemis</t>
        </is>
      </c>
      <c r="C154" s="30" t="inlineStr">
        <is>
          <t>Computer Hardware</t>
        </is>
      </c>
      <c r="D154" s="30" t="inlineStr">
        <is>
          <t>artemis.admin</t>
        </is>
      </c>
      <c r="E154" s="35" t="n"/>
      <c r="F154" s="30" t="inlineStr">
        <is>
          <t>admin@artemishardware.example</t>
        </is>
      </c>
      <c r="G154" s="30" t="inlineStr">
        <is>
          <t>Brand Admin</t>
        </is>
      </c>
      <c r="H154" s="30" t="inlineStr">
        <is>
          <t>Yes</t>
        </is>
      </c>
      <c r="I154" s="30" t="inlineStr">
        <is>
          <t>Active</t>
        </is>
      </c>
    </row>
    <row r="155" ht="15.75" customHeight="1" s="51"/>
    <row r="156" ht="15.75" customHeight="1" s="51"/>
    <row r="157" ht="15.75" customHeight="1" s="51"/>
    <row r="158" ht="15.75" customHeight="1" s="51"/>
    <row r="159" ht="15.75" customHeight="1" s="51"/>
    <row r="160" ht="15.75" customHeight="1" s="51"/>
    <row r="161" ht="15.75" customHeight="1" s="51"/>
    <row r="162" ht="15.75" customHeight="1" s="51"/>
    <row r="163" ht="15.75" customHeight="1" s="51"/>
    <row r="164" ht="15.75" customHeight="1" s="51"/>
    <row r="165" ht="15.75" customHeight="1" s="51"/>
    <row r="166" ht="15.75" customHeight="1" s="51"/>
    <row r="167" ht="15.75" customHeight="1" s="51"/>
    <row r="168" ht="15.75" customHeight="1" s="51"/>
    <row r="169" ht="15.75" customHeight="1" s="51"/>
    <row r="170" ht="15.75" customHeight="1" s="51"/>
    <row r="171" ht="15.75" customHeight="1" s="51"/>
    <row r="172" ht="15.75" customHeight="1" s="51"/>
    <row r="173" ht="15.75" customHeight="1" s="51"/>
    <row r="174" ht="15.75" customHeight="1" s="51"/>
    <row r="175" ht="15.75" customHeight="1" s="51"/>
    <row r="176" ht="15.75" customHeight="1" s="51"/>
    <row r="177" ht="15.75" customHeight="1" s="51"/>
    <row r="178" ht="15.75" customHeight="1" s="51"/>
    <row r="179" ht="15.75" customHeight="1" s="51"/>
    <row r="180" ht="15.75" customHeight="1" s="51"/>
    <row r="181" ht="15.75" customHeight="1" s="51"/>
    <row r="182" ht="15.75" customHeight="1" s="51"/>
    <row r="183" ht="15.75" customHeight="1" s="51"/>
    <row r="184" ht="15.75" customHeight="1" s="51"/>
    <row r="185" ht="15.75" customHeight="1" s="51"/>
    <row r="186" ht="15.75" customHeight="1" s="51"/>
    <row r="187" ht="15.75" customHeight="1" s="51"/>
    <row r="188" ht="15.75" customHeight="1" s="51"/>
    <row r="189" ht="15.75" customHeight="1" s="51"/>
    <row r="190" ht="15.75" customHeight="1" s="51"/>
    <row r="191" ht="15.75" customHeight="1" s="51"/>
    <row r="192" ht="15.75" customHeight="1" s="51"/>
    <row r="193" ht="15.75" customHeight="1" s="51"/>
    <row r="194" ht="15.75" customHeight="1" s="51"/>
    <row r="195" ht="15.75" customHeight="1" s="51"/>
    <row r="196" ht="15.75" customHeight="1" s="51"/>
    <row r="197" ht="15.75" customHeight="1" s="51"/>
    <row r="198" ht="15.75" customHeight="1" s="51"/>
    <row r="199" ht="15.75" customHeight="1" s="51"/>
    <row r="200" ht="15.75" customHeight="1" s="51"/>
    <row r="201" ht="15.75" customHeight="1" s="51"/>
    <row r="202" ht="15.75" customHeight="1" s="51"/>
    <row r="203" ht="15.75" customHeight="1" s="51"/>
    <row r="204" ht="15.75" customHeight="1" s="51"/>
    <row r="205" ht="15.75" customHeight="1" s="51"/>
    <row r="206" ht="15.75" customHeight="1" s="51"/>
    <row r="207" ht="15.75" customHeight="1" s="51"/>
    <row r="208" ht="15.75" customHeight="1" s="51"/>
    <row r="209" ht="15.75" customHeight="1" s="51"/>
    <row r="210" ht="15.75" customHeight="1" s="51"/>
    <row r="211" ht="15.75" customHeight="1" s="51"/>
    <row r="212" ht="15.75" customHeight="1" s="51"/>
    <row r="213" ht="15.75" customHeight="1" s="51"/>
    <row r="214" ht="15.75" customHeight="1" s="51"/>
    <row r="215" ht="15.75" customHeight="1" s="51"/>
    <row r="216" ht="15.75" customHeight="1" s="51"/>
    <row r="217" ht="15.75" customHeight="1" s="51"/>
    <row r="218" ht="15.75" customHeight="1" s="51"/>
    <row r="219" ht="15.75" customHeight="1" s="51"/>
    <row r="220" ht="15.75" customHeight="1" s="51"/>
    <row r="221" ht="15.75" customHeight="1" s="51"/>
    <row r="222" ht="15.75" customHeight="1" s="51"/>
    <row r="223" ht="15.75" customHeight="1" s="51"/>
    <row r="224" ht="15.75" customHeight="1" s="51"/>
    <row r="225" ht="15.75" customHeight="1" s="51"/>
    <row r="226" ht="15.75" customHeight="1" s="51"/>
    <row r="227" ht="15.75" customHeight="1" s="51"/>
    <row r="228" ht="15.75" customHeight="1" s="51"/>
    <row r="229" ht="15.75" customHeight="1" s="51"/>
    <row r="230" ht="15.75" customHeight="1" s="51"/>
    <row r="231" ht="15.75" customHeight="1" s="51"/>
    <row r="232" ht="15.75" customHeight="1" s="51"/>
    <row r="233" ht="15.75" customHeight="1" s="51"/>
    <row r="234" ht="15.75" customHeight="1" s="51"/>
    <row r="235" ht="15.75" customHeight="1" s="51"/>
    <row r="236" ht="15.75" customHeight="1" s="51"/>
    <row r="237" ht="15.75" customHeight="1" s="51"/>
    <row r="238" ht="15.75" customHeight="1" s="51"/>
    <row r="239" ht="15.75" customHeight="1" s="51"/>
    <row r="240" ht="15.75" customHeight="1" s="51"/>
    <row r="241" ht="15.75" customHeight="1" s="51"/>
    <row r="242" ht="15.75" customHeight="1" s="51"/>
    <row r="243" ht="15.75" customHeight="1" s="51"/>
    <row r="244" ht="15.75" customHeight="1" s="51"/>
    <row r="245" ht="15.75" customHeight="1" s="51"/>
    <row r="246" ht="15.75" customHeight="1" s="51"/>
    <row r="247" ht="15.75" customHeight="1" s="51"/>
    <row r="248" ht="15.75" customHeight="1" s="51"/>
    <row r="249" ht="15.75" customHeight="1" s="51"/>
    <row r="250" ht="15.75" customHeight="1" s="51"/>
    <row r="251" ht="15.75" customHeight="1" s="51"/>
    <row r="252" ht="15.75" customHeight="1" s="51"/>
    <row r="253" ht="15.75" customHeight="1" s="51"/>
    <row r="254" ht="15.75" customHeight="1" s="51"/>
    <row r="255" ht="15.75" customHeight="1" s="51"/>
    <row r="256" ht="15.75" customHeight="1" s="51"/>
    <row r="257" ht="15.75" customHeight="1" s="51"/>
    <row r="258" ht="15.75" customHeight="1" s="51"/>
    <row r="259" ht="15.75" customHeight="1" s="51"/>
    <row r="260" ht="15.75" customHeight="1" s="51"/>
    <row r="261" ht="15.75" customHeight="1" s="51"/>
    <row r="262" ht="15.75" customHeight="1" s="51"/>
    <row r="263" ht="15.75" customHeight="1" s="51"/>
    <row r="264" ht="15.75" customHeight="1" s="51"/>
    <row r="265" ht="15.75" customHeight="1" s="51"/>
    <row r="266" ht="15.75" customHeight="1" s="51"/>
    <row r="267" ht="15.75" customHeight="1" s="51"/>
    <row r="268" ht="15.75" customHeight="1" s="51"/>
    <row r="269" ht="15.75" customHeight="1" s="51"/>
    <row r="270" ht="15.75" customHeight="1" s="51"/>
    <row r="271" ht="15.75" customHeight="1" s="51"/>
    <row r="272" ht="15.75" customHeight="1" s="51"/>
    <row r="273" ht="15.75" customHeight="1" s="51"/>
    <row r="274" ht="15.75" customHeight="1" s="51"/>
    <row r="275" ht="15.75" customHeight="1" s="51"/>
    <row r="276" ht="15.75" customHeight="1" s="51"/>
    <row r="277" ht="15.75" customHeight="1" s="51"/>
    <row r="278" ht="15.75" customHeight="1" s="51"/>
    <row r="279" ht="15.75" customHeight="1" s="51"/>
    <row r="280" ht="15.75" customHeight="1" s="51"/>
    <row r="281" ht="15.75" customHeight="1" s="51"/>
    <row r="282" ht="15.75" customHeight="1" s="51"/>
    <row r="283" ht="15.75" customHeight="1" s="51"/>
    <row r="284" ht="15.75" customHeight="1" s="51"/>
    <row r="285" ht="15.75" customHeight="1" s="51"/>
    <row r="286" ht="15.75" customHeight="1" s="51"/>
    <row r="287" ht="15.75" customHeight="1" s="51"/>
    <row r="288" ht="15.75" customHeight="1" s="51"/>
    <row r="289" ht="15.75" customHeight="1" s="51"/>
    <row r="290" ht="15.75" customHeight="1" s="51"/>
    <row r="291" ht="15.75" customHeight="1" s="51"/>
    <row r="292" ht="15.75" customHeight="1" s="51"/>
    <row r="293" ht="15.75" customHeight="1" s="51"/>
    <row r="294" ht="15.75" customHeight="1" s="51"/>
    <row r="295" ht="15.75" customHeight="1" s="51"/>
    <row r="296" ht="15.75" customHeight="1" s="51"/>
    <row r="297" ht="15.75" customHeight="1" s="51"/>
    <row r="298" ht="15.75" customHeight="1" s="51"/>
    <row r="299" ht="15.75" customHeight="1" s="51"/>
    <row r="300" ht="15.75" customHeight="1" s="51"/>
    <row r="301" ht="15.75" customHeight="1" s="51"/>
    <row r="302" ht="15.75" customHeight="1" s="51"/>
    <row r="303" ht="15.75" customHeight="1" s="51"/>
    <row r="304" ht="15.75" customHeight="1" s="51"/>
    <row r="305" ht="15.75" customHeight="1" s="51"/>
    <row r="306" ht="15.75" customHeight="1" s="51"/>
    <row r="307" ht="15.75" customHeight="1" s="51"/>
    <row r="308" ht="15.75" customHeight="1" s="51"/>
    <row r="309" ht="15.75" customHeight="1" s="51"/>
    <row r="310" ht="15.75" customHeight="1" s="51"/>
    <row r="311" ht="15.75" customHeight="1" s="51"/>
    <row r="312" ht="15.75" customHeight="1" s="51"/>
    <row r="313" ht="15.75" customHeight="1" s="51"/>
    <row r="314" ht="15.75" customHeight="1" s="51"/>
    <row r="315" ht="15.75" customHeight="1" s="51"/>
    <row r="316" ht="15.75" customHeight="1" s="51"/>
    <row r="317" ht="15.75" customHeight="1" s="51"/>
    <row r="318" ht="15.75" customHeight="1" s="51"/>
    <row r="319" ht="15.75" customHeight="1" s="51"/>
    <row r="320" ht="15.75" customHeight="1" s="51"/>
    <row r="321" ht="15.75" customHeight="1" s="51"/>
    <row r="322" ht="15.75" customHeight="1" s="51"/>
    <row r="323" ht="15.75" customHeight="1" s="51"/>
    <row r="324" ht="15.75" customHeight="1" s="51"/>
    <row r="325" ht="15.75" customHeight="1" s="51"/>
    <row r="326" ht="15.75" customHeight="1" s="51"/>
    <row r="327" ht="15.75" customHeight="1" s="51"/>
    <row r="328" ht="15.75" customHeight="1" s="51"/>
    <row r="329" ht="15.75" customHeight="1" s="51"/>
    <row r="330" ht="15.75" customHeight="1" s="51"/>
    <row r="331" ht="15.75" customHeight="1" s="51"/>
    <row r="332" ht="15.75" customHeight="1" s="51"/>
    <row r="333" ht="15.75" customHeight="1" s="51"/>
    <row r="334" ht="15.75" customHeight="1" s="51"/>
    <row r="335" ht="15.75" customHeight="1" s="51"/>
    <row r="336" ht="15.75" customHeight="1" s="51"/>
    <row r="337" ht="15.75" customHeight="1" s="51"/>
    <row r="338" ht="15.75" customHeight="1" s="51"/>
    <row r="339" ht="15.75" customHeight="1" s="51"/>
    <row r="340" ht="15.75" customHeight="1" s="51"/>
    <row r="341" ht="15.75" customHeight="1" s="51"/>
    <row r="342" ht="15.75" customHeight="1" s="51"/>
    <row r="343" ht="15.75" customHeight="1" s="51"/>
    <row r="344" ht="15.75" customHeight="1" s="51"/>
    <row r="345" ht="15.75" customHeight="1" s="51"/>
    <row r="346" ht="15.75" customHeight="1" s="51"/>
    <row r="347" ht="15.75" customHeight="1" s="51"/>
    <row r="348" ht="15.75" customHeight="1" s="51"/>
    <row r="349" ht="15.75" customHeight="1" s="51"/>
    <row r="350" ht="15.75" customHeight="1" s="51"/>
    <row r="351" ht="15.75" customHeight="1" s="51"/>
    <row r="352" ht="15.75" customHeight="1" s="51"/>
    <row r="353" ht="15.75" customHeight="1" s="51"/>
    <row r="354" ht="15.75" customHeight="1" s="51"/>
    <row r="355" ht="15.75" customHeight="1" s="51"/>
    <row r="356" ht="15.75" customHeight="1" s="51"/>
    <row r="357" ht="15.75" customHeight="1" s="51"/>
    <row r="358" ht="15.75" customHeight="1" s="51"/>
    <row r="359" ht="15.75" customHeight="1" s="51"/>
    <row r="360" ht="15.75" customHeight="1" s="51"/>
    <row r="361" ht="15.75" customHeight="1" s="51"/>
    <row r="362" ht="15.75" customHeight="1" s="51"/>
    <row r="363" ht="15.75" customHeight="1" s="51"/>
    <row r="364" ht="15.75" customHeight="1" s="51"/>
    <row r="365" ht="15.75" customHeight="1" s="51"/>
    <row r="366" ht="15.75" customHeight="1" s="51"/>
    <row r="367" ht="15.75" customHeight="1" s="51"/>
    <row r="368" ht="15.75" customHeight="1" s="51"/>
    <row r="369" ht="15.75" customHeight="1" s="51"/>
    <row r="370" ht="15.75" customHeight="1" s="51"/>
    <row r="371" ht="15.75" customHeight="1" s="51"/>
    <row r="372" ht="15.75" customHeight="1" s="51"/>
    <row r="373" ht="15.75" customHeight="1" s="51"/>
    <row r="374" ht="15.75" customHeight="1" s="51"/>
    <row r="375" ht="15.75" customHeight="1" s="51"/>
    <row r="376" ht="15.75" customHeight="1" s="51"/>
    <row r="377" ht="15.75" customHeight="1" s="51"/>
    <row r="378" ht="15.75" customHeight="1" s="51"/>
    <row r="379" ht="15.75" customHeight="1" s="51"/>
    <row r="380" ht="15.75" customHeight="1" s="51"/>
    <row r="381" ht="15.75" customHeight="1" s="51"/>
    <row r="382" ht="15.75" customHeight="1" s="51"/>
    <row r="383" ht="15.75" customHeight="1" s="51"/>
    <row r="384" ht="15.75" customHeight="1" s="51"/>
    <row r="385" ht="15.75" customHeight="1" s="51"/>
    <row r="386" ht="15.75" customHeight="1" s="51"/>
    <row r="387" ht="15.75" customHeight="1" s="51"/>
    <row r="388" ht="15.75" customHeight="1" s="51"/>
    <row r="389" ht="15.75" customHeight="1" s="51"/>
    <row r="390" ht="15.75" customHeight="1" s="51"/>
    <row r="391" ht="15.75" customHeight="1" s="51"/>
    <row r="392" ht="15.75" customHeight="1" s="51"/>
    <row r="393" ht="15.75" customHeight="1" s="51"/>
    <row r="394" ht="15.75" customHeight="1" s="51"/>
    <row r="395" ht="15.75" customHeight="1" s="51"/>
    <row r="396" ht="15.75" customHeight="1" s="51"/>
    <row r="397" ht="15.75" customHeight="1" s="51"/>
    <row r="398" ht="15.75" customHeight="1" s="51"/>
    <row r="399" ht="15.75" customHeight="1" s="51"/>
    <row r="400" ht="15.75" customHeight="1" s="51"/>
    <row r="401" ht="15.75" customHeight="1" s="51"/>
    <row r="402" ht="15.75" customHeight="1" s="51"/>
    <row r="403" ht="15.75" customHeight="1" s="51"/>
    <row r="404" ht="15.75" customHeight="1" s="51"/>
    <row r="405" ht="15.75" customHeight="1" s="51"/>
    <row r="406" ht="15.75" customHeight="1" s="51"/>
    <row r="407" ht="15.75" customHeight="1" s="51"/>
    <row r="408" ht="15.75" customHeight="1" s="51"/>
    <row r="409" ht="15.75" customHeight="1" s="51"/>
    <row r="410" ht="15.75" customHeight="1" s="51"/>
    <row r="411" ht="15.75" customHeight="1" s="51"/>
    <row r="412" ht="15.75" customHeight="1" s="51"/>
    <row r="413" ht="15.75" customHeight="1" s="51"/>
    <row r="414" ht="15.75" customHeight="1" s="51"/>
    <row r="415" ht="15.75" customHeight="1" s="51"/>
    <row r="416" ht="15.75" customHeight="1" s="51"/>
    <row r="417" ht="15.75" customHeight="1" s="51"/>
    <row r="418" ht="15.75" customHeight="1" s="51"/>
    <row r="419" ht="15.75" customHeight="1" s="51"/>
    <row r="420" ht="15.75" customHeight="1" s="51"/>
    <row r="421" ht="15.75" customHeight="1" s="51"/>
    <row r="422" ht="15.75" customHeight="1" s="51"/>
    <row r="423" ht="15.75" customHeight="1" s="51"/>
    <row r="424" ht="15.75" customHeight="1" s="51"/>
    <row r="425" ht="15.75" customHeight="1" s="51"/>
    <row r="426" ht="15.75" customHeight="1" s="51"/>
    <row r="427" ht="15.75" customHeight="1" s="51"/>
    <row r="428" ht="15.75" customHeight="1" s="51"/>
    <row r="429" ht="15.75" customHeight="1" s="51"/>
    <row r="430" ht="15.75" customHeight="1" s="51"/>
    <row r="431" ht="15.75" customHeight="1" s="51"/>
    <row r="432" ht="15.75" customHeight="1" s="51"/>
    <row r="433" ht="15.75" customHeight="1" s="51"/>
    <row r="434" ht="15.75" customHeight="1" s="51"/>
    <row r="435" ht="15.75" customHeight="1" s="51"/>
    <row r="436" ht="15.75" customHeight="1" s="51"/>
    <row r="437" ht="15.75" customHeight="1" s="51"/>
    <row r="438" ht="15.75" customHeight="1" s="51"/>
    <row r="439" ht="15.75" customHeight="1" s="51"/>
    <row r="440" ht="15.75" customHeight="1" s="51"/>
    <row r="441" ht="15.75" customHeight="1" s="51"/>
    <row r="442" ht="15.75" customHeight="1" s="51"/>
    <row r="443" ht="15.75" customHeight="1" s="51"/>
    <row r="444" ht="15.75" customHeight="1" s="51"/>
    <row r="445" ht="15.75" customHeight="1" s="51"/>
    <row r="446" ht="15.75" customHeight="1" s="51"/>
    <row r="447" ht="15.75" customHeight="1" s="51"/>
    <row r="448" ht="15.75" customHeight="1" s="51"/>
    <row r="449" ht="15.75" customHeight="1" s="51"/>
    <row r="450" ht="15.75" customHeight="1" s="51"/>
    <row r="451" ht="15.75" customHeight="1" s="51"/>
    <row r="452" ht="15.75" customHeight="1" s="51"/>
    <row r="453" ht="15.75" customHeight="1" s="51"/>
    <row r="454" ht="15.75" customHeight="1" s="51"/>
    <row r="455" ht="15.75" customHeight="1" s="51"/>
    <row r="456" ht="15.75" customHeight="1" s="51"/>
    <row r="457" ht="15.75" customHeight="1" s="51"/>
    <row r="458" ht="15.75" customHeight="1" s="51"/>
    <row r="459" ht="15.75" customHeight="1" s="51"/>
    <row r="460" ht="15.75" customHeight="1" s="51"/>
    <row r="461" ht="15.75" customHeight="1" s="51"/>
    <row r="462" ht="15.75" customHeight="1" s="51"/>
    <row r="463" ht="15.75" customHeight="1" s="51"/>
    <row r="464" ht="15.75" customHeight="1" s="51"/>
    <row r="465" ht="15.75" customHeight="1" s="51"/>
    <row r="466" ht="15.75" customHeight="1" s="51"/>
    <row r="467" ht="15.75" customHeight="1" s="51"/>
    <row r="468" ht="15.75" customHeight="1" s="51"/>
    <row r="469" ht="15.75" customHeight="1" s="51"/>
    <row r="470" ht="15.75" customHeight="1" s="51"/>
    <row r="471" ht="15.75" customHeight="1" s="51"/>
    <row r="472" ht="15.75" customHeight="1" s="51"/>
    <row r="473" ht="15.75" customHeight="1" s="51"/>
    <row r="474" ht="15.75" customHeight="1" s="51"/>
    <row r="475" ht="15.75" customHeight="1" s="51"/>
    <row r="476" ht="15.75" customHeight="1" s="51"/>
    <row r="477" ht="15.75" customHeight="1" s="51"/>
    <row r="478" ht="15.75" customHeight="1" s="51"/>
    <row r="479" ht="15.75" customHeight="1" s="51"/>
    <row r="480" ht="15.75" customHeight="1" s="51"/>
    <row r="481" ht="15.75" customHeight="1" s="51"/>
    <row r="482" ht="15.75" customHeight="1" s="51"/>
    <row r="483" ht="15.75" customHeight="1" s="51"/>
    <row r="484" ht="15.75" customHeight="1" s="51"/>
    <row r="485" ht="15.75" customHeight="1" s="51"/>
    <row r="486" ht="15.75" customHeight="1" s="51"/>
    <row r="487" ht="15.75" customHeight="1" s="51"/>
    <row r="488" ht="15.75" customHeight="1" s="51"/>
    <row r="489" ht="15.75" customHeight="1" s="51"/>
    <row r="490" ht="15.75" customHeight="1" s="51"/>
    <row r="491" ht="15.75" customHeight="1" s="51"/>
    <row r="492" ht="15.75" customHeight="1" s="51"/>
    <row r="493" ht="15.75" customHeight="1" s="51"/>
    <row r="494" ht="15.75" customHeight="1" s="51"/>
    <row r="495" ht="15.75" customHeight="1" s="51"/>
    <row r="496" ht="15.75" customHeight="1" s="51"/>
    <row r="497" ht="15.75" customHeight="1" s="51"/>
    <row r="498" ht="15.75" customHeight="1" s="51"/>
    <row r="499" ht="15.75" customHeight="1" s="51"/>
    <row r="500" ht="15.75" customHeight="1" s="51"/>
    <row r="501" ht="15.75" customHeight="1" s="51"/>
    <row r="502" ht="15.75" customHeight="1" s="51"/>
    <row r="503" ht="15.75" customHeight="1" s="51"/>
    <row r="504" ht="15.75" customHeight="1" s="51"/>
    <row r="505" ht="15.75" customHeight="1" s="51"/>
    <row r="506" ht="15.75" customHeight="1" s="51"/>
    <row r="507" ht="15.75" customHeight="1" s="51"/>
    <row r="508" ht="15.75" customHeight="1" s="51"/>
    <row r="509" ht="15.75" customHeight="1" s="51"/>
    <row r="510" ht="15.75" customHeight="1" s="51"/>
    <row r="511" ht="15.75" customHeight="1" s="51"/>
    <row r="512" ht="15.75" customHeight="1" s="51"/>
    <row r="513" ht="15.75" customHeight="1" s="51"/>
    <row r="514" ht="15.75" customHeight="1" s="51"/>
    <row r="515" ht="15.75" customHeight="1" s="51"/>
    <row r="516" ht="15.75" customHeight="1" s="51"/>
    <row r="517" ht="15.75" customHeight="1" s="51"/>
    <row r="518" ht="15.75" customHeight="1" s="51"/>
    <row r="519" ht="15.75" customHeight="1" s="51"/>
    <row r="520" ht="15.75" customHeight="1" s="51"/>
    <row r="521" ht="15.75" customHeight="1" s="51"/>
    <row r="522" ht="15.75" customHeight="1" s="51"/>
    <row r="523" ht="15.75" customHeight="1" s="51"/>
    <row r="524" ht="15.75" customHeight="1" s="51"/>
    <row r="525" ht="15.75" customHeight="1" s="51"/>
    <row r="526" ht="15.75" customHeight="1" s="51"/>
    <row r="527" ht="15.75" customHeight="1" s="51"/>
    <row r="528" ht="15.75" customHeight="1" s="51"/>
    <row r="529" ht="15.75" customHeight="1" s="51"/>
    <row r="530" ht="15.75" customHeight="1" s="51"/>
    <row r="531" ht="15.75" customHeight="1" s="51"/>
    <row r="532" ht="15.75" customHeight="1" s="51"/>
    <row r="533" ht="15.75" customHeight="1" s="51"/>
    <row r="534" ht="15.75" customHeight="1" s="51"/>
    <row r="535" ht="15.75" customHeight="1" s="51"/>
    <row r="536" ht="15.75" customHeight="1" s="51"/>
    <row r="537" ht="15.75" customHeight="1" s="51"/>
    <row r="538" ht="15.75" customHeight="1" s="51"/>
    <row r="539" ht="15.75" customHeight="1" s="51"/>
    <row r="540" ht="15.75" customHeight="1" s="51"/>
    <row r="541" ht="15.75" customHeight="1" s="51"/>
    <row r="542" ht="15.75" customHeight="1" s="51"/>
    <row r="543" ht="15.75" customHeight="1" s="51"/>
    <row r="544" ht="15.75" customHeight="1" s="51"/>
    <row r="545" ht="15.75" customHeight="1" s="51"/>
    <row r="546" ht="15.75" customHeight="1" s="51"/>
    <row r="547" ht="15.75" customHeight="1" s="51"/>
    <row r="548" ht="15.75" customHeight="1" s="51"/>
    <row r="549" ht="15.75" customHeight="1" s="51"/>
    <row r="550" ht="15.75" customHeight="1" s="51"/>
    <row r="551" ht="15.75" customHeight="1" s="51"/>
    <row r="552" ht="15.75" customHeight="1" s="51"/>
    <row r="553" ht="15.75" customHeight="1" s="51"/>
    <row r="554" ht="15.75" customHeight="1" s="51"/>
    <row r="555" ht="15.75" customHeight="1" s="51"/>
    <row r="556" ht="15.75" customHeight="1" s="51"/>
    <row r="557" ht="15.75" customHeight="1" s="51"/>
    <row r="558" ht="15.75" customHeight="1" s="51"/>
    <row r="559" ht="15.75" customHeight="1" s="51"/>
    <row r="560" ht="15.75" customHeight="1" s="51"/>
    <row r="561" ht="15.75" customHeight="1" s="51"/>
    <row r="562" ht="15.75" customHeight="1" s="51"/>
    <row r="563" ht="15.75" customHeight="1" s="51"/>
    <row r="564" ht="15.75" customHeight="1" s="51"/>
    <row r="565" ht="15.75" customHeight="1" s="51"/>
    <row r="566" ht="15.75" customHeight="1" s="51"/>
    <row r="567" ht="15.75" customHeight="1" s="51"/>
    <row r="568" ht="15.75" customHeight="1" s="51"/>
    <row r="569" ht="15.75" customHeight="1" s="51"/>
    <row r="570" ht="15.75" customHeight="1" s="51"/>
    <row r="571" ht="15.75" customHeight="1" s="51"/>
    <row r="572" ht="15.75" customHeight="1" s="51"/>
    <row r="573" ht="15.75" customHeight="1" s="51"/>
    <row r="574" ht="15.75" customHeight="1" s="51"/>
    <row r="575" ht="15.75" customHeight="1" s="51"/>
    <row r="576" ht="15.75" customHeight="1" s="51"/>
    <row r="577" ht="15.75" customHeight="1" s="51"/>
    <row r="578" ht="15.75" customHeight="1" s="51"/>
    <row r="579" ht="15.75" customHeight="1" s="51"/>
    <row r="580" ht="15.75" customHeight="1" s="51"/>
    <row r="581" ht="15.75" customHeight="1" s="51"/>
    <row r="582" ht="15.75" customHeight="1" s="51"/>
    <row r="583" ht="15.75" customHeight="1" s="51"/>
    <row r="584" ht="15.75" customHeight="1" s="51"/>
    <row r="585" ht="15.75" customHeight="1" s="51"/>
    <row r="586" ht="15.75" customHeight="1" s="51"/>
    <row r="587" ht="15.75" customHeight="1" s="51"/>
    <row r="588" ht="15.75" customHeight="1" s="51"/>
    <row r="589" ht="15.75" customHeight="1" s="51"/>
    <row r="590" ht="15.75" customHeight="1" s="51"/>
    <row r="591" ht="15.75" customHeight="1" s="51"/>
    <row r="592" ht="15.75" customHeight="1" s="51"/>
    <row r="593" ht="15.75" customHeight="1" s="51"/>
    <row r="594" ht="15.75" customHeight="1" s="51"/>
    <row r="595" ht="15.75" customHeight="1" s="51"/>
    <row r="596" ht="15.75" customHeight="1" s="51"/>
    <row r="597" ht="15.75" customHeight="1" s="51"/>
    <row r="598" ht="15.75" customHeight="1" s="51"/>
    <row r="599" ht="15.75" customHeight="1" s="51"/>
    <row r="600" ht="15.75" customHeight="1" s="51"/>
    <row r="601" ht="15.75" customHeight="1" s="51"/>
    <row r="602" ht="15.75" customHeight="1" s="51"/>
    <row r="603" ht="15.75" customHeight="1" s="51"/>
    <row r="604" ht="15.75" customHeight="1" s="51"/>
    <row r="605" ht="15.75" customHeight="1" s="51"/>
    <row r="606" ht="15.75" customHeight="1" s="51"/>
    <row r="607" ht="15.75" customHeight="1" s="51"/>
    <row r="608" ht="15.75" customHeight="1" s="51"/>
    <row r="609" ht="15.75" customHeight="1" s="51"/>
    <row r="610" ht="15.75" customHeight="1" s="51"/>
    <row r="611" ht="15.75" customHeight="1" s="51"/>
    <row r="612" ht="15.75" customHeight="1" s="51"/>
    <row r="613" ht="15.75" customHeight="1" s="51"/>
    <row r="614" ht="15.75" customHeight="1" s="51"/>
    <row r="615" ht="15.75" customHeight="1" s="51"/>
    <row r="616" ht="15.75" customHeight="1" s="51"/>
    <row r="617" ht="15.75" customHeight="1" s="51"/>
    <row r="618" ht="15.75" customHeight="1" s="51"/>
    <row r="619" ht="15.75" customHeight="1" s="51"/>
    <row r="620" ht="15.75" customHeight="1" s="51"/>
    <row r="621" ht="15.75" customHeight="1" s="51"/>
    <row r="622" ht="15.75" customHeight="1" s="51"/>
    <row r="623" ht="15.75" customHeight="1" s="51"/>
    <row r="624" ht="15.75" customHeight="1" s="51"/>
    <row r="625" ht="15.75" customHeight="1" s="51"/>
    <row r="626" ht="15.75" customHeight="1" s="51"/>
    <row r="627" ht="15.75" customHeight="1" s="51"/>
    <row r="628" ht="15.75" customHeight="1" s="51"/>
    <row r="629" ht="15.75" customHeight="1" s="51"/>
    <row r="630" ht="15.75" customHeight="1" s="51"/>
    <row r="631" ht="15.75" customHeight="1" s="51"/>
    <row r="632" ht="15.75" customHeight="1" s="51"/>
    <row r="633" ht="15.75" customHeight="1" s="51"/>
    <row r="634" ht="15.75" customHeight="1" s="51"/>
    <row r="635" ht="15.75" customHeight="1" s="51"/>
    <row r="636" ht="15.75" customHeight="1" s="51"/>
    <row r="637" ht="15.75" customHeight="1" s="51"/>
    <row r="638" ht="15.75" customHeight="1" s="51"/>
    <row r="639" ht="15.75" customHeight="1" s="51"/>
    <row r="640" ht="15.75" customHeight="1" s="51"/>
    <row r="641" ht="15.75" customHeight="1" s="51"/>
    <row r="642" ht="15.75" customHeight="1" s="51"/>
    <row r="643" ht="15.75" customHeight="1" s="51"/>
    <row r="644" ht="15.75" customHeight="1" s="51"/>
    <row r="645" ht="15.75" customHeight="1" s="51"/>
    <row r="646" ht="15.75" customHeight="1" s="51"/>
    <row r="647" ht="15.75" customHeight="1" s="51"/>
    <row r="648" ht="15.75" customHeight="1" s="51"/>
    <row r="649" ht="15.75" customHeight="1" s="51"/>
    <row r="650" ht="15.75" customHeight="1" s="51"/>
    <row r="651" ht="15.75" customHeight="1" s="51"/>
    <row r="652" ht="15.75" customHeight="1" s="51"/>
    <row r="653" ht="15.75" customHeight="1" s="51"/>
    <row r="654" ht="15.75" customHeight="1" s="51"/>
    <row r="655" ht="15.75" customHeight="1" s="51"/>
    <row r="656" ht="15.75" customHeight="1" s="51"/>
    <row r="657" ht="15.75" customHeight="1" s="51"/>
    <row r="658" ht="15.75" customHeight="1" s="51"/>
    <row r="659" ht="15.75" customHeight="1" s="51"/>
    <row r="660" ht="15.75" customHeight="1" s="51"/>
    <row r="661" ht="15.75" customHeight="1" s="51"/>
    <row r="662" ht="15.75" customHeight="1" s="51"/>
    <row r="663" ht="15.75" customHeight="1" s="51"/>
    <row r="664" ht="15.75" customHeight="1" s="51"/>
    <row r="665" ht="15.75" customHeight="1" s="51"/>
    <row r="666" ht="15.75" customHeight="1" s="51"/>
    <row r="667" ht="15.75" customHeight="1" s="51"/>
    <row r="668" ht="15.75" customHeight="1" s="51"/>
    <row r="669" ht="15.75" customHeight="1" s="51"/>
    <row r="670" ht="15.75" customHeight="1" s="51"/>
    <row r="671" ht="15.75" customHeight="1" s="51"/>
    <row r="672" ht="15.75" customHeight="1" s="51"/>
    <row r="673" ht="15.75" customHeight="1" s="51"/>
    <row r="674" ht="15.75" customHeight="1" s="51"/>
    <row r="675" ht="15.75" customHeight="1" s="51"/>
    <row r="676" ht="15.75" customHeight="1" s="51"/>
    <row r="677" ht="15.75" customHeight="1" s="51"/>
    <row r="678" ht="15.75" customHeight="1" s="51"/>
    <row r="679" ht="15.75" customHeight="1" s="51"/>
    <row r="680" ht="15.75" customHeight="1" s="51"/>
    <row r="681" ht="15.75" customHeight="1" s="51"/>
    <row r="682" ht="15.75" customHeight="1" s="51"/>
    <row r="683" ht="15.75" customHeight="1" s="51"/>
    <row r="684" ht="15.75" customHeight="1" s="51"/>
    <row r="685" ht="15.75" customHeight="1" s="51"/>
    <row r="686" ht="15.75" customHeight="1" s="51"/>
    <row r="687" ht="15.75" customHeight="1" s="51"/>
    <row r="688" ht="15.75" customHeight="1" s="51"/>
    <row r="689" ht="15.75" customHeight="1" s="51"/>
    <row r="690" ht="15.75" customHeight="1" s="51"/>
    <row r="691" ht="15.75" customHeight="1" s="51"/>
    <row r="692" ht="15.75" customHeight="1" s="51"/>
    <row r="693" ht="15.75" customHeight="1" s="51"/>
    <row r="694" ht="15.75" customHeight="1" s="51"/>
    <row r="695" ht="15.75" customHeight="1" s="51"/>
    <row r="696" ht="15.75" customHeight="1" s="51"/>
    <row r="697" ht="15.75" customHeight="1" s="51"/>
    <row r="698" ht="15.75" customHeight="1" s="51"/>
    <row r="699" ht="15.75" customHeight="1" s="51"/>
    <row r="700" ht="15.75" customHeight="1" s="51"/>
    <row r="701" ht="15.75" customHeight="1" s="51"/>
    <row r="702" ht="15.75" customHeight="1" s="51"/>
    <row r="703" ht="15.75" customHeight="1" s="51"/>
    <row r="704" ht="15.75" customHeight="1" s="51"/>
    <row r="705" ht="15.75" customHeight="1" s="51"/>
    <row r="706" ht="15.75" customHeight="1" s="51"/>
    <row r="707" ht="15.75" customHeight="1" s="51"/>
    <row r="708" ht="15.75" customHeight="1" s="51"/>
    <row r="709" ht="15.75" customHeight="1" s="51"/>
    <row r="710" ht="15.75" customHeight="1" s="51"/>
    <row r="711" ht="15.75" customHeight="1" s="51"/>
    <row r="712" ht="15.75" customHeight="1" s="51"/>
    <row r="713" ht="15.75" customHeight="1" s="51"/>
    <row r="714" ht="15.75" customHeight="1" s="51"/>
    <row r="715" ht="15.75" customHeight="1" s="51"/>
    <row r="716" ht="15.75" customHeight="1" s="51"/>
    <row r="717" ht="15.75" customHeight="1" s="51"/>
    <row r="718" ht="15.75" customHeight="1" s="51"/>
    <row r="719" ht="15.75" customHeight="1" s="51"/>
    <row r="720" ht="15.75" customHeight="1" s="51"/>
    <row r="721" ht="15.75" customHeight="1" s="51"/>
    <row r="722" ht="15.75" customHeight="1" s="51"/>
    <row r="723" ht="15.75" customHeight="1" s="51"/>
    <row r="724" ht="15.75" customHeight="1" s="51"/>
    <row r="725" ht="15.75" customHeight="1" s="51"/>
    <row r="726" ht="15.75" customHeight="1" s="51"/>
    <row r="727" ht="15.75" customHeight="1" s="51"/>
    <row r="728" ht="15.75" customHeight="1" s="51"/>
    <row r="729" ht="15.75" customHeight="1" s="51"/>
    <row r="730" ht="15.75" customHeight="1" s="51"/>
    <row r="731" ht="15.75" customHeight="1" s="51"/>
    <row r="732" ht="15.75" customHeight="1" s="51"/>
    <row r="733" ht="15.75" customHeight="1" s="51"/>
    <row r="734" ht="15.75" customHeight="1" s="51"/>
    <row r="735" ht="15.75" customHeight="1" s="51"/>
    <row r="736" ht="15.75" customHeight="1" s="51"/>
    <row r="737" ht="15.75" customHeight="1" s="51"/>
    <row r="738" ht="15.75" customHeight="1" s="51"/>
    <row r="739" ht="15.75" customHeight="1" s="51"/>
    <row r="740" ht="15.75" customHeight="1" s="51"/>
    <row r="741" ht="15.75" customHeight="1" s="51"/>
    <row r="742" ht="15.75" customHeight="1" s="51"/>
    <row r="743" ht="15.75" customHeight="1" s="51"/>
    <row r="744" ht="15.75" customHeight="1" s="51"/>
    <row r="745" ht="15.75" customHeight="1" s="51"/>
    <row r="746" ht="15.75" customHeight="1" s="51"/>
    <row r="747" ht="15.75" customHeight="1" s="51"/>
    <row r="748" ht="15.75" customHeight="1" s="51"/>
    <row r="749" ht="15.75" customHeight="1" s="51"/>
    <row r="750" ht="15.75" customHeight="1" s="51"/>
    <row r="751" ht="15.75" customHeight="1" s="51"/>
    <row r="752" ht="15.75" customHeight="1" s="51"/>
    <row r="753" ht="15.75" customHeight="1" s="51"/>
    <row r="754" ht="15.75" customHeight="1" s="51"/>
    <row r="755" ht="15.75" customHeight="1" s="51"/>
    <row r="756" ht="15.75" customHeight="1" s="51"/>
    <row r="757" ht="15.75" customHeight="1" s="51"/>
    <row r="758" ht="15.75" customHeight="1" s="51"/>
    <row r="759" ht="15.75" customHeight="1" s="51"/>
    <row r="760" ht="15.75" customHeight="1" s="51"/>
    <row r="761" ht="15.75" customHeight="1" s="51"/>
    <row r="762" ht="15.75" customHeight="1" s="51"/>
    <row r="763" ht="15.75" customHeight="1" s="51"/>
    <row r="764" ht="15.75" customHeight="1" s="51"/>
    <row r="765" ht="15.75" customHeight="1" s="51"/>
    <row r="766" ht="15.75" customHeight="1" s="51"/>
    <row r="767" ht="15.75" customHeight="1" s="51"/>
    <row r="768" ht="15.75" customHeight="1" s="51"/>
    <row r="769" ht="15.75" customHeight="1" s="51"/>
    <row r="770" ht="15.75" customHeight="1" s="51"/>
    <row r="771" ht="15.75" customHeight="1" s="51"/>
    <row r="772" ht="15.75" customHeight="1" s="51"/>
    <row r="773" ht="15.75" customHeight="1" s="51"/>
    <row r="774" ht="15.75" customHeight="1" s="51"/>
    <row r="775" ht="15.75" customHeight="1" s="51"/>
    <row r="776" ht="15.75" customHeight="1" s="51"/>
    <row r="777" ht="15.75" customHeight="1" s="51"/>
    <row r="778" ht="15.75" customHeight="1" s="51"/>
    <row r="779" ht="15.75" customHeight="1" s="51"/>
    <row r="780" ht="15.75" customHeight="1" s="51"/>
    <row r="781" ht="15.75" customHeight="1" s="51"/>
    <row r="782" ht="15.75" customHeight="1" s="51"/>
    <row r="783" ht="15.75" customHeight="1" s="51"/>
    <row r="784" ht="15.75" customHeight="1" s="51"/>
    <row r="785" ht="15.75" customHeight="1" s="51"/>
    <row r="786" ht="15.75" customHeight="1" s="51"/>
    <row r="787" ht="15.75" customHeight="1" s="51"/>
    <row r="788" ht="15.75" customHeight="1" s="51"/>
    <row r="789" ht="15.75" customHeight="1" s="51"/>
    <row r="790" ht="15.75" customHeight="1" s="51"/>
    <row r="791" ht="15.75" customHeight="1" s="51"/>
    <row r="792" ht="15.75" customHeight="1" s="51"/>
    <row r="793" ht="15.75" customHeight="1" s="51"/>
    <row r="794" ht="15.75" customHeight="1" s="51"/>
    <row r="795" ht="15.75" customHeight="1" s="51"/>
    <row r="796" ht="15.75" customHeight="1" s="51"/>
    <row r="797" ht="15.75" customHeight="1" s="51"/>
    <row r="798" ht="15.75" customHeight="1" s="51"/>
    <row r="799" ht="15.75" customHeight="1" s="51"/>
    <row r="800" ht="15.75" customHeight="1" s="51"/>
    <row r="801" ht="15.75" customHeight="1" s="51"/>
    <row r="802" ht="15.75" customHeight="1" s="51"/>
    <row r="803" ht="15.75" customHeight="1" s="51"/>
    <row r="804" ht="15.75" customHeight="1" s="51"/>
    <row r="805" ht="15.75" customHeight="1" s="51"/>
    <row r="806" ht="15.75" customHeight="1" s="51"/>
    <row r="807" ht="15.75" customHeight="1" s="51"/>
    <row r="808" ht="15.75" customHeight="1" s="51"/>
    <row r="809" ht="15.75" customHeight="1" s="51"/>
    <row r="810" ht="15.75" customHeight="1" s="51"/>
    <row r="811" ht="15.75" customHeight="1" s="51"/>
    <row r="812" ht="15.75" customHeight="1" s="51"/>
    <row r="813" ht="15.75" customHeight="1" s="51"/>
    <row r="814" ht="15.75" customHeight="1" s="51"/>
    <row r="815" ht="15.75" customHeight="1" s="51"/>
    <row r="816" ht="15.75" customHeight="1" s="51"/>
    <row r="817" ht="15.75" customHeight="1" s="51"/>
    <row r="818" ht="15.75" customHeight="1" s="51"/>
    <row r="819" ht="15.75" customHeight="1" s="51"/>
    <row r="820" ht="15.75" customHeight="1" s="51"/>
    <row r="821" ht="15.75" customHeight="1" s="51"/>
    <row r="822" ht="15.75" customHeight="1" s="51"/>
    <row r="823" ht="15.75" customHeight="1" s="51"/>
    <row r="824" ht="15.75" customHeight="1" s="51"/>
    <row r="825" ht="15.75" customHeight="1" s="51"/>
    <row r="826" ht="15.75" customHeight="1" s="51"/>
    <row r="827" ht="15.75" customHeight="1" s="51"/>
    <row r="828" ht="15.75" customHeight="1" s="51"/>
    <row r="829" ht="15.75" customHeight="1" s="51"/>
    <row r="830" ht="15.75" customHeight="1" s="51"/>
    <row r="831" ht="15.75" customHeight="1" s="51"/>
    <row r="832" ht="15.75" customHeight="1" s="51"/>
    <row r="833" ht="15.75" customHeight="1" s="51"/>
    <row r="834" ht="15.75" customHeight="1" s="51"/>
    <row r="835" ht="15.75" customHeight="1" s="51"/>
    <row r="836" ht="15.75" customHeight="1" s="51"/>
    <row r="837" ht="15.75" customHeight="1" s="51"/>
    <row r="838" ht="15.75" customHeight="1" s="51"/>
    <row r="839" ht="15.75" customHeight="1" s="51"/>
    <row r="840" ht="15.75" customHeight="1" s="51"/>
    <row r="841" ht="15.75" customHeight="1" s="51"/>
    <row r="842" ht="15.75" customHeight="1" s="51"/>
    <row r="843" ht="15.75" customHeight="1" s="51"/>
    <row r="844" ht="15.75" customHeight="1" s="51"/>
    <row r="845" ht="15.75" customHeight="1" s="51"/>
    <row r="846" ht="15.75" customHeight="1" s="51"/>
    <row r="847" ht="15.75" customHeight="1" s="51"/>
    <row r="848" ht="15.75" customHeight="1" s="51"/>
    <row r="849" ht="15.75" customHeight="1" s="51"/>
    <row r="850" ht="15.75" customHeight="1" s="51"/>
    <row r="851" ht="15.75" customHeight="1" s="51"/>
    <row r="852" ht="15.75" customHeight="1" s="51"/>
    <row r="853" ht="15.75" customHeight="1" s="51"/>
    <row r="854" ht="15.75" customHeight="1" s="51"/>
    <row r="855" ht="15.75" customHeight="1" s="51"/>
    <row r="856" ht="15.75" customHeight="1" s="51"/>
    <row r="857" ht="15.75" customHeight="1" s="51"/>
    <row r="858" ht="15.75" customHeight="1" s="51"/>
    <row r="859" ht="15.75" customHeight="1" s="51"/>
    <row r="860" ht="15.75" customHeight="1" s="51"/>
    <row r="861" ht="15.75" customHeight="1" s="51"/>
    <row r="862" ht="15.75" customHeight="1" s="51"/>
    <row r="863" ht="15.75" customHeight="1" s="51"/>
    <row r="864" ht="15.75" customHeight="1" s="51"/>
    <row r="865" ht="15.75" customHeight="1" s="51"/>
    <row r="866" ht="15.75" customHeight="1" s="51"/>
    <row r="867" ht="15.75" customHeight="1" s="51"/>
    <row r="868" ht="15.75" customHeight="1" s="51"/>
    <row r="869" ht="15.75" customHeight="1" s="51"/>
    <row r="870" ht="15.75" customHeight="1" s="51"/>
    <row r="871" ht="15.75" customHeight="1" s="51"/>
    <row r="872" ht="15.75" customHeight="1" s="51"/>
    <row r="873" ht="15.75" customHeight="1" s="51"/>
    <row r="874" ht="15.75" customHeight="1" s="51"/>
    <row r="875" ht="15.75" customHeight="1" s="51"/>
    <row r="876" ht="15.75" customHeight="1" s="51"/>
    <row r="877" ht="15.75" customHeight="1" s="51"/>
    <row r="878" ht="15.75" customHeight="1" s="51"/>
    <row r="879" ht="15.75" customHeight="1" s="51"/>
    <row r="880" ht="15.75" customHeight="1" s="51"/>
    <row r="881" ht="15.75" customHeight="1" s="51"/>
    <row r="882" ht="15.75" customHeight="1" s="51"/>
    <row r="883" ht="15.75" customHeight="1" s="51"/>
    <row r="884" ht="15.75" customHeight="1" s="51"/>
    <row r="885" ht="15.75" customHeight="1" s="51"/>
    <row r="886" ht="15.75" customHeight="1" s="51"/>
    <row r="887" ht="15.75" customHeight="1" s="51"/>
    <row r="888" ht="15.75" customHeight="1" s="51"/>
    <row r="889" ht="15.75" customHeight="1" s="51"/>
    <row r="890" ht="15.75" customHeight="1" s="51"/>
    <row r="891" ht="15.75" customHeight="1" s="51"/>
    <row r="892" ht="15.75" customHeight="1" s="51"/>
    <row r="893" ht="15.75" customHeight="1" s="51"/>
    <row r="894" ht="15.75" customHeight="1" s="51"/>
    <row r="895" ht="15.75" customHeight="1" s="51"/>
    <row r="896" ht="15.75" customHeight="1" s="51"/>
    <row r="897" ht="15.75" customHeight="1" s="51"/>
    <row r="898" ht="15.75" customHeight="1" s="51"/>
    <row r="899" ht="15.75" customHeight="1" s="51"/>
    <row r="900" ht="15.75" customHeight="1" s="51"/>
    <row r="901" ht="15.75" customHeight="1" s="51"/>
    <row r="902" ht="15.75" customHeight="1" s="51"/>
    <row r="903" ht="15.75" customHeight="1" s="51"/>
    <row r="904" ht="15.75" customHeight="1" s="51"/>
    <row r="905" ht="15.75" customHeight="1" s="51"/>
    <row r="906" ht="15.75" customHeight="1" s="51"/>
    <row r="907" ht="15.75" customHeight="1" s="51"/>
    <row r="908" ht="15.75" customHeight="1" s="51"/>
    <row r="909" ht="15.75" customHeight="1" s="51"/>
    <row r="910" ht="15.75" customHeight="1" s="51"/>
    <row r="911" ht="15.75" customHeight="1" s="51"/>
    <row r="912" ht="15.75" customHeight="1" s="51"/>
    <row r="913" ht="15.75" customHeight="1" s="51"/>
    <row r="914" ht="15.75" customHeight="1" s="51"/>
    <row r="915" ht="15.75" customHeight="1" s="51"/>
    <row r="916" ht="15.75" customHeight="1" s="51"/>
    <row r="917" ht="15.75" customHeight="1" s="51"/>
    <row r="918" ht="15.75" customHeight="1" s="51"/>
    <row r="919" ht="15.75" customHeight="1" s="51"/>
    <row r="920" ht="15.75" customHeight="1" s="51"/>
    <row r="921" ht="15.75" customHeight="1" s="51"/>
    <row r="922" ht="15.75" customHeight="1" s="51"/>
    <row r="923" ht="15.75" customHeight="1" s="51"/>
    <row r="924" ht="15.75" customHeight="1" s="51"/>
    <row r="925" ht="15.75" customHeight="1" s="51"/>
    <row r="926" ht="15.75" customHeight="1" s="51"/>
    <row r="927" ht="15.75" customHeight="1" s="51"/>
    <row r="928" ht="15.75" customHeight="1" s="51"/>
    <row r="929" ht="15.75" customHeight="1" s="51"/>
    <row r="930" ht="15.75" customHeight="1" s="51"/>
    <row r="931" ht="15.75" customHeight="1" s="51"/>
    <row r="932" ht="15.75" customHeight="1" s="51"/>
    <row r="933" ht="15.75" customHeight="1" s="51"/>
    <row r="934" ht="15.75" customHeight="1" s="51"/>
    <row r="935" ht="15.75" customHeight="1" s="51"/>
    <row r="936" ht="15.75" customHeight="1" s="51"/>
    <row r="937" ht="15.75" customHeight="1" s="51"/>
    <row r="938" ht="15.75" customHeight="1" s="51"/>
    <row r="939" ht="15.75" customHeight="1" s="51"/>
    <row r="940" ht="15.75" customHeight="1" s="51"/>
    <row r="941" ht="15.75" customHeight="1" s="51"/>
    <row r="942" ht="15.75" customHeight="1" s="51"/>
    <row r="943" ht="15.75" customHeight="1" s="51"/>
    <row r="944" ht="15.75" customHeight="1" s="51"/>
    <row r="945" ht="15.75" customHeight="1" s="51"/>
    <row r="946" ht="15.75" customHeight="1" s="51"/>
    <row r="947" ht="15.75" customHeight="1" s="51"/>
    <row r="948" ht="15.75" customHeight="1" s="51"/>
    <row r="949" ht="15.75" customHeight="1" s="51"/>
    <row r="950" ht="15.75" customHeight="1" s="51"/>
    <row r="951" ht="15.75" customHeight="1" s="51"/>
    <row r="952" ht="15.75" customHeight="1" s="51"/>
    <row r="953" ht="15.75" customHeight="1" s="51"/>
    <row r="954" ht="15.75" customHeight="1" s="51"/>
    <row r="955" ht="15.75" customHeight="1" s="51"/>
    <row r="956" ht="15.75" customHeight="1" s="51"/>
    <row r="957" ht="15.75" customHeight="1" s="51"/>
    <row r="958" ht="15.75" customHeight="1" s="51"/>
    <row r="959" ht="15.75" customHeight="1" s="51"/>
    <row r="960" ht="15.75" customHeight="1" s="51"/>
    <row r="961" ht="15.75" customHeight="1" s="51"/>
    <row r="962" ht="15.75" customHeight="1" s="51"/>
    <row r="963" ht="15.75" customHeight="1" s="51"/>
    <row r="964" ht="15.75" customHeight="1" s="51"/>
    <row r="965" ht="15.75" customHeight="1" s="51"/>
    <row r="966" ht="15.75" customHeight="1" s="51"/>
    <row r="967" ht="15.75" customHeight="1" s="51"/>
    <row r="968" ht="15.75" customHeight="1" s="51"/>
    <row r="969" ht="15.75" customHeight="1" s="51"/>
    <row r="970" ht="15.75" customHeight="1" s="51"/>
    <row r="971" ht="15.75" customHeight="1" s="51"/>
    <row r="972" ht="15.75" customHeight="1" s="51"/>
    <row r="973" ht="15.75" customHeight="1" s="51"/>
    <row r="974" ht="15.75" customHeight="1" s="51"/>
    <row r="975" ht="15.75" customHeight="1" s="51"/>
    <row r="976" ht="15.75" customHeight="1" s="51"/>
    <row r="977" ht="15.75" customHeight="1" s="51"/>
    <row r="978" ht="15.75" customHeight="1" s="51"/>
    <row r="979" ht="15.75" customHeight="1" s="51"/>
    <row r="980" ht="15.75" customHeight="1" s="51"/>
    <row r="981" ht="15.75" customHeight="1" s="51"/>
    <row r="982" ht="15.75" customHeight="1" s="51"/>
    <row r="983" ht="15.75" customHeight="1" s="51"/>
    <row r="984" ht="15.75" customHeight="1" s="51"/>
    <row r="985" ht="15.75" customHeight="1" s="51"/>
    <row r="986" ht="15.75" customHeight="1" s="51"/>
    <row r="987" ht="15.75" customHeight="1" s="51"/>
    <row r="988" ht="15.75" customHeight="1" s="51"/>
    <row r="989" ht="15.75" customHeight="1" s="51"/>
    <row r="990" ht="15.75" customHeight="1" s="51"/>
    <row r="991" ht="15.75" customHeight="1" s="51"/>
    <row r="992" ht="15.75" customHeight="1" s="51"/>
    <row r="993" ht="15.75" customHeight="1" s="51"/>
    <row r="994" ht="15.75" customHeight="1" s="51"/>
    <row r="995" ht="15.75" customHeight="1" s="51"/>
    <row r="996" ht="15.75" customHeight="1" s="51"/>
    <row r="997" ht="15.75" customHeight="1" s="51"/>
    <row r="998" ht="15.75" customHeight="1" s="51"/>
    <row r="999" ht="15.75" customHeight="1" s="51"/>
    <row r="1000" ht="15.75" customHeight="1" s="51"/>
  </sheetData>
  <autoFilter ref="$A$4:$I$154"/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2026-09-30T02:15:16Z</dcterms:created>
  <dcterms:modified xsi:type="dcterms:W3CDTF">2026-09-30T02:24:52Z</dcterms:modified>
</cp:coreProperties>
</file>